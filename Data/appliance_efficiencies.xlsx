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elbcloud-my.sharepoint.com/personal/dominic_jones_grattaninstitute_edu_au/Documents/Energy/Analysis/analysis_cp_dj_2025/Data/"/>
    </mc:Choice>
  </mc:AlternateContent>
  <xr:revisionPtr revIDLastSave="126" documentId="8_{2735264D-2E0F-4466-B96E-5FAF4E87C276}" xr6:coauthVersionLast="47" xr6:coauthVersionMax="47" xr10:uidLastSave="{F2DDC205-09DB-494D-8B7A-AFBFE7FDE07B}"/>
  <bookViews>
    <workbookView xWindow="-120" yWindow="-120" windowWidth="29040" windowHeight="15840" activeTab="5" xr2:uid="{5D07E076-C928-4160-91FA-0417357B04A5}"/>
  </bookViews>
  <sheets>
    <sheet name="coefficients" sheetId="5" r:id="rId1"/>
    <sheet name="hot water" sheetId="1" r:id="rId2"/>
    <sheet name="space heating" sheetId="3" r:id="rId3"/>
    <sheet name="space_heating_2.0" sheetId="7" r:id="rId4"/>
    <sheet name="cooking" sheetId="6" r:id="rId5"/>
    <sheet name="cooking_archive" sheetId="4" r:id="rId6"/>
  </sheets>
  <definedNames>
    <definedName name="ExternalData_1" localSheetId="1" hidden="1">'hot water'!$A$1:$C$7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7" l="1"/>
  <c r="H16" i="7" s="1"/>
  <c r="H15" i="7"/>
  <c r="C15" i="7"/>
  <c r="H14" i="7"/>
  <c r="C14" i="7"/>
  <c r="H13" i="7"/>
  <c r="C13" i="7"/>
  <c r="C12" i="7"/>
  <c r="H12" i="7" s="1"/>
  <c r="H11" i="7"/>
  <c r="C11" i="7"/>
  <c r="C10" i="7"/>
  <c r="H10" i="7" s="1"/>
  <c r="C9" i="7"/>
  <c r="H9" i="7" s="1"/>
  <c r="C8" i="7"/>
  <c r="H8" i="7" s="1"/>
  <c r="H7" i="7"/>
  <c r="C7" i="7"/>
  <c r="C6" i="7"/>
  <c r="H6" i="7" s="1"/>
  <c r="C5" i="7"/>
  <c r="H5" i="7" s="1"/>
  <c r="C4" i="7"/>
  <c r="H4" i="7" s="1"/>
  <c r="H3" i="7"/>
  <c r="C3" i="7"/>
  <c r="C2" i="7"/>
  <c r="H2" i="7" s="1"/>
  <c r="D2" i="1" l="1"/>
  <c r="D3" i="1"/>
  <c r="D4" i="1"/>
  <c r="D5" i="1"/>
  <c r="D6" i="1"/>
  <c r="D7" i="1"/>
  <c r="N2" i="5"/>
  <c r="B2" i="5"/>
  <c r="C2" i="3"/>
  <c r="C3" i="3"/>
  <c r="C4" i="3"/>
  <c r="G8" i="6"/>
  <c r="H8" i="6" s="1"/>
  <c r="F8" i="6"/>
  <c r="E8" i="6"/>
  <c r="D8" i="6"/>
  <c r="C8" i="6"/>
  <c r="B8" i="6"/>
  <c r="F9" i="6" l="1"/>
  <c r="E9" i="6"/>
  <c r="D9" i="6"/>
  <c r="C9" i="6"/>
  <c r="B9" i="6"/>
  <c r="B13" i="6" s="1"/>
  <c r="C3" i="4" l="1"/>
  <c r="C4" i="4"/>
  <c r="C2" i="4"/>
  <c r="E2" i="1"/>
  <c r="F2" i="1" s="1"/>
  <c r="E3" i="1"/>
  <c r="F3" i="1" s="1"/>
  <c r="E4" i="1"/>
  <c r="F4" i="1" s="1"/>
  <c r="B3" i="5" s="1"/>
  <c r="E5" i="1"/>
  <c r="F5" i="1" s="1"/>
  <c r="E6" i="1"/>
  <c r="F6" i="1" s="1"/>
  <c r="E7" i="1"/>
  <c r="F7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DEC819-1E85-4E84-BF2F-B02C3C746AEA}" keepAlive="1" name="Query - Table003 (Page 3)" description="Connection to the 'Table003 (Page 3)' query in the workbook." type="5" refreshedVersion="8" background="1" saveData="1">
    <dbPr connection="Provider=Microsoft.Mashup.OleDb.1;Data Source=$Workbook$;Location=&quot;Table003 (Page 3)&quot;;Extended Properties=&quot;&quot;" command="SELECT * FROM [Table003 (Page 3)]"/>
  </connection>
</connections>
</file>

<file path=xl/sharedStrings.xml><?xml version="1.0" encoding="utf-8"?>
<sst xmlns="http://schemas.openxmlformats.org/spreadsheetml/2006/main" count="104" uniqueCount="76">
  <si>
    <t>Grid electricity
kWh/year</t>
  </si>
  <si>
    <t>Gas usage
MJ/yr</t>
  </si>
  <si>
    <t>Electric storage 160L,
continuous tariff^{2}</t>
  </si>
  <si>
    <t>Gas storage 170L 5 or 6 Star^{3}</t>
  </si>
  <si>
    <t>Gas instantaneous^{2}</t>
  </si>
  <si>
    <t>Solar hot water, electric boost^{2}</t>
  </si>
  <si>
    <t>Heat pump – state of the art
250L, continuous tariff^{4}</t>
  </si>
  <si>
    <t>Heat pump – efficient mid-range, 170L, continuous tariff^{3}</t>
  </si>
  <si>
    <t>source: https://www.climatecouncil.org.au/wp-content/uploads/2022/10/Switch-and-save-methods.pdf</t>
  </si>
  <si>
    <t>https://www.climatecouncil.org.au/wp-content/uploads/2022/10/Switch-and-save-methods.pdf</t>
  </si>
  <si>
    <t>source</t>
  </si>
  <si>
    <t>https://renew.org.au/wp-content/uploads/2018/08/Household_fuel_choice_in_the_NEM_Revised_June_2018.pdf</t>
  </si>
  <si>
    <t>appliance</t>
  </si>
  <si>
    <t>cop</t>
  </si>
  <si>
    <t>RCAC</t>
  </si>
  <si>
    <t>standing gas</t>
  </si>
  <si>
    <t>ducted gas</t>
  </si>
  <si>
    <t>gas usage kwh</t>
  </si>
  <si>
    <t>fuel</t>
  </si>
  <si>
    <t>electric</t>
  </si>
  <si>
    <t>gas</t>
  </si>
  <si>
    <t>coeff</t>
  </si>
  <si>
    <t>table 13</t>
  </si>
  <si>
    <t>Natural gas</t>
  </si>
  <si>
    <t>induction</t>
  </si>
  <si>
    <t>ceramic</t>
  </si>
  <si>
    <t>input</t>
  </si>
  <si>
    <t>table 3</t>
  </si>
  <si>
    <t>end_use</t>
  </si>
  <si>
    <t>gas_to_electric_cf</t>
  </si>
  <si>
    <t>Cooking</t>
  </si>
  <si>
    <t>Water heating</t>
  </si>
  <si>
    <t>https://cao-94612.s3.amazonaws.com/documents/Induction-Range-Final-Report-July-2019.pdf</t>
  </si>
  <si>
    <t>Cooktop</t>
  </si>
  <si>
    <t>Induction A (Frigidaire) kWh</t>
  </si>
  <si>
    <t>Induction B (GE) kWh</t>
  </si>
  <si>
    <t>Induction c (Samsung) kWh</t>
  </si>
  <si>
    <t>Resistance Ceramic (Whirlpool) kWh</t>
  </si>
  <si>
    <t>Resistance Coil (Frigidaire) kWh</t>
  </si>
  <si>
    <t>Gas Burner (Samsung) MIJ</t>
  </si>
  <si>
    <t>gas_KWH</t>
  </si>
  <si>
    <t>Heat-Up Efficiency</t>
  </si>
  <si>
    <t>Heat-Up Energy Per Day</t>
  </si>
  <si>
    <t>Simmer Energy Per Day</t>
  </si>
  <si>
    <t>Sauté Energy Per Day</t>
  </si>
  <si>
    <t xml:space="preserve">total  energy per day </t>
  </si>
  <si>
    <t xml:space="preserve">ratio to gas </t>
  </si>
  <si>
    <t xml:space="preserve">mean </t>
  </si>
  <si>
    <t>frontier energy study</t>
  </si>
  <si>
    <t>total_energy_kwh</t>
  </si>
  <si>
    <t>Represents the mean electric oven consumption relative to a gas oven</t>
  </si>
  <si>
    <t>Represents electric storage energy consumption relative to gas instantaneous</t>
  </si>
  <si>
    <t>Represents RCAC heating and cooling relative to ducted gas</t>
  </si>
  <si>
    <t>Space conditioning - heating</t>
  </si>
  <si>
    <t>alternative?</t>
  </si>
  <si>
    <t>https://cdn.prod.website-files.com/612b0b172765f9c62c1c20c9/67d24b1b1b250415e33183ea_2025%20Fact%20sheet%20-%20Space%20heating.pdf%20(2).pdf</t>
  </si>
  <si>
    <t>Location</t>
  </si>
  <si>
    <t>Working Family - gas - MJ</t>
  </si>
  <si>
    <t>Working family - electric - kwh</t>
  </si>
  <si>
    <t>ratio</t>
  </si>
  <si>
    <t>Adelaide</t>
  </si>
  <si>
    <t>Armidale</t>
  </si>
  <si>
    <t>Bairnsdale</t>
  </si>
  <si>
    <t>Bega</t>
  </si>
  <si>
    <t>Bendigo</t>
  </si>
  <si>
    <t>Canberra</t>
  </si>
  <si>
    <t>Dubbo</t>
  </si>
  <si>
    <t>Hobart</t>
  </si>
  <si>
    <t>Melbourne</t>
  </si>
  <si>
    <t>Mildura</t>
  </si>
  <si>
    <t>Sydney</t>
  </si>
  <si>
    <t>Toowoomba</t>
  </si>
  <si>
    <t>Wagga Wagga</t>
  </si>
  <si>
    <t>Warrnambool</t>
  </si>
  <si>
    <t>Wodonga</t>
  </si>
  <si>
    <t>Table 8 and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</si>
</sst>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Arial"/>
      <family val="2"/>
    </font>
    <font>
      <u/>
      <sz val="11"/>
      <color theme="10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0" fontId="1" fillId="0" borderId="0" xfId="1"/>
    <xf numFmtId="4" fontId="0" fillId="0" borderId="0" xfId="0" applyNumberFormat="1"/>
    <xf numFmtId="164" fontId="0" fillId="0" borderId="0" xfId="0" applyNumberFormat="1"/>
    <xf numFmtId="0" fontId="2" fillId="0" borderId="0" xfId="0" applyFont="1"/>
    <xf numFmtId="10" fontId="0" fillId="0" borderId="0" xfId="0" applyNumberFormat="1"/>
  </cellXfs>
  <cellStyles count="2">
    <cellStyle name="Hyperlink" xfId="1" builtinId="8"/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409575</xdr:colOff>
      <xdr:row>3</xdr:row>
      <xdr:rowOff>95250</xdr:rowOff>
    </xdr:from>
    <xdr:to>
      <xdr:col>25</xdr:col>
      <xdr:colOff>1282</xdr:colOff>
      <xdr:row>24</xdr:row>
      <xdr:rowOff>95780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23E8C6-7768-369D-F419-0ADF264E9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53375" y="638175"/>
          <a:ext cx="9183382" cy="38010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133350</xdr:rowOff>
    </xdr:from>
    <xdr:to>
      <xdr:col>15</xdr:col>
      <xdr:colOff>19049</xdr:colOff>
      <xdr:row>26</xdr:row>
      <xdr:rowOff>71830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597431-A81A-4FFE-B44B-6EF4DF6A0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0600" y="495300"/>
          <a:ext cx="5505449" cy="428188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348179D-7ECA-4E0E-AEA5-931FFAF660D8}" autoFormatId="16" applyNumberFormats="0" applyBorderFormats="0" applyFontFormats="0" applyPatternFormats="0" applyAlignmentFormats="0" applyWidthHeightFormats="0">
  <queryTableRefresh nextId="14" unboundColumnsRight="3">
    <queryTableFields count="6">
      <queryTableField id="1" name="Hot water system type" tableColumnId="1"/>
      <queryTableField id="2" name="Grid electricity_x000a_kWh/year" tableColumnId="2"/>
      <queryTableField id="3" name="Gas usage_x000a_MJ/yr" tableColumnId="3"/>
      <queryTableField id="11" dataBound="0" tableColumnId="4"/>
      <queryTableField id="12" dataBound="0" tableColumnId="5"/>
      <queryTableField id="13" dataBound="0" tableColumnId="6"/>
    </queryTableFields>
    <queryTableDeletedFields count="7">
      <deletedField name="SYD"/>
      <deletedField name="MEL"/>
      <deletedField name="ADEL"/>
      <deletedField name="BRIS"/>
      <deletedField name="CAN"/>
      <deletedField name="PER"/>
      <deletedField name="HOB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910C31-2886-4BA8-A03F-6F231AD33192}" name="Table003__Page_3" displayName="Table003__Page_3" ref="A1:F7" tableType="queryTable" totalsRowShown="0">
  <autoFilter ref="A1:F7" xr:uid="{1A910C31-2886-4BA8-A03F-6F231AD33192}"/>
  <tableColumns count="6">
    <tableColumn id="1" xr3:uid="{0DF37097-27F2-4928-B532-D34BA572AB21}" uniqueName="1" name="appliance" queryTableFieldId="1" dataDxfId="3"/>
    <tableColumn id="2" xr3:uid="{4C3DAD1E-D93E-4AEC-B0F9-C070A9898F00}" uniqueName="2" name="Grid electricity_x000a_kWh/year" queryTableFieldId="2"/>
    <tableColumn id="3" xr3:uid="{2366685C-CA52-4679-A8AD-B1010B5DD6D1}" uniqueName="3" name="Gas usage_x000a_MJ/yr" queryTableFieldId="3"/>
    <tableColumn id="4" xr3:uid="{AAFB38E1-8F68-4B98-B886-B437B61B2B9C}" uniqueName="4" name="gas usage kwh" queryTableFieldId="11" dataDxfId="2">
      <calculatedColumnFormula>Table003__Page_3[[#This Row],[Gas usage
MJ/yr]]/3.6</calculatedColumnFormula>
    </tableColumn>
    <tableColumn id="5" xr3:uid="{F53BFD95-5465-46AA-8464-52394A4C1258}" uniqueName="5" name="total_energy_kwh" queryTableFieldId="12" dataDxfId="1">
      <calculatedColumnFormula>Table003__Page_3[[#This Row],[Grid electricity
kWh/year]]+Table003__Page_3[[#This Row],[gas usage kwh]]</calculatedColumnFormula>
    </tableColumn>
    <tableColumn id="6" xr3:uid="{80355AFB-10B3-4D58-A29E-41B38455A143}" uniqueName="6" name="coeff" queryTableFieldId="13" dataDxfId="0">
      <calculatedColumnFormula>3407/Table003__Page_3[[#This Row],[total_energy_kwh]]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cdn.prod.website-files.com/612b0b172765f9c62c1c20c9/67d24b1b1b250415e33183ea_2025%20Fact%20sheet%20-%20Space%20heating.pdf%20(2).pdf" TargetMode="External"/><Relationship Id="rId1" Type="http://schemas.openxmlformats.org/officeDocument/2006/relationships/hyperlink" Target="https://www.climatecouncil.org.au/wp-content/uploads/2022/10/Switch-and-save-methods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renew.org.au/wp-content/uploads/2018/08/Household_fuel_choice_in_the_NEM_Revised_June_2018.pdf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renew.org.au/wp-content/uploads/2018/08/Household_fuel_choice_in_the_NEM_Revised_June_201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6C80-EF8B-460E-AD2F-5661B8B796F3}">
  <dimension ref="A1:N4"/>
  <sheetViews>
    <sheetView workbookViewId="0">
      <selection activeCell="B4" sqref="B4"/>
    </sheetView>
  </sheetViews>
  <sheetFormatPr defaultRowHeight="14.25" x14ac:dyDescent="0.2"/>
  <cols>
    <col min="1" max="1" width="16.375" bestFit="1" customWidth="1"/>
    <col min="2" max="2" width="17.25" bestFit="1" customWidth="1"/>
  </cols>
  <sheetData>
    <row r="1" spans="1:14" ht="15" x14ac:dyDescent="0.25">
      <c r="A1" s="5" t="s">
        <v>28</v>
      </c>
      <c r="B1" s="5" t="s">
        <v>29</v>
      </c>
    </row>
    <row r="2" spans="1:14" x14ac:dyDescent="0.2">
      <c r="A2" t="s">
        <v>30</v>
      </c>
      <c r="B2">
        <f>cooking!B13</f>
        <v>0.42805755395683454</v>
      </c>
      <c r="C2" t="s">
        <v>50</v>
      </c>
      <c r="N2">
        <f>0.8/0.94</f>
        <v>0.85106382978723416</v>
      </c>
    </row>
    <row r="3" spans="1:14" x14ac:dyDescent="0.2">
      <c r="A3" t="s">
        <v>31</v>
      </c>
      <c r="B3">
        <f>'hot water'!F4</f>
        <v>0.8064753688750953</v>
      </c>
      <c r="C3" t="s">
        <v>51</v>
      </c>
    </row>
    <row r="4" spans="1:14" x14ac:dyDescent="0.2">
      <c r="A4" t="s">
        <v>53</v>
      </c>
      <c r="B4">
        <v>0.15</v>
      </c>
      <c r="C4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E9849-F102-4ED9-ACB3-E3D3A1532CE6}">
  <dimension ref="A1:M7"/>
  <sheetViews>
    <sheetView workbookViewId="0">
      <selection activeCell="O2" sqref="O2"/>
    </sheetView>
  </sheetViews>
  <sheetFormatPr defaultRowHeight="14.25" x14ac:dyDescent="0.2"/>
  <sheetData>
    <row r="1" spans="1:13" x14ac:dyDescent="0.2">
      <c r="A1" t="s">
        <v>12</v>
      </c>
      <c r="B1" t="s">
        <v>0</v>
      </c>
      <c r="C1" t="s">
        <v>1</v>
      </c>
      <c r="D1" t="s">
        <v>17</v>
      </c>
      <c r="E1" t="s">
        <v>49</v>
      </c>
      <c r="F1" t="s">
        <v>21</v>
      </c>
    </row>
    <row r="2" spans="1:13" x14ac:dyDescent="0.2">
      <c r="A2" t="s">
        <v>2</v>
      </c>
      <c r="B2">
        <v>3407</v>
      </c>
      <c r="C2">
        <v>0</v>
      </c>
      <c r="D2">
        <f>Table003__Page_3[[#This Row],[Gas usage
MJ/yr]]/3.6</f>
        <v>0</v>
      </c>
      <c r="E2">
        <f>Table003__Page_3[[#This Row],[Grid electricity
kWh/year]]+Table003__Page_3[[#This Row],[gas usage kwh]]</f>
        <v>3407</v>
      </c>
      <c r="F2">
        <f>3407/Table003__Page_3[[#This Row],[total_energy_kwh]]</f>
        <v>1</v>
      </c>
      <c r="M2" t="s">
        <v>8</v>
      </c>
    </row>
    <row r="3" spans="1:13" x14ac:dyDescent="0.2">
      <c r="A3" t="s">
        <v>3</v>
      </c>
      <c r="B3">
        <v>0</v>
      </c>
      <c r="C3">
        <v>16175</v>
      </c>
      <c r="D3">
        <f>Table003__Page_3[[#This Row],[Gas usage
MJ/yr]]/3.6</f>
        <v>4493.0555555555557</v>
      </c>
      <c r="E3">
        <f>Table003__Page_3[[#This Row],[Grid electricity
kWh/year]]+Table003__Page_3[[#This Row],[gas usage kwh]]</f>
        <v>4493.0555555555557</v>
      </c>
      <c r="F3">
        <f>3407/Table003__Page_3[[#This Row],[total_energy_kwh]]</f>
        <v>0.75828129829984547</v>
      </c>
      <c r="M3" t="s">
        <v>27</v>
      </c>
    </row>
    <row r="4" spans="1:13" x14ac:dyDescent="0.2">
      <c r="A4" t="s">
        <v>4</v>
      </c>
      <c r="B4">
        <v>69</v>
      </c>
      <c r="C4">
        <v>14960</v>
      </c>
      <c r="D4">
        <f>Table003__Page_3[[#This Row],[Gas usage
MJ/yr]]/3.6</f>
        <v>4155.5555555555557</v>
      </c>
      <c r="E4">
        <f>Table003__Page_3[[#This Row],[Grid electricity
kWh/year]]+Table003__Page_3[[#This Row],[gas usage kwh]]</f>
        <v>4224.5555555555557</v>
      </c>
      <c r="F4">
        <f>3407/Table003__Page_3[[#This Row],[total_energy_kwh]]</f>
        <v>0.8064753688750953</v>
      </c>
    </row>
    <row r="5" spans="1:13" x14ac:dyDescent="0.2">
      <c r="A5" t="s">
        <v>5</v>
      </c>
      <c r="B5">
        <v>510</v>
      </c>
      <c r="C5">
        <v>0</v>
      </c>
      <c r="D5">
        <f>Table003__Page_3[[#This Row],[Gas usage
MJ/yr]]/3.6</f>
        <v>0</v>
      </c>
      <c r="E5">
        <f>Table003__Page_3[[#This Row],[Grid electricity
kWh/year]]+Table003__Page_3[[#This Row],[gas usage kwh]]</f>
        <v>510</v>
      </c>
      <c r="F5">
        <f>3407/Table003__Page_3[[#This Row],[total_energy_kwh]]</f>
        <v>6.6803921568627453</v>
      </c>
    </row>
    <row r="6" spans="1:13" x14ac:dyDescent="0.2">
      <c r="A6" t="s">
        <v>6</v>
      </c>
      <c r="B6">
        <v>757</v>
      </c>
      <c r="C6">
        <v>0</v>
      </c>
      <c r="D6">
        <f>Table003__Page_3[[#This Row],[Gas usage
MJ/yr]]/3.6</f>
        <v>0</v>
      </c>
      <c r="E6">
        <f>Table003__Page_3[[#This Row],[Grid electricity
kWh/year]]+Table003__Page_3[[#This Row],[gas usage kwh]]</f>
        <v>757</v>
      </c>
      <c r="F6">
        <f>3407/Table003__Page_3[[#This Row],[total_energy_kwh]]</f>
        <v>4.500660501981506</v>
      </c>
    </row>
    <row r="7" spans="1:13" x14ac:dyDescent="0.2">
      <c r="A7" t="s">
        <v>7</v>
      </c>
      <c r="B7">
        <v>1771</v>
      </c>
      <c r="C7">
        <v>0</v>
      </c>
      <c r="D7">
        <f>Table003__Page_3[[#This Row],[Gas usage
MJ/yr]]/3.6</f>
        <v>0</v>
      </c>
      <c r="E7">
        <f>Table003__Page_3[[#This Row],[Grid electricity
kWh/year]]+Table003__Page_3[[#This Row],[gas usage kwh]]</f>
        <v>1771</v>
      </c>
      <c r="F7">
        <f>3407/Table003__Page_3[[#This Row],[total_energy_kwh]]</f>
        <v>1.9237718802936195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1B825-ADD3-43AD-A4F4-B092E031A268}">
  <dimension ref="A1:K16"/>
  <sheetViews>
    <sheetView workbookViewId="0">
      <selection activeCell="K27" sqref="K27"/>
    </sheetView>
  </sheetViews>
  <sheetFormatPr defaultRowHeight="14.25" x14ac:dyDescent="0.2"/>
  <sheetData>
    <row r="1" spans="1:11" x14ac:dyDescent="0.2">
      <c r="A1" t="s">
        <v>12</v>
      </c>
      <c r="B1" t="s">
        <v>13</v>
      </c>
      <c r="C1" t="s">
        <v>21</v>
      </c>
      <c r="D1" t="s">
        <v>18</v>
      </c>
      <c r="J1" t="s">
        <v>10</v>
      </c>
      <c r="K1" s="2" t="s">
        <v>9</v>
      </c>
    </row>
    <row r="2" spans="1:11" x14ac:dyDescent="0.2">
      <c r="A2" t="s">
        <v>14</v>
      </c>
      <c r="B2" s="3">
        <v>3.65</v>
      </c>
      <c r="C2" s="4">
        <f>B2/3.65</f>
        <v>1</v>
      </c>
      <c r="D2" s="1" t="s">
        <v>19</v>
      </c>
    </row>
    <row r="3" spans="1:11" x14ac:dyDescent="0.2">
      <c r="A3" t="s">
        <v>15</v>
      </c>
      <c r="B3" s="3">
        <v>0.97</v>
      </c>
      <c r="C3" s="4">
        <f t="shared" ref="C3:C4" si="0">B3/3.65</f>
        <v>0.26575342465753427</v>
      </c>
      <c r="D3" s="1" t="s">
        <v>20</v>
      </c>
      <c r="J3" t="s">
        <v>54</v>
      </c>
      <c r="K3" s="2" t="s">
        <v>55</v>
      </c>
    </row>
    <row r="4" spans="1:11" x14ac:dyDescent="0.2">
      <c r="A4" t="s">
        <v>16</v>
      </c>
      <c r="B4" s="3">
        <v>0.88</v>
      </c>
      <c r="C4" s="4">
        <f t="shared" si="0"/>
        <v>0.24109589041095891</v>
      </c>
      <c r="D4" s="1" t="s">
        <v>20</v>
      </c>
    </row>
    <row r="5" spans="1:11" x14ac:dyDescent="0.2">
      <c r="B5" s="1"/>
      <c r="C5" s="1"/>
      <c r="D5" s="1"/>
    </row>
    <row r="6" spans="1:11" x14ac:dyDescent="0.2">
      <c r="B6" s="1"/>
      <c r="C6" s="1"/>
      <c r="D6" s="1"/>
    </row>
    <row r="7" spans="1:11" x14ac:dyDescent="0.2">
      <c r="B7" s="1"/>
      <c r="C7" s="1"/>
      <c r="D7" s="1"/>
    </row>
    <row r="8" spans="1:11" x14ac:dyDescent="0.2">
      <c r="B8" s="1"/>
      <c r="C8" s="1"/>
      <c r="D8" s="1"/>
    </row>
    <row r="11" spans="1:11" x14ac:dyDescent="0.2">
      <c r="B11" s="1"/>
      <c r="C11" s="1"/>
      <c r="D11" s="1"/>
    </row>
    <row r="14" spans="1:11" x14ac:dyDescent="0.2">
      <c r="B14" s="1"/>
      <c r="C14" s="1"/>
      <c r="D14" s="1"/>
    </row>
    <row r="15" spans="1:11" x14ac:dyDescent="0.2">
      <c r="B15" s="1"/>
      <c r="C15" s="1"/>
      <c r="D15" s="1"/>
    </row>
    <row r="16" spans="1:11" x14ac:dyDescent="0.2">
      <c r="B16" s="1"/>
      <c r="C16" s="1"/>
      <c r="D16" s="1"/>
    </row>
  </sheetData>
  <hyperlinks>
    <hyperlink ref="K1" r:id="rId1" xr:uid="{E57F3D2C-EF9C-40E8-9AB6-16DF6CE7A1F9}"/>
    <hyperlink ref="K3" r:id="rId2" xr:uid="{E95D2ABE-D330-451A-AA38-79442D4DE8B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19690-207E-47A0-B2CD-6CDBAAA2EE79}">
  <dimension ref="A1:K16"/>
  <sheetViews>
    <sheetView workbookViewId="0">
      <selection activeCell="M9" sqref="M9"/>
    </sheetView>
  </sheetViews>
  <sheetFormatPr defaultRowHeight="14.25" x14ac:dyDescent="0.2"/>
  <sheetData>
    <row r="1" spans="1:11" x14ac:dyDescent="0.2">
      <c r="A1" t="s">
        <v>56</v>
      </c>
      <c r="B1" t="s">
        <v>57</v>
      </c>
      <c r="D1" t="s">
        <v>56</v>
      </c>
      <c r="E1" t="s">
        <v>58</v>
      </c>
      <c r="H1" t="s">
        <v>59</v>
      </c>
      <c r="K1" s="2" t="s">
        <v>11</v>
      </c>
    </row>
    <row r="2" spans="1:11" x14ac:dyDescent="0.2">
      <c r="A2" t="s">
        <v>60</v>
      </c>
      <c r="B2" s="1">
        <v>30196</v>
      </c>
      <c r="C2" s="1">
        <f>B2*0.278</f>
        <v>8394.4880000000012</v>
      </c>
      <c r="D2" s="1" t="s">
        <v>60</v>
      </c>
      <c r="E2">
        <v>1295</v>
      </c>
      <c r="H2">
        <f>E2/C2</f>
        <v>0.15426789579066644</v>
      </c>
      <c r="K2" t="s">
        <v>75</v>
      </c>
    </row>
    <row r="3" spans="1:11" x14ac:dyDescent="0.2">
      <c r="A3" t="s">
        <v>61</v>
      </c>
      <c r="B3" s="1">
        <v>59041</v>
      </c>
      <c r="C3" s="1">
        <f t="shared" ref="C3:C16" si="0">B3*0.278</f>
        <v>16413.398000000001</v>
      </c>
      <c r="D3" s="1" t="s">
        <v>61</v>
      </c>
      <c r="E3">
        <v>2121</v>
      </c>
      <c r="H3">
        <f t="shared" ref="H3:H16" si="1">E3/C3</f>
        <v>0.12922369883433033</v>
      </c>
    </row>
    <row r="4" spans="1:11" x14ac:dyDescent="0.2">
      <c r="A4" t="s">
        <v>62</v>
      </c>
      <c r="B4" s="1">
        <v>60039</v>
      </c>
      <c r="C4" s="1">
        <f t="shared" si="0"/>
        <v>16690.842000000001</v>
      </c>
      <c r="D4" s="1" t="s">
        <v>62</v>
      </c>
      <c r="E4">
        <v>2177</v>
      </c>
      <c r="H4">
        <f t="shared" si="1"/>
        <v>0.1304308075050977</v>
      </c>
    </row>
    <row r="5" spans="1:11" x14ac:dyDescent="0.2">
      <c r="A5" t="s">
        <v>63</v>
      </c>
      <c r="B5" s="1">
        <v>35312</v>
      </c>
      <c r="C5" s="1">
        <f t="shared" si="0"/>
        <v>9816.7360000000008</v>
      </c>
      <c r="D5" s="1" t="s">
        <v>63</v>
      </c>
      <c r="E5">
        <v>1447</v>
      </c>
      <c r="H5">
        <f t="shared" si="1"/>
        <v>0.14740133584115941</v>
      </c>
    </row>
    <row r="6" spans="1:11" x14ac:dyDescent="0.2">
      <c r="A6" t="s">
        <v>64</v>
      </c>
      <c r="B6" s="1">
        <v>70560</v>
      </c>
      <c r="C6" s="1">
        <f t="shared" si="0"/>
        <v>19615.68</v>
      </c>
      <c r="D6" s="1" t="s">
        <v>64</v>
      </c>
      <c r="E6">
        <v>2442</v>
      </c>
      <c r="H6">
        <f t="shared" si="1"/>
        <v>0.1244922429403416</v>
      </c>
    </row>
    <row r="7" spans="1:11" x14ac:dyDescent="0.2">
      <c r="A7" t="s">
        <v>65</v>
      </c>
      <c r="B7" s="1">
        <v>55671</v>
      </c>
      <c r="C7" s="1">
        <f t="shared" si="0"/>
        <v>15476.538000000002</v>
      </c>
      <c r="D7" s="1" t="s">
        <v>65</v>
      </c>
      <c r="E7">
        <v>2077</v>
      </c>
      <c r="H7">
        <f t="shared" si="1"/>
        <v>0.13420314026302263</v>
      </c>
    </row>
    <row r="8" spans="1:11" x14ac:dyDescent="0.2">
      <c r="A8" t="s">
        <v>66</v>
      </c>
      <c r="B8" s="1">
        <v>32141</v>
      </c>
      <c r="C8" s="1">
        <f t="shared" si="0"/>
        <v>8935.1980000000003</v>
      </c>
      <c r="D8" s="1" t="s">
        <v>66</v>
      </c>
      <c r="E8">
        <v>1380</v>
      </c>
      <c r="H8">
        <f t="shared" si="1"/>
        <v>0.15444537434984651</v>
      </c>
    </row>
    <row r="9" spans="1:11" x14ac:dyDescent="0.2">
      <c r="A9" t="s">
        <v>67</v>
      </c>
      <c r="B9" s="1">
        <v>69478</v>
      </c>
      <c r="C9" s="1">
        <f t="shared" si="0"/>
        <v>19314.884000000002</v>
      </c>
      <c r="D9" s="1" t="s">
        <v>67</v>
      </c>
      <c r="E9">
        <v>2379</v>
      </c>
      <c r="H9">
        <f t="shared" si="1"/>
        <v>0.12316926159121638</v>
      </c>
    </row>
    <row r="10" spans="1:11" x14ac:dyDescent="0.2">
      <c r="A10" t="s">
        <v>68</v>
      </c>
      <c r="B10" s="1">
        <v>46753</v>
      </c>
      <c r="C10" s="1">
        <f t="shared" si="0"/>
        <v>12997.334000000001</v>
      </c>
      <c r="D10" s="1" t="s">
        <v>68</v>
      </c>
      <c r="E10">
        <v>1758</v>
      </c>
      <c r="H10">
        <f t="shared" si="1"/>
        <v>0.13525850762933384</v>
      </c>
    </row>
    <row r="11" spans="1:11" x14ac:dyDescent="0.2">
      <c r="A11" t="s">
        <v>69</v>
      </c>
      <c r="B11" s="1">
        <v>32241</v>
      </c>
      <c r="C11" s="1">
        <f t="shared" si="0"/>
        <v>8962.9980000000014</v>
      </c>
      <c r="D11" s="1" t="s">
        <v>69</v>
      </c>
      <c r="E11">
        <v>1404</v>
      </c>
      <c r="H11">
        <f t="shared" si="1"/>
        <v>0.15664401576347556</v>
      </c>
    </row>
    <row r="12" spans="1:11" x14ac:dyDescent="0.2">
      <c r="A12" t="s">
        <v>70</v>
      </c>
      <c r="B12" s="1">
        <v>12221</v>
      </c>
      <c r="C12" s="1">
        <f t="shared" si="0"/>
        <v>3397.4380000000001</v>
      </c>
      <c r="D12" s="1" t="s">
        <v>70</v>
      </c>
      <c r="E12">
        <v>824</v>
      </c>
      <c r="H12">
        <f t="shared" si="1"/>
        <v>0.24253569895903912</v>
      </c>
    </row>
    <row r="13" spans="1:11" x14ac:dyDescent="0.2">
      <c r="A13" t="s">
        <v>71</v>
      </c>
      <c r="B13" s="1">
        <v>25120</v>
      </c>
      <c r="C13" s="1">
        <f t="shared" si="0"/>
        <v>6983.3600000000006</v>
      </c>
      <c r="D13" s="1" t="s">
        <v>71</v>
      </c>
      <c r="E13">
        <v>1171</v>
      </c>
      <c r="H13">
        <f t="shared" si="1"/>
        <v>0.16768432387847682</v>
      </c>
    </row>
    <row r="14" spans="1:11" x14ac:dyDescent="0.2">
      <c r="A14" t="s">
        <v>72</v>
      </c>
      <c r="B14" s="1">
        <v>45998</v>
      </c>
      <c r="C14" s="1">
        <f t="shared" si="0"/>
        <v>12787.444000000001</v>
      </c>
      <c r="D14" s="1" t="s">
        <v>72</v>
      </c>
      <c r="E14">
        <v>1781</v>
      </c>
      <c r="H14">
        <f t="shared" si="1"/>
        <v>0.13927724727474855</v>
      </c>
    </row>
    <row r="15" spans="1:11" x14ac:dyDescent="0.2">
      <c r="A15" t="s">
        <v>73</v>
      </c>
      <c r="B15" s="1">
        <v>69115</v>
      </c>
      <c r="C15" s="1">
        <f t="shared" si="0"/>
        <v>19213.97</v>
      </c>
      <c r="D15" s="1" t="s">
        <v>73</v>
      </c>
      <c r="E15">
        <v>2351</v>
      </c>
      <c r="H15">
        <f t="shared" si="1"/>
        <v>0.12235888783005282</v>
      </c>
    </row>
    <row r="16" spans="1:11" x14ac:dyDescent="0.2">
      <c r="A16" t="s">
        <v>74</v>
      </c>
      <c r="B16" s="1">
        <v>48526</v>
      </c>
      <c r="C16" s="1">
        <f t="shared" si="0"/>
        <v>13490.228000000001</v>
      </c>
      <c r="D16" s="1" t="s">
        <v>74</v>
      </c>
      <c r="E16">
        <v>1848</v>
      </c>
      <c r="H16">
        <f t="shared" si="1"/>
        <v>0.13698804794107258</v>
      </c>
    </row>
  </sheetData>
  <hyperlinks>
    <hyperlink ref="K1" r:id="rId1" xr:uid="{74EB85AD-B41D-4B77-99B4-0DA6E1E03AF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FFE1C-360D-4190-BB86-5F5E0C9679EC}">
  <dimension ref="A1:L13"/>
  <sheetViews>
    <sheetView workbookViewId="0">
      <selection activeCell="F14" sqref="F14"/>
    </sheetView>
  </sheetViews>
  <sheetFormatPr defaultRowHeight="14.25" x14ac:dyDescent="0.2"/>
  <sheetData>
    <row r="1" spans="1:12" x14ac:dyDescent="0.2">
      <c r="A1" t="s">
        <v>10</v>
      </c>
      <c r="B1" t="s">
        <v>32</v>
      </c>
      <c r="L1" t="s">
        <v>48</v>
      </c>
    </row>
    <row r="3" spans="1:12" x14ac:dyDescent="0.2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</row>
    <row r="4" spans="1:12" x14ac:dyDescent="0.2">
      <c r="A4" t="s">
        <v>41</v>
      </c>
      <c r="B4" s="6">
        <v>0.85199999999999998</v>
      </c>
      <c r="C4" s="6">
        <v>0.86099999999999999</v>
      </c>
      <c r="D4" s="6">
        <v>0.83</v>
      </c>
      <c r="E4" s="6">
        <v>0.755</v>
      </c>
      <c r="F4" s="6">
        <v>0.79300000000000004</v>
      </c>
      <c r="G4" s="6">
        <v>0.31900000000000001</v>
      </c>
    </row>
    <row r="5" spans="1:12" x14ac:dyDescent="0.2">
      <c r="A5" t="s">
        <v>42</v>
      </c>
      <c r="B5">
        <v>0.56299999999999994</v>
      </c>
      <c r="C5">
        <v>0.56100000000000005</v>
      </c>
      <c r="D5">
        <v>0.58099999999999996</v>
      </c>
      <c r="E5">
        <v>0.64100000000000001</v>
      </c>
      <c r="F5">
        <v>0.60599999999999998</v>
      </c>
      <c r="G5">
        <v>5.43</v>
      </c>
    </row>
    <row r="6" spans="1:12" x14ac:dyDescent="0.2">
      <c r="A6" t="s">
        <v>43</v>
      </c>
      <c r="B6">
        <v>0.23799999999999999</v>
      </c>
      <c r="C6">
        <v>0.22800000000000001</v>
      </c>
      <c r="D6">
        <v>0.25</v>
      </c>
      <c r="E6">
        <v>0.22700000000000001</v>
      </c>
      <c r="F6">
        <v>0.24399999999999999</v>
      </c>
      <c r="G6">
        <v>1.77</v>
      </c>
    </row>
    <row r="7" spans="1:12" x14ac:dyDescent="0.2">
      <c r="A7" t="s">
        <v>44</v>
      </c>
      <c r="B7">
        <v>0.16900000000000001</v>
      </c>
      <c r="C7">
        <v>0.20699999999999999</v>
      </c>
      <c r="D7">
        <v>0.182</v>
      </c>
      <c r="E7">
        <v>0.182</v>
      </c>
      <c r="F7">
        <v>0.23799999999999999</v>
      </c>
      <c r="G7">
        <v>1.4</v>
      </c>
    </row>
    <row r="8" spans="1:12" x14ac:dyDescent="0.2">
      <c r="A8" t="s">
        <v>45</v>
      </c>
      <c r="B8">
        <f>SUM(B5:B7)</f>
        <v>0.97</v>
      </c>
      <c r="C8">
        <f t="shared" ref="C8:G8" si="0">SUM(C5:C7)</f>
        <v>0.996</v>
      </c>
      <c r="D8">
        <f t="shared" si="0"/>
        <v>1.0129999999999999</v>
      </c>
      <c r="E8">
        <f t="shared" si="0"/>
        <v>1.05</v>
      </c>
      <c r="F8">
        <f t="shared" si="0"/>
        <v>1.0880000000000001</v>
      </c>
      <c r="G8">
        <f t="shared" si="0"/>
        <v>8.6</v>
      </c>
      <c r="H8">
        <f>G8*0.278</f>
        <v>2.3908</v>
      </c>
    </row>
    <row r="9" spans="1:12" x14ac:dyDescent="0.2">
      <c r="A9" t="s">
        <v>46</v>
      </c>
      <c r="B9">
        <f>B8/H8</f>
        <v>0.40572193408064244</v>
      </c>
      <c r="C9">
        <f>C8/H8</f>
        <v>0.41659695499414423</v>
      </c>
      <c r="D9">
        <f>D8/H8</f>
        <v>0.42370754559143375</v>
      </c>
      <c r="E9">
        <f>E8/H8</f>
        <v>0.43918353689141709</v>
      </c>
      <c r="F9">
        <f>F8/H8</f>
        <v>0.4550777982265351</v>
      </c>
    </row>
    <row r="13" spans="1:12" x14ac:dyDescent="0.2">
      <c r="A13" t="s">
        <v>47</v>
      </c>
      <c r="B13">
        <f xml:space="preserve"> AVERAGE(B9:F9)</f>
        <v>0.42805755395683454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CBC05-C073-46C9-8518-60F9C8C529EA}">
  <dimension ref="A1:F4"/>
  <sheetViews>
    <sheetView tabSelected="1" workbookViewId="0">
      <selection activeCell="T19" sqref="T19"/>
    </sheetView>
  </sheetViews>
  <sheetFormatPr defaultRowHeight="14.25" x14ac:dyDescent="0.2"/>
  <sheetData>
    <row r="1" spans="1:6" x14ac:dyDescent="0.2">
      <c r="A1" t="s">
        <v>12</v>
      </c>
      <c r="B1" t="s">
        <v>26</v>
      </c>
      <c r="C1" t="s">
        <v>21</v>
      </c>
      <c r="D1" t="s">
        <v>18</v>
      </c>
      <c r="E1" t="s">
        <v>10</v>
      </c>
      <c r="F1" s="2" t="s">
        <v>11</v>
      </c>
    </row>
    <row r="2" spans="1:6" x14ac:dyDescent="0.2">
      <c r="A2" t="s">
        <v>23</v>
      </c>
      <c r="B2">
        <v>2000</v>
      </c>
      <c r="C2">
        <f>1000/B2</f>
        <v>0.5</v>
      </c>
      <c r="D2" t="s">
        <v>20</v>
      </c>
      <c r="E2" t="s">
        <v>22</v>
      </c>
    </row>
    <row r="3" spans="1:6" x14ac:dyDescent="0.2">
      <c r="A3" t="s">
        <v>24</v>
      </c>
      <c r="B3">
        <v>1000</v>
      </c>
      <c r="C3">
        <f t="shared" ref="C3:C4" si="0">1000/B3</f>
        <v>1</v>
      </c>
      <c r="D3" t="s">
        <v>19</v>
      </c>
    </row>
    <row r="4" spans="1:6" x14ac:dyDescent="0.2">
      <c r="A4" t="s">
        <v>25</v>
      </c>
      <c r="B4">
        <v>1067</v>
      </c>
      <c r="C4">
        <f t="shared" si="0"/>
        <v>0.93720712277413309</v>
      </c>
      <c r="D4" t="s">
        <v>19</v>
      </c>
    </row>
  </sheetData>
  <hyperlinks>
    <hyperlink ref="F1" r:id="rId1" xr:uid="{8DABAB50-BC23-45C5-A593-8EB35BACD148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DD5210-79E9-47E5-8179-33F544513A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coefficients</vt:lpstr>
      <vt:lpstr>hot water</vt:lpstr>
      <vt:lpstr>space heating</vt:lpstr>
      <vt:lpstr>space_heating_2.0</vt:lpstr>
      <vt:lpstr>cooking</vt:lpstr>
      <vt:lpstr>cooking_archive</vt:lpstr>
    </vt:vector>
  </TitlesOfParts>
  <Company>The University of Melbourne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Jones</dc:creator>
  <cp:lastModifiedBy>Dominic Jones</cp:lastModifiedBy>
  <dcterms:created xsi:type="dcterms:W3CDTF">2025-05-13T07:01:00Z</dcterms:created>
  <dcterms:modified xsi:type="dcterms:W3CDTF">2025-07-14T07:05:08Z</dcterms:modified>
</cp:coreProperties>
</file>