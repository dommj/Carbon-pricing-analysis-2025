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"/>
    </mc:Choice>
  </mc:AlternateContent>
  <xr:revisionPtr revIDLastSave="38" documentId="8_{B317BB48-7D99-4E7D-BF8C-3D71FB77F8E8}" xr6:coauthVersionLast="47" xr6:coauthVersionMax="47" xr10:uidLastSave="{F4893038-E4EE-4806-A06C-C8B9100D5EC7}"/>
  <bookViews>
    <workbookView xWindow="-120" yWindow="-120" windowWidth="29040" windowHeight="15840" xr2:uid="{5DB4381E-6AD4-4247-9853-321D5AD15FA0}"/>
  </bookViews>
  <sheets>
    <sheet name="coefficients" sheetId="1" r:id="rId1"/>
    <sheet name="hot water" sheetId="2" r:id="rId2"/>
    <sheet name="hot water (heatpump numbers)" sheetId="6" r:id="rId3"/>
    <sheet name="cooking" sheetId="4" r:id="rId4"/>
    <sheet name="cooking - frontier energy" sheetId="7" r:id="rId5"/>
    <sheet name="space conditioning" sheetId="5" r:id="rId6"/>
    <sheet name="Sheet3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11" i="7"/>
  <c r="E7" i="2"/>
  <c r="D7" i="2"/>
  <c r="C4" i="4"/>
  <c r="F7" i="7"/>
  <c r="E7" i="7"/>
  <c r="D7" i="7"/>
  <c r="C7" i="7"/>
  <c r="B7" i="7"/>
  <c r="H6" i="7"/>
  <c r="C6" i="7"/>
  <c r="D6" i="7"/>
  <c r="E6" i="7"/>
  <c r="F6" i="7"/>
  <c r="G6" i="7"/>
  <c r="B6" i="7"/>
  <c r="M6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2" i="5"/>
  <c r="D3" i="6"/>
  <c r="H3" i="6" s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6" i="2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3" i="6"/>
  <c r="B3" i="1" l="1"/>
  <c r="E6" i="2"/>
  <c r="F2" i="3"/>
  <c r="E2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<sst xmlns="http://schemas.openxmlformats.org/spreadsheetml/2006/main" count="120" uniqueCount="66">
  <si>
    <t>end_use</t>
  </si>
  <si>
    <t>Cooking</t>
  </si>
  <si>
    <t>Water heating</t>
  </si>
  <si>
    <t>Space conditioning</t>
  </si>
  <si>
    <t>Calcs from here: https://www.climatecouncil.org.au/wp-content/uploads/2022/10/Switch-and-save-methods.pdf</t>
  </si>
  <si>
    <t>Assume that consumer converts from gas instantaneous to electric storage - underestimate switching benefits</t>
  </si>
  <si>
    <t>cf</t>
  </si>
  <si>
    <t>elec_consumption_KWH</t>
  </si>
  <si>
    <t>gas_consumption_MJ</t>
  </si>
  <si>
    <t>PJ</t>
  </si>
  <si>
    <t>Stock</t>
  </si>
  <si>
    <t>PJ/app</t>
  </si>
  <si>
    <t>KWh /app</t>
  </si>
  <si>
    <t>(electric water heaters)</t>
  </si>
  <si>
    <t>gas_consumption_KWH</t>
  </si>
  <si>
    <t>coefficient_efficiency</t>
  </si>
  <si>
    <t>gas_to_electric_cf</t>
  </si>
  <si>
    <t>https://renew.org.au/wp-content/uploads/2018/08/Household_fuel_choice_in_the_NEM_Revised_June_2018.pdf</t>
  </si>
  <si>
    <t>elec_consumption_MJ</t>
  </si>
  <si>
    <t>assume conversion between gas and induction</t>
  </si>
  <si>
    <t>Assumption is made based on most common electric / gas appliance for each.</t>
  </si>
  <si>
    <t>Location</t>
  </si>
  <si>
    <t>Working Family</t>
  </si>
  <si>
    <t>MJ pa</t>
  </si>
  <si>
    <t>kWh pa</t>
  </si>
  <si>
    <t>Adelaide</t>
  </si>
  <si>
    <t>Armidale</t>
  </si>
  <si>
    <t>Bairnsdale</t>
  </si>
  <si>
    <t>Bega</t>
  </si>
  <si>
    <t>Bendigo</t>
  </si>
  <si>
    <t>Dubbo</t>
  </si>
  <si>
    <t>Hobart</t>
  </si>
  <si>
    <t>Melbourne</t>
  </si>
  <si>
    <t>Mildura</t>
  </si>
  <si>
    <t>Toowoomba</t>
  </si>
  <si>
    <t>Wodonga</t>
  </si>
  <si>
    <t>Brisbane</t>
  </si>
  <si>
    <t>Canberra</t>
  </si>
  <si>
    <t>Sydney</t>
  </si>
  <si>
    <t>Wagga Wagga</t>
  </si>
  <si>
    <t>Warrnambool</t>
  </si>
  <si>
    <t>Working</t>
  </si>
  <si>
    <t>Family</t>
  </si>
  <si>
    <t>Ratio</t>
  </si>
  <si>
    <t>KWH total</t>
  </si>
  <si>
    <t>Working Family - gas - MJ</t>
  </si>
  <si>
    <t>Working family - electric - kwh</t>
  </si>
  <si>
    <t>ratio</t>
  </si>
  <si>
    <t>conversion factor = 0.13 - 0.24</t>
  </si>
  <si>
    <t>Cooktop</t>
  </si>
  <si>
    <t>Induction A (Frigidaire) kWh</t>
  </si>
  <si>
    <t>Induction B (GE) kWh</t>
  </si>
  <si>
    <t>Induction c (Samsung) kWh</t>
  </si>
  <si>
    <t>Resistance Ceramic (Whirlpool) kWh</t>
  </si>
  <si>
    <t>Resistance Coil (Frigidaire) kWh</t>
  </si>
  <si>
    <t>Gas Burner (Samsung) MIJ</t>
  </si>
  <si>
    <t>Heat-Up Efficiency</t>
  </si>
  <si>
    <t>Heat-Up Energy Per Day</t>
  </si>
  <si>
    <t>Simmer Energy Per Day</t>
  </si>
  <si>
    <t>Sauté Energy Per Day</t>
  </si>
  <si>
    <t xml:space="preserve">total  energy per day </t>
  </si>
  <si>
    <t>https://www.climatecouncil.org.au/wp-content/uploads/2022/10/Switch-and-save-methods.pdf</t>
  </si>
  <si>
    <t>gas_KWH</t>
  </si>
  <si>
    <t xml:space="preserve">ratio to gas </t>
  </si>
  <si>
    <t xml:space="preserve">mean </t>
  </si>
  <si>
    <t>NB: need to make some decisions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</si>
</sst>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1" xfId="0" applyNumberFormat="1" applyBorder="1" applyAlignment="1">
      <alignment wrapText="1"/>
    </xf>
    <xf numFmtId="3" fontId="0" fillId="0" borderId="2" xfId="0" applyNumberFormat="1" applyBorder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200025</xdr:colOff>
      <xdr:row>0</xdr:row>
      <xdr:rowOff>19050</xdr:rowOff>
    </xdr:from>
    <xdr:to>
      <xdr:col>14</xdr:col>
      <xdr:colOff>219074</xdr:colOff>
      <xdr:row>23</xdr:row>
      <xdr:rowOff>62305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B4450D-B427-DBA7-EE2D-D34F8F347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3375" y="19050"/>
          <a:ext cx="5505449" cy="420568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CEED-F841-42C6-A955-9ECD33AE160B}">
  <dimension ref="A1:C4"/>
  <sheetViews>
    <sheetView tabSelected="1" workbookViewId="0">
      <selection activeCell="B7" sqref="B7"/>
    </sheetView>
  </sheetViews>
  <sheetFormatPr defaultRowHeight="14.25" x14ac:dyDescent="0.2"/>
  <cols>
    <col min="1" max="1" width="19.75" customWidth="1"/>
    <col min="2" max="2" width="21.375" customWidth="1"/>
  </cols>
  <sheetData>
    <row r="1" spans="1:3" ht="15" x14ac:dyDescent="0.25">
      <c r="A1" s="1" t="s">
        <v>0</v>
      </c>
      <c r="B1" s="1" t="s">
        <v>16</v>
      </c>
    </row>
    <row r="2" spans="1:3" x14ac:dyDescent="0.2">
      <c r="A2" t="s">
        <v>1</v>
      </c>
      <c r="B2">
        <f>'cooking - frontier energy'!B11</f>
        <v>0.42805755395683454</v>
      </c>
    </row>
    <row r="3" spans="1:3" x14ac:dyDescent="0.2">
      <c r="A3" t="s">
        <v>2</v>
      </c>
      <c r="B3">
        <f>'hot water'!E6</f>
        <v>0.819210941407302</v>
      </c>
    </row>
    <row r="4" spans="1:3" x14ac:dyDescent="0.2">
      <c r="A4" t="s">
        <v>3</v>
      </c>
      <c r="B4">
        <v>0.2</v>
      </c>
      <c r="C4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AA97-226F-40A1-B669-1B7E7324C4E9}">
  <dimension ref="A1:E7"/>
  <sheetViews>
    <sheetView workbookViewId="0">
      <selection activeCell="B11" sqref="B11"/>
    </sheetView>
  </sheetViews>
  <sheetFormatPr defaultRowHeight="14.25" x14ac:dyDescent="0.2"/>
  <cols>
    <col min="1" max="1" width="105.125" customWidth="1"/>
    <col min="2" max="2" width="21.875" customWidth="1"/>
    <col min="3" max="3" width="22.625" customWidth="1"/>
    <col min="4" max="4" width="19.125" customWidth="1"/>
    <col min="10" max="10" width="68.75" customWidth="1"/>
  </cols>
  <sheetData>
    <row r="1" spans="1:5" x14ac:dyDescent="0.2">
      <c r="A1" t="s">
        <v>4</v>
      </c>
    </row>
    <row r="2" spans="1:5" ht="285.75" customHeight="1" x14ac:dyDescent="0.2">
      <c r="A2" t="e" vm="1">
        <v>#VALUE!</v>
      </c>
    </row>
    <row r="3" spans="1:5" x14ac:dyDescent="0.2">
      <c r="A3" t="s">
        <v>5</v>
      </c>
    </row>
    <row r="4" spans="1:5" ht="8.25" customHeight="1" x14ac:dyDescent="0.2"/>
    <row r="5" spans="1:5" x14ac:dyDescent="0.2">
      <c r="A5" t="s">
        <v>20</v>
      </c>
      <c r="B5" t="s">
        <v>7</v>
      </c>
      <c r="C5" t="s">
        <v>8</v>
      </c>
      <c r="D5" t="s">
        <v>14</v>
      </c>
      <c r="E5" t="s">
        <v>15</v>
      </c>
    </row>
    <row r="6" spans="1:5" x14ac:dyDescent="0.2">
      <c r="A6" t="s">
        <v>6</v>
      </c>
      <c r="B6">
        <v>3407</v>
      </c>
      <c r="C6">
        <v>14960</v>
      </c>
      <c r="D6">
        <f>C6*0.278</f>
        <v>4158.88</v>
      </c>
      <c r="E6">
        <f>B6/D6</f>
        <v>0.819210941407302</v>
      </c>
    </row>
    <row r="7" spans="1:5" x14ac:dyDescent="0.2">
      <c r="B7">
        <v>1771</v>
      </c>
      <c r="C7">
        <v>14960</v>
      </c>
      <c r="D7">
        <f>C7*0.278</f>
        <v>4158.88</v>
      </c>
      <c r="E7">
        <f>B7/D7</f>
        <v>0.42583580194667792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CBE2-01F2-40B4-9C2B-DF4F15FCD3F9}">
  <dimension ref="A1:J30"/>
  <sheetViews>
    <sheetView workbookViewId="0">
      <selection activeCell="D3" sqref="D3"/>
    </sheetView>
  </sheetViews>
  <sheetFormatPr defaultRowHeight="14.25" x14ac:dyDescent="0.2"/>
  <cols>
    <col min="1" max="1" width="11.25" bestFit="1" customWidth="1"/>
    <col min="2" max="2" width="6.375" bestFit="1" customWidth="1"/>
    <col min="4" max="4" width="15.875" bestFit="1" customWidth="1"/>
    <col min="5" max="5" width="13.25" bestFit="1" customWidth="1"/>
    <col min="6" max="6" width="11.25" bestFit="1" customWidth="1"/>
    <col min="7" max="7" width="9" bestFit="1" customWidth="1"/>
    <col min="8" max="8" width="11.25" bestFit="1" customWidth="1"/>
    <col min="9" max="9" width="9.875" bestFit="1" customWidth="1"/>
    <col min="10" max="10" width="7.625" bestFit="1" customWidth="1"/>
    <col min="11" max="11" width="7.125" bestFit="1" customWidth="1"/>
    <col min="12" max="12" width="13.625" bestFit="1" customWidth="1"/>
    <col min="13" max="13" width="7.125" bestFit="1" customWidth="1"/>
  </cols>
  <sheetData>
    <row r="1" spans="1:10" x14ac:dyDescent="0.2">
      <c r="A1" t="s">
        <v>21</v>
      </c>
      <c r="B1" t="s">
        <v>22</v>
      </c>
      <c r="E1" t="s">
        <v>21</v>
      </c>
      <c r="F1" t="s">
        <v>41</v>
      </c>
      <c r="H1" t="s">
        <v>43</v>
      </c>
      <c r="J1" t="s">
        <v>17</v>
      </c>
    </row>
    <row r="2" spans="1:10" x14ac:dyDescent="0.2">
      <c r="B2" t="s">
        <v>23</v>
      </c>
      <c r="C2" t="s">
        <v>24</v>
      </c>
      <c r="D2" t="s">
        <v>44</v>
      </c>
      <c r="F2" t="s">
        <v>42</v>
      </c>
    </row>
    <row r="3" spans="1:10" x14ac:dyDescent="0.2">
      <c r="A3" t="s">
        <v>25</v>
      </c>
      <c r="B3" s="4">
        <v>4882</v>
      </c>
      <c r="C3">
        <v>71</v>
      </c>
      <c r="D3">
        <f>B3*0.278 +C3</f>
        <v>1428.1960000000001</v>
      </c>
      <c r="E3" t="s">
        <v>25</v>
      </c>
      <c r="F3">
        <v>559</v>
      </c>
      <c r="G3">
        <f>B3/F3</f>
        <v>8.7334525939177095</v>
      </c>
      <c r="H3">
        <f>F3/D3</f>
        <v>0.39140286067178448</v>
      </c>
    </row>
    <row r="4" spans="1:10" x14ac:dyDescent="0.2">
      <c r="A4" t="s">
        <v>26</v>
      </c>
      <c r="B4" s="4">
        <v>7134</v>
      </c>
      <c r="C4">
        <v>71</v>
      </c>
      <c r="D4">
        <f t="shared" ref="D4:D18" si="0">B4*0.278 +C4</f>
        <v>2054.2520000000004</v>
      </c>
      <c r="E4" t="s">
        <v>26</v>
      </c>
      <c r="F4">
        <v>714</v>
      </c>
      <c r="G4">
        <f t="shared" ref="G4:G18" si="1">B4/F4</f>
        <v>9.9915966386554622</v>
      </c>
      <c r="H4">
        <f t="shared" ref="H4:H18" si="2">F4/D4</f>
        <v>0.34757176821538927</v>
      </c>
    </row>
    <row r="5" spans="1:10" x14ac:dyDescent="0.2">
      <c r="A5" t="s">
        <v>27</v>
      </c>
      <c r="B5" s="4">
        <v>6562</v>
      </c>
      <c r="C5">
        <v>71</v>
      </c>
      <c r="D5">
        <f t="shared" si="0"/>
        <v>1895.2360000000001</v>
      </c>
      <c r="E5" t="s">
        <v>27</v>
      </c>
      <c r="F5">
        <v>673</v>
      </c>
      <c r="G5">
        <f t="shared" si="1"/>
        <v>9.7503714710252609</v>
      </c>
      <c r="H5">
        <f t="shared" si="2"/>
        <v>0.35510089508641668</v>
      </c>
    </row>
    <row r="6" spans="1:10" x14ac:dyDescent="0.2">
      <c r="A6" t="s">
        <v>28</v>
      </c>
      <c r="B6" s="4">
        <v>5810</v>
      </c>
      <c r="C6">
        <v>71</v>
      </c>
      <c r="D6">
        <f t="shared" si="0"/>
        <v>1686.18</v>
      </c>
      <c r="E6" t="s">
        <v>28</v>
      </c>
      <c r="F6">
        <v>620</v>
      </c>
      <c r="G6">
        <f t="shared" si="1"/>
        <v>9.370967741935484</v>
      </c>
      <c r="H6">
        <f t="shared" si="2"/>
        <v>0.36769502662823661</v>
      </c>
    </row>
    <row r="7" spans="1:10" x14ac:dyDescent="0.2">
      <c r="A7" t="s">
        <v>29</v>
      </c>
      <c r="B7" s="4">
        <v>6253</v>
      </c>
      <c r="C7">
        <v>71</v>
      </c>
      <c r="D7">
        <f t="shared" si="0"/>
        <v>1809.3340000000001</v>
      </c>
      <c r="E7" t="s">
        <v>29</v>
      </c>
      <c r="F7">
        <v>652</v>
      </c>
      <c r="G7">
        <f t="shared" si="1"/>
        <v>9.5904907975460123</v>
      </c>
      <c r="H7">
        <f t="shared" si="2"/>
        <v>0.36035358866853767</v>
      </c>
    </row>
    <row r="8" spans="1:10" x14ac:dyDescent="0.2">
      <c r="A8" t="s">
        <v>36</v>
      </c>
      <c r="B8" s="4">
        <v>4203</v>
      </c>
      <c r="C8">
        <v>71</v>
      </c>
      <c r="D8">
        <f t="shared" si="0"/>
        <v>1239.4340000000002</v>
      </c>
      <c r="E8" t="s">
        <v>36</v>
      </c>
      <c r="F8">
        <v>508</v>
      </c>
      <c r="G8">
        <f t="shared" si="1"/>
        <v>8.2736220472440944</v>
      </c>
      <c r="H8">
        <f t="shared" si="2"/>
        <v>0.40986450266815327</v>
      </c>
    </row>
    <row r="9" spans="1:10" x14ac:dyDescent="0.2">
      <c r="A9" t="s">
        <v>37</v>
      </c>
      <c r="B9" s="4">
        <v>6170</v>
      </c>
      <c r="C9">
        <v>71</v>
      </c>
      <c r="D9">
        <f t="shared" si="0"/>
        <v>1786.2600000000002</v>
      </c>
      <c r="E9" t="s">
        <v>37</v>
      </c>
      <c r="F9">
        <v>648</v>
      </c>
      <c r="G9">
        <f t="shared" si="1"/>
        <v>9.5216049382716044</v>
      </c>
      <c r="H9">
        <f t="shared" si="2"/>
        <v>0.3627691377515031</v>
      </c>
    </row>
    <row r="10" spans="1:10" x14ac:dyDescent="0.2">
      <c r="A10" t="s">
        <v>30</v>
      </c>
      <c r="B10" s="4">
        <v>5046</v>
      </c>
      <c r="C10">
        <v>71</v>
      </c>
      <c r="D10">
        <f t="shared" si="0"/>
        <v>1473.7880000000002</v>
      </c>
      <c r="E10" t="s">
        <v>30</v>
      </c>
      <c r="F10">
        <v>568</v>
      </c>
      <c r="G10">
        <f t="shared" si="1"/>
        <v>8.8838028169014081</v>
      </c>
      <c r="H10">
        <f t="shared" si="2"/>
        <v>0.38540142815655976</v>
      </c>
    </row>
    <row r="11" spans="1:10" x14ac:dyDescent="0.2">
      <c r="A11" t="s">
        <v>31</v>
      </c>
      <c r="B11" s="4">
        <v>6747</v>
      </c>
      <c r="C11">
        <v>71</v>
      </c>
      <c r="D11">
        <f t="shared" si="0"/>
        <v>1946.6660000000002</v>
      </c>
      <c r="E11" t="s">
        <v>31</v>
      </c>
      <c r="F11">
        <v>691</v>
      </c>
      <c r="G11">
        <f t="shared" si="1"/>
        <v>9.7641099855282203</v>
      </c>
      <c r="H11">
        <f t="shared" si="2"/>
        <v>0.35496587498831333</v>
      </c>
    </row>
    <row r="12" spans="1:10" x14ac:dyDescent="0.2">
      <c r="A12" t="s">
        <v>32</v>
      </c>
      <c r="B12" s="4">
        <v>5800</v>
      </c>
      <c r="C12">
        <v>71</v>
      </c>
      <c r="D12">
        <f t="shared" si="0"/>
        <v>1683.4</v>
      </c>
      <c r="E12" t="s">
        <v>32</v>
      </c>
      <c r="F12">
        <v>624</v>
      </c>
      <c r="G12">
        <f t="shared" si="1"/>
        <v>9.2948717948717956</v>
      </c>
      <c r="H12">
        <f t="shared" si="2"/>
        <v>0.37067838897469407</v>
      </c>
    </row>
    <row r="13" spans="1:10" x14ac:dyDescent="0.2">
      <c r="A13" t="s">
        <v>33</v>
      </c>
      <c r="B13" s="4">
        <v>4925</v>
      </c>
      <c r="C13">
        <v>71</v>
      </c>
      <c r="D13">
        <f t="shared" si="0"/>
        <v>1440.15</v>
      </c>
      <c r="E13" t="s">
        <v>33</v>
      </c>
      <c r="F13">
        <v>564</v>
      </c>
      <c r="G13">
        <f t="shared" si="1"/>
        <v>8.7322695035460995</v>
      </c>
      <c r="H13">
        <f t="shared" si="2"/>
        <v>0.3916258723049682</v>
      </c>
    </row>
    <row r="14" spans="1:10" x14ac:dyDescent="0.2">
      <c r="A14" t="s">
        <v>38</v>
      </c>
      <c r="B14" s="4">
        <v>4656</v>
      </c>
      <c r="C14">
        <v>71</v>
      </c>
      <c r="D14">
        <f t="shared" si="0"/>
        <v>1365.3680000000002</v>
      </c>
      <c r="E14" t="s">
        <v>38</v>
      </c>
      <c r="F14" s="4">
        <v>544</v>
      </c>
      <c r="G14">
        <f t="shared" si="1"/>
        <v>8.5588235294117645</v>
      </c>
      <c r="H14">
        <f t="shared" si="2"/>
        <v>0.3984273836797112</v>
      </c>
      <c r="J14" s="4"/>
    </row>
    <row r="15" spans="1:10" x14ac:dyDescent="0.2">
      <c r="A15" t="s">
        <v>34</v>
      </c>
      <c r="B15" s="4">
        <v>4898</v>
      </c>
      <c r="C15">
        <v>71</v>
      </c>
      <c r="D15">
        <f t="shared" si="0"/>
        <v>1432.6440000000002</v>
      </c>
      <c r="E15" t="s">
        <v>34</v>
      </c>
      <c r="F15" s="4">
        <v>559</v>
      </c>
      <c r="G15">
        <f t="shared" si="1"/>
        <v>8.7620751341681569</v>
      </c>
      <c r="H15">
        <f t="shared" si="2"/>
        <v>0.39018765303871716</v>
      </c>
      <c r="J15" s="4"/>
    </row>
    <row r="16" spans="1:10" x14ac:dyDescent="0.2">
      <c r="A16" t="s">
        <v>39</v>
      </c>
      <c r="B16" s="4">
        <v>6096</v>
      </c>
      <c r="C16">
        <v>71</v>
      </c>
      <c r="D16">
        <f t="shared" si="0"/>
        <v>1765.6880000000001</v>
      </c>
      <c r="E16" t="s">
        <v>39</v>
      </c>
      <c r="F16" s="4">
        <v>642</v>
      </c>
      <c r="G16">
        <f t="shared" si="1"/>
        <v>9.4953271028037385</v>
      </c>
      <c r="H16">
        <f t="shared" si="2"/>
        <v>0.36359764579019621</v>
      </c>
      <c r="J16" s="4"/>
    </row>
    <row r="17" spans="1:10" x14ac:dyDescent="0.2">
      <c r="A17" t="s">
        <v>40</v>
      </c>
      <c r="B17" s="4">
        <v>6185</v>
      </c>
      <c r="C17">
        <v>71</v>
      </c>
      <c r="D17">
        <f t="shared" si="0"/>
        <v>1790.43</v>
      </c>
      <c r="E17" t="s">
        <v>40</v>
      </c>
      <c r="F17" s="4">
        <v>651</v>
      </c>
      <c r="G17">
        <f t="shared" si="1"/>
        <v>9.5007680491551465</v>
      </c>
      <c r="H17">
        <f t="shared" si="2"/>
        <v>0.36359980563328359</v>
      </c>
      <c r="J17" s="4"/>
    </row>
    <row r="18" spans="1:10" x14ac:dyDescent="0.2">
      <c r="A18" t="s">
        <v>35</v>
      </c>
      <c r="B18" s="4">
        <v>6263</v>
      </c>
      <c r="C18">
        <v>71</v>
      </c>
      <c r="D18">
        <f t="shared" si="0"/>
        <v>1812.1140000000003</v>
      </c>
      <c r="E18" t="s">
        <v>35</v>
      </c>
      <c r="F18" s="4">
        <v>656</v>
      </c>
      <c r="G18">
        <f t="shared" si="1"/>
        <v>9.5472560975609753</v>
      </c>
      <c r="H18">
        <f t="shared" si="2"/>
        <v>0.36200812973135238</v>
      </c>
      <c r="J18" s="4"/>
    </row>
    <row r="19" spans="1:10" x14ac:dyDescent="0.2">
      <c r="D19" s="4"/>
      <c r="H19" s="4"/>
      <c r="J19" s="4"/>
    </row>
    <row r="20" spans="1:10" x14ac:dyDescent="0.2">
      <c r="H20" s="4"/>
      <c r="J20" s="4"/>
    </row>
    <row r="21" spans="1:10" x14ac:dyDescent="0.2">
      <c r="H21" s="4"/>
      <c r="J21" s="4"/>
    </row>
    <row r="22" spans="1:10" x14ac:dyDescent="0.2">
      <c r="H22" s="4"/>
      <c r="J22" s="4"/>
    </row>
    <row r="23" spans="1:10" x14ac:dyDescent="0.2">
      <c r="H23" s="4"/>
      <c r="J23" s="4"/>
    </row>
    <row r="24" spans="1:10" x14ac:dyDescent="0.2">
      <c r="H24" s="4"/>
      <c r="J24" s="4"/>
    </row>
    <row r="25" spans="1:10" x14ac:dyDescent="0.2">
      <c r="H25" s="4"/>
      <c r="J25" s="4"/>
    </row>
    <row r="26" spans="1:10" x14ac:dyDescent="0.2">
      <c r="H26" s="4"/>
      <c r="J26" s="4"/>
    </row>
    <row r="27" spans="1:10" x14ac:dyDescent="0.2">
      <c r="H27" s="4"/>
      <c r="J27" s="4"/>
    </row>
    <row r="28" spans="1:10" x14ac:dyDescent="0.2">
      <c r="H28" s="4"/>
      <c r="J28" s="4"/>
    </row>
    <row r="29" spans="1:10" x14ac:dyDescent="0.2">
      <c r="H29" s="4"/>
      <c r="J29" s="4"/>
    </row>
    <row r="30" spans="1:10" x14ac:dyDescent="0.2">
      <c r="H30" s="4"/>
      <c r="J3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E954-291B-4927-A0A3-E8DD7A018040}">
  <dimension ref="A1:H25"/>
  <sheetViews>
    <sheetView workbookViewId="0">
      <selection activeCell="D12" sqref="D12"/>
    </sheetView>
  </sheetViews>
  <sheetFormatPr defaultRowHeight="14.25" x14ac:dyDescent="0.2"/>
  <cols>
    <col min="1" max="1" width="19.5" customWidth="1"/>
    <col min="2" max="2" width="21" customWidth="1"/>
    <col min="3" max="3" width="20" customWidth="1"/>
    <col min="4" max="4" width="23.25" customWidth="1"/>
  </cols>
  <sheetData>
    <row r="1" spans="1:3" x14ac:dyDescent="0.2">
      <c r="A1" t="s">
        <v>17</v>
      </c>
    </row>
    <row r="3" spans="1:3" x14ac:dyDescent="0.2">
      <c r="A3" t="s">
        <v>18</v>
      </c>
      <c r="B3" t="s">
        <v>8</v>
      </c>
      <c r="C3" t="s">
        <v>15</v>
      </c>
    </row>
    <row r="4" spans="1:3" x14ac:dyDescent="0.2">
      <c r="A4">
        <v>2000</v>
      </c>
      <c r="B4">
        <v>1000</v>
      </c>
      <c r="C4">
        <f>B4/A4</f>
        <v>0.5</v>
      </c>
    </row>
    <row r="25" spans="8:8" x14ac:dyDescent="0.2">
      <c r="H25" t="s">
        <v>19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2A2F-97F0-4C52-8ABB-CC8C8841DC51}">
  <dimension ref="A1:I11"/>
  <sheetViews>
    <sheetView workbookViewId="0">
      <selection activeCell="B11" sqref="B11"/>
    </sheetView>
  </sheetViews>
  <sheetFormatPr defaultRowHeight="14.25" x14ac:dyDescent="0.2"/>
  <cols>
    <col min="1" max="1" width="21.25" bestFit="1" customWidth="1"/>
    <col min="2" max="2" width="23.625" bestFit="1" customWidth="1"/>
    <col min="3" max="3" width="18.75" bestFit="1" customWidth="1"/>
    <col min="4" max="4" width="23.875" bestFit="1" customWidth="1"/>
    <col min="5" max="5" width="31.875" bestFit="1" customWidth="1"/>
    <col min="6" max="6" width="27.75" bestFit="1" customWidth="1"/>
    <col min="7" max="7" width="23.375" bestFit="1" customWidth="1"/>
  </cols>
  <sheetData>
    <row r="1" spans="1:9" x14ac:dyDescent="0.2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62</v>
      </c>
      <c r="I1" t="s">
        <v>61</v>
      </c>
    </row>
    <row r="2" spans="1:9" x14ac:dyDescent="0.2">
      <c r="A2" t="s">
        <v>56</v>
      </c>
      <c r="B2" s="5">
        <v>0.85199999999999998</v>
      </c>
      <c r="C2" s="5">
        <v>0.86099999999999999</v>
      </c>
      <c r="D2" s="5">
        <v>0.83</v>
      </c>
      <c r="E2" s="5">
        <v>0.755</v>
      </c>
      <c r="F2" s="5">
        <v>0.79300000000000004</v>
      </c>
      <c r="G2" s="5">
        <v>0.31900000000000001</v>
      </c>
    </row>
    <row r="3" spans="1:9" x14ac:dyDescent="0.2">
      <c r="A3" t="s">
        <v>57</v>
      </c>
      <c r="B3">
        <v>0.56299999999999994</v>
      </c>
      <c r="C3">
        <v>0.56100000000000005</v>
      </c>
      <c r="D3">
        <v>0.58099999999999996</v>
      </c>
      <c r="E3">
        <v>0.64100000000000001</v>
      </c>
      <c r="F3">
        <v>0.60599999999999998</v>
      </c>
      <c r="G3">
        <v>5.43</v>
      </c>
    </row>
    <row r="4" spans="1:9" x14ac:dyDescent="0.2">
      <c r="A4" t="s">
        <v>58</v>
      </c>
      <c r="B4">
        <v>0.23799999999999999</v>
      </c>
      <c r="C4">
        <v>0.22800000000000001</v>
      </c>
      <c r="D4">
        <v>0.25</v>
      </c>
      <c r="E4">
        <v>0.22700000000000001</v>
      </c>
      <c r="F4">
        <v>0.24399999999999999</v>
      </c>
      <c r="G4">
        <v>1.77</v>
      </c>
    </row>
    <row r="5" spans="1:9" x14ac:dyDescent="0.2">
      <c r="A5" t="s">
        <v>59</v>
      </c>
      <c r="B5">
        <v>0.16900000000000001</v>
      </c>
      <c r="C5">
        <v>0.20699999999999999</v>
      </c>
      <c r="D5">
        <v>0.182</v>
      </c>
      <c r="E5">
        <v>0.182</v>
      </c>
      <c r="F5">
        <v>0.23799999999999999</v>
      </c>
      <c r="G5">
        <v>1.4</v>
      </c>
    </row>
    <row r="6" spans="1:9" x14ac:dyDescent="0.2">
      <c r="A6" t="s">
        <v>60</v>
      </c>
      <c r="B6">
        <f>SUM(B3:B5)</f>
        <v>0.97</v>
      </c>
      <c r="C6">
        <f t="shared" ref="C6:G6" si="0">SUM(C3:C5)</f>
        <v>0.996</v>
      </c>
      <c r="D6">
        <f t="shared" si="0"/>
        <v>1.0129999999999999</v>
      </c>
      <c r="E6">
        <f t="shared" si="0"/>
        <v>1.05</v>
      </c>
      <c r="F6">
        <f t="shared" si="0"/>
        <v>1.0880000000000001</v>
      </c>
      <c r="G6">
        <f t="shared" si="0"/>
        <v>8.6</v>
      </c>
      <c r="H6">
        <f>G6*0.278</f>
        <v>2.3908</v>
      </c>
    </row>
    <row r="7" spans="1:9" x14ac:dyDescent="0.2">
      <c r="A7" t="s">
        <v>63</v>
      </c>
      <c r="B7">
        <f>B6/H6</f>
        <v>0.40572193408064244</v>
      </c>
      <c r="C7">
        <f>C6/H6</f>
        <v>0.41659695499414423</v>
      </c>
      <c r="D7">
        <f>D6/H6</f>
        <v>0.42370754559143375</v>
      </c>
      <c r="E7">
        <f>E6/H6</f>
        <v>0.43918353689141709</v>
      </c>
      <c r="F7">
        <f>F6/H6</f>
        <v>0.4550777982265351</v>
      </c>
    </row>
    <row r="11" spans="1:9" x14ac:dyDescent="0.2">
      <c r="A11" t="s">
        <v>64</v>
      </c>
      <c r="B11">
        <f xml:space="preserve"> AVERAGE(B7:F7)</f>
        <v>0.42805755395683454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7217-C2F6-41E0-A11F-B459D1761CCF}">
  <dimension ref="A1:M17"/>
  <sheetViews>
    <sheetView workbookViewId="0">
      <selection activeCell="M8" sqref="M8"/>
    </sheetView>
  </sheetViews>
  <sheetFormatPr defaultRowHeight="14.25" x14ac:dyDescent="0.2"/>
  <cols>
    <col min="1" max="1" width="13.25" bestFit="1" customWidth="1"/>
    <col min="2" max="2" width="16" bestFit="1" customWidth="1"/>
    <col min="3" max="3" width="11.25" bestFit="1" customWidth="1"/>
    <col min="4" max="4" width="13.25" bestFit="1" customWidth="1"/>
    <col min="5" max="5" width="11.25" bestFit="1" customWidth="1"/>
    <col min="6" max="6" width="9" bestFit="1" customWidth="1"/>
    <col min="7" max="7" width="11.25" bestFit="1" customWidth="1"/>
    <col min="8" max="8" width="9.875" bestFit="1" customWidth="1"/>
    <col min="9" max="9" width="7.625" bestFit="1" customWidth="1"/>
  </cols>
  <sheetData>
    <row r="1" spans="1:13" x14ac:dyDescent="0.2">
      <c r="A1" t="s">
        <v>21</v>
      </c>
      <c r="B1" t="s">
        <v>45</v>
      </c>
      <c r="D1" t="s">
        <v>21</v>
      </c>
      <c r="E1" t="s">
        <v>46</v>
      </c>
      <c r="H1" t="s">
        <v>47</v>
      </c>
      <c r="J1" t="s">
        <v>17</v>
      </c>
    </row>
    <row r="2" spans="1:13" x14ac:dyDescent="0.2">
      <c r="A2" t="s">
        <v>25</v>
      </c>
      <c r="B2" s="4">
        <v>30196</v>
      </c>
      <c r="C2" s="4">
        <f>B2*0.278</f>
        <v>8394.4880000000012</v>
      </c>
      <c r="D2" s="4" t="s">
        <v>25</v>
      </c>
      <c r="E2">
        <v>1295</v>
      </c>
      <c r="H2">
        <f>E2/C2</f>
        <v>0.15426789579066644</v>
      </c>
    </row>
    <row r="3" spans="1:13" x14ac:dyDescent="0.2">
      <c r="A3" t="s">
        <v>26</v>
      </c>
      <c r="B3" s="4">
        <v>59041</v>
      </c>
      <c r="C3" s="4">
        <f t="shared" ref="C3:C16" si="0">B3*0.278</f>
        <v>16413.398000000001</v>
      </c>
      <c r="D3" s="4" t="s">
        <v>26</v>
      </c>
      <c r="E3">
        <v>2121</v>
      </c>
      <c r="H3">
        <f t="shared" ref="H3:H16" si="1">E3/C3</f>
        <v>0.12922369883433033</v>
      </c>
    </row>
    <row r="4" spans="1:13" x14ac:dyDescent="0.2">
      <c r="A4" t="s">
        <v>27</v>
      </c>
      <c r="B4" s="4">
        <v>60039</v>
      </c>
      <c r="C4" s="4">
        <f t="shared" si="0"/>
        <v>16690.842000000001</v>
      </c>
      <c r="D4" s="4" t="s">
        <v>27</v>
      </c>
      <c r="E4">
        <v>2177</v>
      </c>
      <c r="H4">
        <f t="shared" si="1"/>
        <v>0.1304308075050977</v>
      </c>
    </row>
    <row r="5" spans="1:13" x14ac:dyDescent="0.2">
      <c r="A5" t="s">
        <v>28</v>
      </c>
      <c r="B5" s="4">
        <v>35312</v>
      </c>
      <c r="C5" s="4">
        <f t="shared" si="0"/>
        <v>9816.7360000000008</v>
      </c>
      <c r="D5" s="4" t="s">
        <v>28</v>
      </c>
      <c r="E5">
        <v>1447</v>
      </c>
      <c r="H5">
        <f t="shared" si="1"/>
        <v>0.14740133584115941</v>
      </c>
      <c r="M5" t="s">
        <v>61</v>
      </c>
    </row>
    <row r="6" spans="1:13" x14ac:dyDescent="0.2">
      <c r="A6" t="s">
        <v>29</v>
      </c>
      <c r="B6" s="4">
        <v>70560</v>
      </c>
      <c r="C6" s="4">
        <f t="shared" si="0"/>
        <v>19615.68</v>
      </c>
      <c r="D6" s="4" t="s">
        <v>29</v>
      </c>
      <c r="E6">
        <v>2442</v>
      </c>
      <c r="H6">
        <f t="shared" si="1"/>
        <v>0.1244922429403416</v>
      </c>
      <c r="M6">
        <f xml:space="preserve"> 0.88 / 3.9</f>
        <v>0.22564102564102564</v>
      </c>
    </row>
    <row r="7" spans="1:13" x14ac:dyDescent="0.2">
      <c r="A7" t="s">
        <v>37</v>
      </c>
      <c r="B7" s="4">
        <v>55671</v>
      </c>
      <c r="C7" s="4">
        <f t="shared" si="0"/>
        <v>15476.538000000002</v>
      </c>
      <c r="D7" s="4" t="s">
        <v>37</v>
      </c>
      <c r="E7">
        <v>2077</v>
      </c>
      <c r="H7">
        <f t="shared" si="1"/>
        <v>0.13420314026302263</v>
      </c>
    </row>
    <row r="8" spans="1:13" x14ac:dyDescent="0.2">
      <c r="A8" t="s">
        <v>30</v>
      </c>
      <c r="B8" s="4">
        <v>32141</v>
      </c>
      <c r="C8" s="4">
        <f t="shared" si="0"/>
        <v>8935.1980000000003</v>
      </c>
      <c r="D8" s="4" t="s">
        <v>30</v>
      </c>
      <c r="E8">
        <v>1380</v>
      </c>
      <c r="H8">
        <f t="shared" si="1"/>
        <v>0.15444537434984651</v>
      </c>
    </row>
    <row r="9" spans="1:13" x14ac:dyDescent="0.2">
      <c r="A9" t="s">
        <v>31</v>
      </c>
      <c r="B9" s="4">
        <v>69478</v>
      </c>
      <c r="C9" s="4">
        <f t="shared" si="0"/>
        <v>19314.884000000002</v>
      </c>
      <c r="D9" s="4" t="s">
        <v>31</v>
      </c>
      <c r="E9">
        <v>2379</v>
      </c>
      <c r="H9">
        <f t="shared" si="1"/>
        <v>0.12316926159121638</v>
      </c>
    </row>
    <row r="10" spans="1:13" x14ac:dyDescent="0.2">
      <c r="A10" t="s">
        <v>32</v>
      </c>
      <c r="B10" s="4">
        <v>46753</v>
      </c>
      <c r="C10" s="4">
        <f t="shared" si="0"/>
        <v>12997.334000000001</v>
      </c>
      <c r="D10" s="4" t="s">
        <v>32</v>
      </c>
      <c r="E10">
        <v>1758</v>
      </c>
      <c r="H10">
        <f t="shared" si="1"/>
        <v>0.13525850762933384</v>
      </c>
    </row>
    <row r="11" spans="1:13" x14ac:dyDescent="0.2">
      <c r="A11" t="s">
        <v>33</v>
      </c>
      <c r="B11" s="4">
        <v>32241</v>
      </c>
      <c r="C11" s="4">
        <f t="shared" si="0"/>
        <v>8962.9980000000014</v>
      </c>
      <c r="D11" s="4" t="s">
        <v>33</v>
      </c>
      <c r="E11">
        <v>1404</v>
      </c>
      <c r="H11">
        <f t="shared" si="1"/>
        <v>0.15664401576347556</v>
      </c>
      <c r="M11" t="s">
        <v>48</v>
      </c>
    </row>
    <row r="12" spans="1:13" x14ac:dyDescent="0.2">
      <c r="A12" t="s">
        <v>38</v>
      </c>
      <c r="B12" s="4">
        <v>12221</v>
      </c>
      <c r="C12" s="4">
        <f t="shared" si="0"/>
        <v>3397.4380000000001</v>
      </c>
      <c r="D12" s="4" t="s">
        <v>38</v>
      </c>
      <c r="E12">
        <v>824</v>
      </c>
      <c r="H12">
        <f t="shared" si="1"/>
        <v>0.24253569895903912</v>
      </c>
    </row>
    <row r="13" spans="1:13" x14ac:dyDescent="0.2">
      <c r="A13" t="s">
        <v>34</v>
      </c>
      <c r="B13" s="4">
        <v>25120</v>
      </c>
      <c r="C13" s="4">
        <f t="shared" si="0"/>
        <v>6983.3600000000006</v>
      </c>
      <c r="D13" s="4" t="s">
        <v>34</v>
      </c>
      <c r="E13">
        <v>1171</v>
      </c>
      <c r="H13">
        <f t="shared" si="1"/>
        <v>0.16768432387847682</v>
      </c>
    </row>
    <row r="14" spans="1:13" x14ac:dyDescent="0.2">
      <c r="A14" t="s">
        <v>39</v>
      </c>
      <c r="B14" s="4">
        <v>45998</v>
      </c>
      <c r="C14" s="4">
        <f t="shared" si="0"/>
        <v>12787.444000000001</v>
      </c>
      <c r="D14" s="4" t="s">
        <v>39</v>
      </c>
      <c r="E14">
        <v>1781</v>
      </c>
      <c r="H14">
        <f t="shared" si="1"/>
        <v>0.13927724727474855</v>
      </c>
    </row>
    <row r="15" spans="1:13" x14ac:dyDescent="0.2">
      <c r="A15" t="s">
        <v>40</v>
      </c>
      <c r="B15" s="4">
        <v>69115</v>
      </c>
      <c r="C15" s="4">
        <f t="shared" si="0"/>
        <v>19213.97</v>
      </c>
      <c r="D15" s="4" t="s">
        <v>40</v>
      </c>
      <c r="E15">
        <v>2351</v>
      </c>
      <c r="H15">
        <f t="shared" si="1"/>
        <v>0.12235888783005282</v>
      </c>
    </row>
    <row r="16" spans="1:13" x14ac:dyDescent="0.2">
      <c r="A16" t="s">
        <v>35</v>
      </c>
      <c r="B16" s="4">
        <v>48526</v>
      </c>
      <c r="C16" s="4">
        <f t="shared" si="0"/>
        <v>13490.228000000001</v>
      </c>
      <c r="D16" s="4" t="s">
        <v>35</v>
      </c>
      <c r="E16">
        <v>1848</v>
      </c>
      <c r="H16">
        <f t="shared" si="1"/>
        <v>0.13698804794107258</v>
      </c>
    </row>
    <row r="17" spans="3:3" x14ac:dyDescent="0.2">
      <c r="C1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E048-5131-4158-B890-BA5FE2DB0FE4}">
  <dimension ref="B1:G2"/>
  <sheetViews>
    <sheetView workbookViewId="0">
      <selection activeCell="K4" sqref="K4"/>
    </sheetView>
  </sheetViews>
  <sheetFormatPr defaultRowHeight="14.25" x14ac:dyDescent="0.2"/>
  <cols>
    <col min="5" max="5" width="27.25" customWidth="1"/>
  </cols>
  <sheetData>
    <row r="1" spans="2:7" x14ac:dyDescent="0.2"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2:7" x14ac:dyDescent="0.2">
      <c r="B2">
        <v>2020</v>
      </c>
      <c r="C2" s="2">
        <v>11.952774397080001</v>
      </c>
      <c r="D2" s="3">
        <v>1451196</v>
      </c>
      <c r="E2">
        <f>C2/D2</f>
        <v>8.2364989960556679E-6</v>
      </c>
      <c r="F2">
        <f>E2*277800000</f>
        <v>2288.0994211042644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coefficients</vt:lpstr>
      <vt:lpstr>hot water</vt:lpstr>
      <vt:lpstr>hot water (heatpump numbers)</vt:lpstr>
      <vt:lpstr>cooking</vt:lpstr>
      <vt:lpstr>cooking - frontier energy</vt:lpstr>
      <vt:lpstr>space conditioning</vt:lpstr>
      <vt:lpstr>Sheet3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Jones</dc:creator>
  <cp:lastModifiedBy>Dominic Jones</cp:lastModifiedBy>
  <dcterms:created xsi:type="dcterms:W3CDTF">2025-04-01T04:11:14Z</dcterms:created>
  <dcterms:modified xsi:type="dcterms:W3CDTF">2025-04-02T05:41:57Z</dcterms:modified>
</cp:coreProperties>
</file>