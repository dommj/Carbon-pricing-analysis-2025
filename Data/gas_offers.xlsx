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melbcloud-my.sharepoint.com/personal/dominic_jones_grattaninstitute_edu_au/Documents/Energy/Analysis/analysis_cp_dj_2025/Data/"/>
    </mc:Choice>
  </mc:AlternateContent>
  <xr:revisionPtr revIDLastSave="352" documentId="8_{34FCD50F-04D3-49EE-B5ED-54B6E7C6ED99}" xr6:coauthVersionLast="47" xr6:coauthVersionMax="47" xr10:uidLastSave="{7D0FE006-D1D6-4CE0-8A23-9EC5FC4C4591}"/>
  <bookViews>
    <workbookView xWindow="-120" yWindow="-120" windowWidth="29040" windowHeight="15840" activeTab="3" xr2:uid="{7BDC817A-F3D0-41A4-A2A1-AF5F58F12346}"/>
  </bookViews>
  <sheets>
    <sheet name="Sheet1" sheetId="1" r:id="rId1"/>
    <sheet name="Sheet2" sheetId="2" r:id="rId2"/>
    <sheet name="we_tariffs" sheetId="3" r:id="rId3"/>
    <sheet name="we_best_tariff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" i="4" l="1"/>
  <c r="F19" i="4" s="1"/>
  <c r="J18" i="4"/>
  <c r="J19" i="4"/>
  <c r="F18" i="4" s="1"/>
  <c r="H10" i="4"/>
  <c r="I10" i="4" s="1"/>
  <c r="I9" i="4"/>
  <c r="M7" i="2"/>
  <c r="M6" i="2"/>
  <c r="M5" i="2"/>
  <c r="N6" i="2" s="1"/>
  <c r="M4" i="2"/>
  <c r="M3" i="2"/>
  <c r="N4" i="2" l="1"/>
  <c r="N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477E23F-E26C-4374-A180-E52A967C8BB1}" keepAlive="1" name="Query - chat_tou" description="Connection to the 'chat_tou' query in the workbook." type="5" refreshedVersion="0" background="1" saveData="1">
    <dbPr connection="Provider=Microsoft.Mashup.OleDb.1;Data Source=$Workbook$;Location=chat_tou;Extended Properties=&quot;&quot;" command="SELECT * FROM [chat_tou]"/>
  </connection>
  <connection id="2" xr16:uid="{F4B81333-ED39-4481-97A2-5DF79D903741}" keepAlive="1" name="Query - chat_tou (2)" description="Connection to the 'chat_tou (2)' query in the workbook." type="5" refreshedVersion="0" background="1" saveData="1">
    <dbPr connection="Provider=Microsoft.Mashup.OleDb.1;Data Source=$Workbook$;Location=&quot;chat_tou (2)&quot;;Extended Properties=&quot;&quot;" command="SELECT * FROM [chat_tou (2)]"/>
  </connection>
</connections>
</file>

<file path=xl/sharedStrings.xml><?xml version="1.0" encoding="utf-8"?>
<sst xmlns="http://schemas.openxmlformats.org/spreadsheetml/2006/main" count="598" uniqueCount="202">
  <si>
    <t>Company</t>
  </si>
  <si>
    <t>AGL</t>
  </si>
  <si>
    <t>Origin</t>
  </si>
  <si>
    <t>EnergyAustralia</t>
  </si>
  <si>
    <t>State</t>
  </si>
  <si>
    <t>NSW</t>
  </si>
  <si>
    <t>supply charge</t>
  </si>
  <si>
    <t>Customer class</t>
  </si>
  <si>
    <t>Residential</t>
  </si>
  <si>
    <t>Business</t>
  </si>
  <si>
    <t>0_20.712_MJ</t>
  </si>
  <si>
    <t>20.712_41.096_MJ</t>
  </si>
  <si>
    <t>41.096_90.411_MJ</t>
  </si>
  <si>
    <t>20.712_2745.21_MJ</t>
  </si>
  <si>
    <t>20.712_13709.59_MJ</t>
  </si>
  <si>
    <t>QLD</t>
  </si>
  <si>
    <t>0_200.01_MJ</t>
  </si>
  <si>
    <t>200.01_7200.02_MJ</t>
  </si>
  <si>
    <t>0_8.2_MJ</t>
  </si>
  <si>
    <t>8.2_27.4_MJ</t>
  </si>
  <si>
    <t>27.4_9999_MJ</t>
  </si>
  <si>
    <t>SA</t>
  </si>
  <si>
    <t>0_49.32_MJ</t>
  </si>
  <si>
    <t>49.32_9999_MJ</t>
  </si>
  <si>
    <t>ACT</t>
  </si>
  <si>
    <t>0_41.1_MJ</t>
  </si>
  <si>
    <t>41.1_483.29_MJ</t>
  </si>
  <si>
    <t>0_986.3_MJ</t>
  </si>
  <si>
    <t>986.3_5260.27_MJ</t>
  </si>
  <si>
    <t>0_82.19_MJ</t>
  </si>
  <si>
    <t>82.19_3205.48</t>
  </si>
  <si>
    <t>price</t>
  </si>
  <si>
    <t>price_type</t>
  </si>
  <si>
    <t>0_9999_MJ</t>
  </si>
  <si>
    <t>VIC</t>
  </si>
  <si>
    <t>days</t>
  </si>
  <si>
    <t>Months</t>
  </si>
  <si>
    <t>value</t>
  </si>
  <si>
    <t>day</t>
  </si>
  <si>
    <t>0_27.02_MJ</t>
  </si>
  <si>
    <t>27.02_48.62_MJ</t>
  </si>
  <si>
    <t>48.62_9999_MJ</t>
  </si>
  <si>
    <t>0_49.3_MJ</t>
  </si>
  <si>
    <t>49.3_542.5_MJ</t>
  </si>
  <si>
    <t>542.5_1351.2_MJ</t>
  </si>
  <si>
    <t>1351.2_9999_MJ</t>
  </si>
  <si>
    <t>0_109.59_MJ</t>
  </si>
  <si>
    <t>109.59_9999_MJ</t>
  </si>
  <si>
    <t>986.3_5260.3_MJ</t>
  </si>
  <si>
    <t>5260.3_16438.3_MJ</t>
  </si>
  <si>
    <t>483.29_1972.6_MJ</t>
  </si>
  <si>
    <t>0_27.4_MJ</t>
  </si>
  <si>
    <t>27.4_49.3_MJ</t>
  </si>
  <si>
    <t>49.3_9999_MJ</t>
  </si>
  <si>
    <t>0_50_MJ</t>
  </si>
  <si>
    <t>50_550_MJ</t>
  </si>
  <si>
    <t>550_1370_MJ</t>
  </si>
  <si>
    <t>1370_9999_MJ</t>
  </si>
  <si>
    <t>20.71_41.1_MJ</t>
  </si>
  <si>
    <t>0_20.71_MJ</t>
  </si>
  <si>
    <t>41.1_90.41_MJ</t>
  </si>
  <si>
    <t>90.41_2745.2_MJ</t>
  </si>
  <si>
    <t>27.4_49.3</t>
  </si>
  <si>
    <t>90.411_2745.205_MJ</t>
  </si>
  <si>
    <t>0_100_MJ</t>
  </si>
  <si>
    <t>100_200_MJ</t>
  </si>
  <si>
    <t>200_9999_MJ</t>
  </si>
  <si>
    <t>state</t>
  </si>
  <si>
    <t>June 30 2025</t>
  </si>
  <si>
    <t>Retailer</t>
  </si>
  <si>
    <t>Supply Charge</t>
  </si>
  <si>
    <t>4.20c</t>
  </si>
  <si>
    <t>63.95c</t>
  </si>
  <si>
    <t>Energy Locals</t>
  </si>
  <si>
    <t>4.08c</t>
  </si>
  <si>
    <t>69.51c</t>
  </si>
  <si>
    <t>Alinta Energy</t>
  </si>
  <si>
    <t>4.69c</t>
  </si>
  <si>
    <t>58.46c</t>
  </si>
  <si>
    <t>CovalJ</t>
  </si>
  <si>
    <t>70.40c</t>
  </si>
  <si>
    <t>4.34c</t>
  </si>
  <si>
    <t>Red Energy</t>
  </si>
  <si>
    <t>3.94c</t>
  </si>
  <si>
    <t>82.50c</t>
  </si>
  <si>
    <t>Dodo</t>
  </si>
  <si>
    <t>5.24c</t>
  </si>
  <si>
    <t>48.37c</t>
  </si>
  <si>
    <t>Powershop</t>
  </si>
  <si>
    <t>3.85c</t>
  </si>
  <si>
    <t>85.30c</t>
  </si>
  <si>
    <t>Kogan Energy</t>
  </si>
  <si>
    <t>85.31c</t>
  </si>
  <si>
    <t>Origin Energy</t>
  </si>
  <si>
    <t>5.02c</t>
  </si>
  <si>
    <t>74.77c</t>
  </si>
  <si>
    <t>ENGIE</t>
  </si>
  <si>
    <t>6.48c</t>
  </si>
  <si>
    <t>62.88c</t>
  </si>
  <si>
    <t>GloBird Energy</t>
  </si>
  <si>
    <t>6.57c</t>
  </si>
  <si>
    <t>60.82c</t>
  </si>
  <si>
    <t>4.16c</t>
  </si>
  <si>
    <t>71.94c</t>
  </si>
  <si>
    <t>source:https://wattever.com.au/compare-best-gas-rates/</t>
  </si>
  <si>
    <t>Usage Block 1 Rate</t>
  </si>
  <si>
    <t>ActewAGL</t>
  </si>
  <si>
    <t>3.72c</t>
  </si>
  <si>
    <t>62.89c</t>
  </si>
  <si>
    <t>3.84c</t>
  </si>
  <si>
    <t>63.89c</t>
  </si>
  <si>
    <t>4.23C</t>
  </si>
  <si>
    <t>68.20c</t>
  </si>
  <si>
    <t>4.48c</t>
  </si>
  <si>
    <t>77.42c</t>
  </si>
  <si>
    <t>2.63c</t>
  </si>
  <si>
    <t>71.50c</t>
  </si>
  <si>
    <t>3.87c</t>
  </si>
  <si>
    <t>86.16c</t>
  </si>
  <si>
    <t>83.93c</t>
  </si>
  <si>
    <t>Momentum Energy</t>
  </si>
  <si>
    <t>4.18c</t>
  </si>
  <si>
    <t>105.49c</t>
  </si>
  <si>
    <t>Lumo Energy</t>
  </si>
  <si>
    <t>93.50c</t>
  </si>
  <si>
    <t>3.74c</t>
  </si>
  <si>
    <t>85.15c</t>
  </si>
  <si>
    <t>Arcline by RACV</t>
  </si>
  <si>
    <t>3.63c</t>
  </si>
  <si>
    <t>86.90c</t>
  </si>
  <si>
    <t>3.64c</t>
  </si>
  <si>
    <t>97.78c</t>
  </si>
  <si>
    <t>5.11c</t>
  </si>
  <si>
    <t>97.81c</t>
  </si>
  <si>
    <t>3.92c</t>
  </si>
  <si>
    <t>92.00c</t>
  </si>
  <si>
    <t>Vic</t>
  </si>
  <si>
    <t>6.71c</t>
  </si>
  <si>
    <t>65.84c</t>
  </si>
  <si>
    <t>5.50c</t>
  </si>
  <si>
    <t>66.26c</t>
  </si>
  <si>
    <t>75.14c</t>
  </si>
  <si>
    <t>7.13c</t>
  </si>
  <si>
    <t>67.10c</t>
  </si>
  <si>
    <t>9.39c</t>
  </si>
  <si>
    <t>80.03c</t>
  </si>
  <si>
    <t>Qld</t>
  </si>
  <si>
    <t>5.21c</t>
  </si>
  <si>
    <t>67.91c</t>
  </si>
  <si>
    <t>5.08c</t>
  </si>
  <si>
    <t>89.92c</t>
  </si>
  <si>
    <t>AG L</t>
  </si>
  <si>
    <t>5.13c</t>
  </si>
  <si>
    <t>90.14c</t>
  </si>
  <si>
    <t>5.38c</t>
  </si>
  <si>
    <t>6.40c</t>
  </si>
  <si>
    <t>89.12c</t>
  </si>
  <si>
    <t>CovaU</t>
  </si>
  <si>
    <t>7.00c</t>
  </si>
  <si>
    <t>90.33c</t>
  </si>
  <si>
    <t>8.13c</t>
  </si>
  <si>
    <t>69.14c</t>
  </si>
  <si>
    <t>6.20c</t>
  </si>
  <si>
    <t>93.84c</t>
  </si>
  <si>
    <t>7.77c</t>
  </si>
  <si>
    <t>Solstice Energy</t>
  </si>
  <si>
    <t>Tas</t>
  </si>
  <si>
    <t>WA</t>
  </si>
  <si>
    <t>Offers must not have a condition associated and discounts are not included</t>
  </si>
  <si>
    <t>Origin Go Variable</t>
  </si>
  <si>
    <t>2 month</t>
  </si>
  <si>
    <t>daily</t>
  </si>
  <si>
    <t>48.62_99999999_MJ</t>
  </si>
  <si>
    <t>0_99999999_MJ</t>
  </si>
  <si>
    <t>Convert 2 month usage values to daily (for vic)</t>
  </si>
  <si>
    <t>12_999999_MJ</t>
  </si>
  <si>
    <t>MJ/3.6</t>
  </si>
  <si>
    <t>0_12</t>
  </si>
  <si>
    <t>Units:</t>
  </si>
  <si>
    <t>https://www.agl.com.au/help-support/billing-payments/how-billing-works#accordion-ae8b565c12-item-3485ee6345</t>
  </si>
  <si>
    <t>Rates in Units</t>
  </si>
  <si>
    <t>block</t>
  </si>
  <si>
    <t>12_inf</t>
  </si>
  <si>
    <t>43.2_999999</t>
  </si>
  <si>
    <t>0_43.2_MJ</t>
  </si>
  <si>
    <t>company</t>
  </si>
  <si>
    <t>offer</t>
  </si>
  <si>
    <t>origin</t>
  </si>
  <si>
    <t>agl</t>
  </si>
  <si>
    <t>Origin Affinity Variable ePlus - One Big Switch</t>
  </si>
  <si>
    <t>2745.21_999999999_MJ</t>
  </si>
  <si>
    <t>20.71_2745.21_MJ</t>
  </si>
  <si>
    <t>27.4_999999_MJ</t>
  </si>
  <si>
    <t>49.32_99999999_MJ</t>
  </si>
  <si>
    <t>Residential Smart Saver</t>
  </si>
  <si>
    <t>Best offer from a big 3 sourced from: https://www.energymadeeasy.gov.au/, energy compare vic, https://wattever.com.au/compare-best-gas-rates/</t>
  </si>
  <si>
    <t>https://wattever.s3.ap-southeast-2.amazonaws.com/efs/HomeATCOMWSWOriginGoVariable20250701.pdf</t>
  </si>
  <si>
    <t>Solstice energy</t>
  </si>
  <si>
    <t>standing offer</t>
  </si>
  <si>
    <t>Home Saver MAX Gas</t>
  </si>
  <si>
    <t>actewagl</t>
  </si>
  <si>
    <t>483.29_9999999_MJ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</si>
</sst>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\-&quot;$&quot;#,##0.00"/>
  </numFmts>
  <fonts count="7" x14ac:knownFonts="1"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rgb="FF212129"/>
      <name val="Segoe UI"/>
      <family val="2"/>
    </font>
    <font>
      <sz val="11"/>
      <color rgb="FF212129"/>
      <name val="Segoe UI"/>
      <family val="2"/>
    </font>
    <font>
      <b/>
      <sz val="12"/>
      <color rgb="FF212129"/>
      <name val="Segoe UI"/>
      <family val="2"/>
    </font>
    <font>
      <u/>
      <sz val="11"/>
      <color theme="10"/>
      <name val="Arial"/>
      <family val="2"/>
    </font>
    <font>
      <b/>
      <sz val="11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4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8" fontId="0" fillId="0" borderId="0" xfId="0" applyNumberFormat="1"/>
    <xf numFmtId="17" fontId="0" fillId="0" borderId="0" xfId="0" applyNumberFormat="1"/>
    <xf numFmtId="0" fontId="5" fillId="0" borderId="0" xfId="1" applyAlignment="1">
      <alignment horizontal="left" vertical="center" wrapText="1"/>
    </xf>
    <xf numFmtId="0" fontId="4" fillId="0" borderId="0" xfId="0" applyFont="1"/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nergymadeeasy.gov.au/plan?id=ORI431061MRG12&amp;postcode=5000&amp;pricingPeriod=quarterly&amp;withDiscounts=false&amp;benchmarkUsage=medium" TargetMode="External"/><Relationship Id="rId2" Type="http://schemas.openxmlformats.org/officeDocument/2006/relationships/hyperlink" Target="https://www.energymadeeasy.gov.au/plan?id=ORI431045MRG13&amp;postcode=4000&amp;pricingPeriod=quarterly&amp;withDiscounts=false&amp;benchmarkUsage=medium" TargetMode="External"/><Relationship Id="rId1" Type="http://schemas.openxmlformats.org/officeDocument/2006/relationships/hyperlink" Target="https://www.energymadeeasy.gov.au/plan?id=ORI431045MRG13&amp;postcode=4000&amp;pricingPeriod=quarterly&amp;withDiscounts=false&amp;benchmarkUsage=mediu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energymadeeasy.gov.au/plan?id=ORI431061MRG12&amp;postcode=5000&amp;pricingPeriod=quarterly&amp;withDiscounts=false&amp;benchmarkUsage=medium" TargetMode="External"/><Relationship Id="rId4" Type="http://schemas.openxmlformats.org/officeDocument/2006/relationships/hyperlink" Target="https://www.energymadeeasy.gov.au/plan?id=ORI431061MRG12&amp;postcode=5000&amp;pricingPeriod=quarterly&amp;withDiscounts=false&amp;benchmarkUsage=mediu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58918-1F71-4130-831D-FA61B3432DDC}">
  <dimension ref="A1:W11"/>
  <sheetViews>
    <sheetView workbookViewId="0">
      <selection activeCell="H1" sqref="H1"/>
    </sheetView>
  </sheetViews>
  <sheetFormatPr defaultRowHeight="14.25" x14ac:dyDescent="0.2"/>
  <cols>
    <col min="1" max="1" width="13.75" bestFit="1" customWidth="1"/>
    <col min="2" max="2" width="5.25" bestFit="1" customWidth="1"/>
    <col min="3" max="3" width="14" bestFit="1" customWidth="1"/>
    <col min="4" max="4" width="17.375" bestFit="1" customWidth="1"/>
    <col min="5" max="5" width="13.75" bestFit="1" customWidth="1"/>
    <col min="6" max="7" width="14.125" bestFit="1" customWidth="1"/>
    <col min="8" max="8" width="16.625" bestFit="1" customWidth="1"/>
  </cols>
  <sheetData>
    <row r="1" spans="1:23" x14ac:dyDescent="0.2">
      <c r="A1" t="s">
        <v>0</v>
      </c>
      <c r="B1" t="s">
        <v>4</v>
      </c>
      <c r="C1" t="s">
        <v>7</v>
      </c>
      <c r="D1" t="s">
        <v>6</v>
      </c>
      <c r="E1" t="s">
        <v>10</v>
      </c>
      <c r="F1" t="s">
        <v>11</v>
      </c>
      <c r="G1" t="s">
        <v>12</v>
      </c>
      <c r="H1" t="s">
        <v>63</v>
      </c>
      <c r="I1" t="s">
        <v>13</v>
      </c>
      <c r="J1" t="s">
        <v>14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22</v>
      </c>
      <c r="Q1" t="s">
        <v>23</v>
      </c>
      <c r="R1" t="s">
        <v>25</v>
      </c>
      <c r="S1" t="s">
        <v>26</v>
      </c>
      <c r="T1" t="s">
        <v>27</v>
      </c>
      <c r="U1" t="s">
        <v>28</v>
      </c>
      <c r="V1" t="s">
        <v>29</v>
      </c>
      <c r="W1" t="s">
        <v>30</v>
      </c>
    </row>
    <row r="2" spans="1:23" x14ac:dyDescent="0.2">
      <c r="A2" t="s">
        <v>1</v>
      </c>
      <c r="B2" t="s">
        <v>5</v>
      </c>
      <c r="C2" t="s">
        <v>8</v>
      </c>
      <c r="D2">
        <v>85.271538000000007</v>
      </c>
      <c r="E2">
        <v>5.6021239999999999</v>
      </c>
      <c r="F2">
        <v>4.0419939999999999</v>
      </c>
      <c r="G2">
        <v>3.92062</v>
      </c>
      <c r="H2">
        <v>3.8175720000000002</v>
      </c>
    </row>
    <row r="3" spans="1:23" x14ac:dyDescent="0.2">
      <c r="A3" t="s">
        <v>1</v>
      </c>
      <c r="B3" t="s">
        <v>5</v>
      </c>
      <c r="C3" t="s">
        <v>9</v>
      </c>
      <c r="D3">
        <v>93.235538000000005</v>
      </c>
      <c r="E3">
        <v>5.203627</v>
      </c>
      <c r="F3">
        <v>4.2360119999999997</v>
      </c>
      <c r="G3">
        <v>4.1640389999999998</v>
      </c>
      <c r="H3">
        <v>4.0395190000000003</v>
      </c>
    </row>
    <row r="4" spans="1:23" x14ac:dyDescent="0.2">
      <c r="A4" t="s">
        <v>2</v>
      </c>
      <c r="B4" t="s">
        <v>5</v>
      </c>
      <c r="C4" t="s">
        <v>8</v>
      </c>
      <c r="D4">
        <v>83.49</v>
      </c>
      <c r="E4">
        <v>5.47</v>
      </c>
      <c r="I4">
        <v>3.74</v>
      </c>
    </row>
    <row r="5" spans="1:23" x14ac:dyDescent="0.2">
      <c r="A5" t="s">
        <v>2</v>
      </c>
      <c r="B5" t="s">
        <v>5</v>
      </c>
      <c r="C5" t="s">
        <v>9</v>
      </c>
      <c r="D5">
        <v>88</v>
      </c>
      <c r="E5">
        <v>5.35</v>
      </c>
      <c r="J5">
        <v>3.67</v>
      </c>
    </row>
    <row r="6" spans="1:23" x14ac:dyDescent="0.2">
      <c r="A6" t="s">
        <v>2</v>
      </c>
      <c r="B6" t="s">
        <v>15</v>
      </c>
      <c r="C6" t="s">
        <v>8</v>
      </c>
      <c r="D6">
        <v>88.37</v>
      </c>
      <c r="M6">
        <v>7.85</v>
      </c>
      <c r="N6">
        <v>5.88</v>
      </c>
      <c r="O6">
        <v>27.4</v>
      </c>
    </row>
    <row r="7" spans="1:23" x14ac:dyDescent="0.2">
      <c r="A7" t="s">
        <v>2</v>
      </c>
      <c r="B7" t="s">
        <v>15</v>
      </c>
      <c r="C7" t="s">
        <v>9</v>
      </c>
      <c r="D7">
        <v>89.51</v>
      </c>
      <c r="K7">
        <v>5.43</v>
      </c>
      <c r="L7">
        <v>4.84</v>
      </c>
    </row>
    <row r="8" spans="1:23" x14ac:dyDescent="0.2">
      <c r="A8" t="s">
        <v>2</v>
      </c>
      <c r="B8" t="s">
        <v>21</v>
      </c>
      <c r="C8" t="s">
        <v>8</v>
      </c>
      <c r="D8">
        <v>95.16</v>
      </c>
      <c r="P8">
        <v>6.29</v>
      </c>
      <c r="Q8">
        <v>3.29</v>
      </c>
    </row>
    <row r="9" spans="1:23" x14ac:dyDescent="0.2">
      <c r="A9" t="s">
        <v>2</v>
      </c>
      <c r="B9" t="s">
        <v>21</v>
      </c>
      <c r="C9" t="s">
        <v>9</v>
      </c>
      <c r="D9">
        <v>158.80000000000001</v>
      </c>
      <c r="T9">
        <v>4.9000000000000004</v>
      </c>
      <c r="U9">
        <v>3.55</v>
      </c>
    </row>
    <row r="10" spans="1:23" x14ac:dyDescent="0.2">
      <c r="A10" t="s">
        <v>2</v>
      </c>
      <c r="B10" t="s">
        <v>24</v>
      </c>
      <c r="C10" t="s">
        <v>8</v>
      </c>
      <c r="D10">
        <v>88</v>
      </c>
      <c r="R10">
        <v>5.32</v>
      </c>
      <c r="S10">
        <v>4.55</v>
      </c>
    </row>
    <row r="11" spans="1:23" x14ac:dyDescent="0.2">
      <c r="A11" t="s">
        <v>2</v>
      </c>
      <c r="B11" t="s">
        <v>24</v>
      </c>
      <c r="C11" t="s">
        <v>9</v>
      </c>
      <c r="D11">
        <v>155.13999999999999</v>
      </c>
      <c r="V11">
        <v>4.49</v>
      </c>
      <c r="W11">
        <v>4.17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BC47E-69B7-40C3-A1F9-3618C38EA483}">
  <dimension ref="A1:N55"/>
  <sheetViews>
    <sheetView workbookViewId="0">
      <selection sqref="A1:E1"/>
    </sheetView>
  </sheetViews>
  <sheetFormatPr defaultRowHeight="14.25" x14ac:dyDescent="0.2"/>
  <cols>
    <col min="1" max="1" width="17.25" customWidth="1"/>
    <col min="2" max="2" width="18.125" customWidth="1"/>
    <col min="3" max="3" width="24.25" customWidth="1"/>
    <col min="4" max="4" width="20.875" customWidth="1"/>
    <col min="5" max="5" width="33.875" customWidth="1"/>
  </cols>
  <sheetData>
    <row r="1" spans="1:14" ht="15" x14ac:dyDescent="0.25">
      <c r="A1" s="2" t="s">
        <v>0</v>
      </c>
      <c r="B1" s="2" t="s">
        <v>4</v>
      </c>
      <c r="C1" s="2" t="s">
        <v>7</v>
      </c>
      <c r="D1" s="2" t="s">
        <v>32</v>
      </c>
      <c r="E1" s="2" t="s">
        <v>31</v>
      </c>
    </row>
    <row r="2" spans="1:14" x14ac:dyDescent="0.2">
      <c r="A2" t="s">
        <v>1</v>
      </c>
      <c r="B2" t="s">
        <v>15</v>
      </c>
      <c r="C2" t="s">
        <v>8</v>
      </c>
      <c r="D2" t="s">
        <v>6</v>
      </c>
      <c r="E2">
        <v>97.82</v>
      </c>
      <c r="J2" t="s">
        <v>35</v>
      </c>
      <c r="K2" t="s">
        <v>36</v>
      </c>
      <c r="L2" t="s">
        <v>37</v>
      </c>
      <c r="M2" t="s">
        <v>38</v>
      </c>
    </row>
    <row r="3" spans="1:14" x14ac:dyDescent="0.2">
      <c r="A3" t="s">
        <v>1</v>
      </c>
      <c r="B3" t="s">
        <v>15</v>
      </c>
      <c r="C3" t="s">
        <v>8</v>
      </c>
      <c r="D3" t="s">
        <v>33</v>
      </c>
      <c r="E3">
        <v>6.46</v>
      </c>
      <c r="J3">
        <v>30.416699999999999</v>
      </c>
      <c r="K3">
        <v>2</v>
      </c>
      <c r="L3">
        <v>1644</v>
      </c>
      <c r="M3">
        <f>L3/(K3*J3)</f>
        <v>27.02462791821598</v>
      </c>
    </row>
    <row r="4" spans="1:14" x14ac:dyDescent="0.2">
      <c r="A4" t="s">
        <v>1</v>
      </c>
      <c r="B4" t="s">
        <v>15</v>
      </c>
      <c r="C4" t="s">
        <v>9</v>
      </c>
      <c r="D4" t="s">
        <v>6</v>
      </c>
      <c r="E4">
        <v>101</v>
      </c>
      <c r="L4">
        <v>1314</v>
      </c>
      <c r="M4">
        <f>L4/(K3*J3)</f>
        <v>21.599976328793066</v>
      </c>
      <c r="N4">
        <f>M3+M4</f>
        <v>48.624604247009046</v>
      </c>
    </row>
    <row r="5" spans="1:14" x14ac:dyDescent="0.2">
      <c r="A5" t="s">
        <v>1</v>
      </c>
      <c r="B5" t="s">
        <v>15</v>
      </c>
      <c r="C5" t="s">
        <v>9</v>
      </c>
      <c r="D5" t="s">
        <v>33</v>
      </c>
      <c r="E5">
        <v>5.38</v>
      </c>
      <c r="L5">
        <v>3000</v>
      </c>
      <c r="M5">
        <f>L5/(K3*J3)</f>
        <v>49.315014449299234</v>
      </c>
    </row>
    <row r="6" spans="1:14" x14ac:dyDescent="0.2">
      <c r="A6" t="s">
        <v>1</v>
      </c>
      <c r="B6" t="s">
        <v>34</v>
      </c>
      <c r="C6" t="s">
        <v>8</v>
      </c>
      <c r="D6" t="s">
        <v>6</v>
      </c>
      <c r="E6">
        <v>101.64</v>
      </c>
      <c r="L6" s="1">
        <v>30000</v>
      </c>
      <c r="M6">
        <f>L6/(K3*J3)</f>
        <v>493.15014449299235</v>
      </c>
      <c r="N6">
        <f>SUM(M5:M6)</f>
        <v>542.46515894229162</v>
      </c>
    </row>
    <row r="7" spans="1:14" x14ac:dyDescent="0.2">
      <c r="A7" t="s">
        <v>1</v>
      </c>
      <c r="B7" t="s">
        <v>34</v>
      </c>
      <c r="C7" t="s">
        <v>8</v>
      </c>
      <c r="D7" t="s">
        <v>39</v>
      </c>
      <c r="E7">
        <v>4.91</v>
      </c>
      <c r="L7">
        <v>49200</v>
      </c>
      <c r="M7">
        <f>L7/(K3*J3)</f>
        <v>808.76623696850743</v>
      </c>
      <c r="N7">
        <f>SUM(M5:M7)</f>
        <v>1351.2313959107992</v>
      </c>
    </row>
    <row r="8" spans="1:14" x14ac:dyDescent="0.2">
      <c r="A8" t="s">
        <v>1</v>
      </c>
      <c r="B8" t="s">
        <v>34</v>
      </c>
      <c r="C8" t="s">
        <v>8</v>
      </c>
      <c r="D8" t="s">
        <v>40</v>
      </c>
      <c r="E8">
        <v>4.62</v>
      </c>
    </row>
    <row r="9" spans="1:14" x14ac:dyDescent="0.2">
      <c r="A9" t="s">
        <v>1</v>
      </c>
      <c r="B9" t="s">
        <v>34</v>
      </c>
      <c r="C9" t="s">
        <v>8</v>
      </c>
      <c r="D9" t="s">
        <v>41</v>
      </c>
      <c r="E9">
        <v>3.14</v>
      </c>
    </row>
    <row r="10" spans="1:14" x14ac:dyDescent="0.2">
      <c r="A10" t="s">
        <v>1</v>
      </c>
      <c r="B10" t="s">
        <v>34</v>
      </c>
      <c r="C10" t="s">
        <v>9</v>
      </c>
      <c r="D10" t="s">
        <v>6</v>
      </c>
      <c r="E10">
        <v>124.32</v>
      </c>
    </row>
    <row r="11" spans="1:14" x14ac:dyDescent="0.2">
      <c r="A11" t="s">
        <v>1</v>
      </c>
      <c r="B11" t="s">
        <v>34</v>
      </c>
      <c r="C11" t="s">
        <v>9</v>
      </c>
      <c r="D11" t="s">
        <v>42</v>
      </c>
      <c r="E11">
        <v>4.8099999999999996</v>
      </c>
    </row>
    <row r="12" spans="1:14" x14ac:dyDescent="0.2">
      <c r="A12" t="s">
        <v>1</v>
      </c>
      <c r="B12" t="s">
        <v>34</v>
      </c>
      <c r="C12" t="s">
        <v>9</v>
      </c>
      <c r="D12" t="s">
        <v>43</v>
      </c>
      <c r="E12">
        <v>3.66</v>
      </c>
    </row>
    <row r="13" spans="1:14" x14ac:dyDescent="0.2">
      <c r="A13" t="s">
        <v>1</v>
      </c>
      <c r="B13" t="s">
        <v>34</v>
      </c>
      <c r="C13" t="s">
        <v>9</v>
      </c>
      <c r="D13" t="s">
        <v>44</v>
      </c>
      <c r="E13">
        <v>3.28</v>
      </c>
    </row>
    <row r="14" spans="1:14" x14ac:dyDescent="0.2">
      <c r="A14" t="s">
        <v>1</v>
      </c>
      <c r="B14" t="s">
        <v>34</v>
      </c>
      <c r="C14" t="s">
        <v>9</v>
      </c>
      <c r="D14" t="s">
        <v>45</v>
      </c>
      <c r="E14">
        <v>2.73</v>
      </c>
    </row>
    <row r="15" spans="1:14" x14ac:dyDescent="0.2">
      <c r="A15" t="s">
        <v>1</v>
      </c>
      <c r="B15" t="s">
        <v>21</v>
      </c>
      <c r="C15" t="s">
        <v>8</v>
      </c>
      <c r="D15" t="s">
        <v>6</v>
      </c>
      <c r="E15">
        <v>103.6</v>
      </c>
    </row>
    <row r="16" spans="1:14" x14ac:dyDescent="0.2">
      <c r="A16" t="s">
        <v>1</v>
      </c>
      <c r="B16" t="s">
        <v>21</v>
      </c>
      <c r="C16" t="s">
        <v>8</v>
      </c>
      <c r="D16" t="s">
        <v>46</v>
      </c>
      <c r="E16">
        <v>5.92</v>
      </c>
    </row>
    <row r="17" spans="1:5" x14ac:dyDescent="0.2">
      <c r="A17" t="s">
        <v>1</v>
      </c>
      <c r="B17" t="s">
        <v>21</v>
      </c>
      <c r="C17" t="s">
        <v>8</v>
      </c>
      <c r="D17" t="s">
        <v>47</v>
      </c>
      <c r="E17">
        <v>3.35</v>
      </c>
    </row>
    <row r="18" spans="1:5" x14ac:dyDescent="0.2">
      <c r="A18" t="s">
        <v>1</v>
      </c>
      <c r="B18" t="s">
        <v>21</v>
      </c>
      <c r="C18" t="s">
        <v>9</v>
      </c>
      <c r="D18" t="s">
        <v>6</v>
      </c>
      <c r="E18">
        <v>162.16</v>
      </c>
    </row>
    <row r="19" spans="1:5" x14ac:dyDescent="0.2">
      <c r="A19" t="s">
        <v>1</v>
      </c>
      <c r="B19" t="s">
        <v>21</v>
      </c>
      <c r="C19" t="s">
        <v>9</v>
      </c>
      <c r="D19" t="s">
        <v>27</v>
      </c>
      <c r="E19">
        <v>4.74</v>
      </c>
    </row>
    <row r="20" spans="1:5" x14ac:dyDescent="0.2">
      <c r="A20" t="s">
        <v>1</v>
      </c>
      <c r="B20" t="s">
        <v>21</v>
      </c>
      <c r="C20" t="s">
        <v>9</v>
      </c>
      <c r="D20" t="s">
        <v>48</v>
      </c>
      <c r="E20">
        <v>3.8</v>
      </c>
    </row>
    <row r="21" spans="1:5" x14ac:dyDescent="0.2">
      <c r="A21" t="s">
        <v>1</v>
      </c>
      <c r="B21" t="s">
        <v>21</v>
      </c>
      <c r="C21" t="s">
        <v>9</v>
      </c>
      <c r="D21" t="s">
        <v>49</v>
      </c>
      <c r="E21">
        <v>3.09</v>
      </c>
    </row>
    <row r="22" spans="1:5" x14ac:dyDescent="0.2">
      <c r="A22" t="s">
        <v>1</v>
      </c>
      <c r="B22" t="s">
        <v>24</v>
      </c>
      <c r="C22" t="s">
        <v>8</v>
      </c>
      <c r="D22" t="s">
        <v>6</v>
      </c>
      <c r="E22">
        <v>83.6</v>
      </c>
    </row>
    <row r="23" spans="1:5" x14ac:dyDescent="0.2">
      <c r="A23" t="s">
        <v>1</v>
      </c>
      <c r="B23" t="s">
        <v>24</v>
      </c>
      <c r="C23" t="s">
        <v>8</v>
      </c>
      <c r="D23" t="s">
        <v>25</v>
      </c>
      <c r="E23">
        <v>5.5</v>
      </c>
    </row>
    <row r="24" spans="1:5" x14ac:dyDescent="0.2">
      <c r="A24" t="s">
        <v>1</v>
      </c>
      <c r="B24" t="s">
        <v>24</v>
      </c>
      <c r="C24" t="s">
        <v>8</v>
      </c>
      <c r="D24" t="s">
        <v>26</v>
      </c>
      <c r="E24">
        <v>4.6399999999999997</v>
      </c>
    </row>
    <row r="25" spans="1:5" x14ac:dyDescent="0.2">
      <c r="A25" t="s">
        <v>1</v>
      </c>
      <c r="B25" t="s">
        <v>24</v>
      </c>
      <c r="C25" t="s">
        <v>8</v>
      </c>
      <c r="D25" t="s">
        <v>50</v>
      </c>
      <c r="E25">
        <v>3.96</v>
      </c>
    </row>
    <row r="26" spans="1:5" x14ac:dyDescent="0.2">
      <c r="A26" t="s">
        <v>1</v>
      </c>
      <c r="B26" t="s">
        <v>24</v>
      </c>
      <c r="C26" t="s">
        <v>9</v>
      </c>
      <c r="D26" t="s">
        <v>6</v>
      </c>
      <c r="E26">
        <v>161.69999999999999</v>
      </c>
    </row>
    <row r="27" spans="1:5" x14ac:dyDescent="0.2">
      <c r="A27" t="s">
        <v>1</v>
      </c>
      <c r="B27" t="s">
        <v>24</v>
      </c>
      <c r="C27" t="s">
        <v>9</v>
      </c>
      <c r="D27" t="s">
        <v>25</v>
      </c>
      <c r="E27">
        <v>4.3499999999999996</v>
      </c>
    </row>
    <row r="28" spans="1:5" x14ac:dyDescent="0.2">
      <c r="A28" t="s">
        <v>1</v>
      </c>
      <c r="B28" t="s">
        <v>24</v>
      </c>
      <c r="C28" t="s">
        <v>9</v>
      </c>
      <c r="D28" t="s">
        <v>26</v>
      </c>
      <c r="E28">
        <v>4.21</v>
      </c>
    </row>
    <row r="29" spans="1:5" x14ac:dyDescent="0.2">
      <c r="A29" t="s">
        <v>1</v>
      </c>
      <c r="B29" t="s">
        <v>24</v>
      </c>
      <c r="C29" t="s">
        <v>9</v>
      </c>
      <c r="D29" t="s">
        <v>50</v>
      </c>
      <c r="E29">
        <v>4.09</v>
      </c>
    </row>
    <row r="30" spans="1:5" x14ac:dyDescent="0.2">
      <c r="A30" t="s">
        <v>3</v>
      </c>
      <c r="B30" t="s">
        <v>34</v>
      </c>
      <c r="C30" t="s">
        <v>8</v>
      </c>
      <c r="D30" t="s">
        <v>6</v>
      </c>
      <c r="E30">
        <v>116.71</v>
      </c>
    </row>
    <row r="31" spans="1:5" x14ac:dyDescent="0.2">
      <c r="A31" t="s">
        <v>3</v>
      </c>
      <c r="B31" t="s">
        <v>34</v>
      </c>
      <c r="C31" t="s">
        <v>8</v>
      </c>
      <c r="D31" t="s">
        <v>51</v>
      </c>
      <c r="E31">
        <v>5.16</v>
      </c>
    </row>
    <row r="32" spans="1:5" x14ac:dyDescent="0.2">
      <c r="A32" t="s">
        <v>3</v>
      </c>
      <c r="B32" t="s">
        <v>34</v>
      </c>
      <c r="C32" t="s">
        <v>8</v>
      </c>
      <c r="D32" t="s">
        <v>52</v>
      </c>
      <c r="E32">
        <v>3.91</v>
      </c>
    </row>
    <row r="33" spans="1:5" x14ac:dyDescent="0.2">
      <c r="A33" t="s">
        <v>3</v>
      </c>
      <c r="B33" t="s">
        <v>34</v>
      </c>
      <c r="C33" t="s">
        <v>8</v>
      </c>
      <c r="D33" t="s">
        <v>53</v>
      </c>
      <c r="E33">
        <v>3.21</v>
      </c>
    </row>
    <row r="34" spans="1:5" x14ac:dyDescent="0.2">
      <c r="A34" t="s">
        <v>3</v>
      </c>
      <c r="B34" t="s">
        <v>34</v>
      </c>
      <c r="C34" t="s">
        <v>9</v>
      </c>
      <c r="D34" t="s">
        <v>6</v>
      </c>
      <c r="E34">
        <v>136.72999999999999</v>
      </c>
    </row>
    <row r="35" spans="1:5" x14ac:dyDescent="0.2">
      <c r="A35" t="s">
        <v>3</v>
      </c>
      <c r="B35" t="s">
        <v>34</v>
      </c>
      <c r="C35" t="s">
        <v>9</v>
      </c>
      <c r="D35" t="s">
        <v>54</v>
      </c>
      <c r="E35">
        <v>4.59</v>
      </c>
    </row>
    <row r="36" spans="1:5" x14ac:dyDescent="0.2">
      <c r="A36" t="s">
        <v>3</v>
      </c>
      <c r="B36" t="s">
        <v>34</v>
      </c>
      <c r="C36" t="s">
        <v>9</v>
      </c>
      <c r="D36" t="s">
        <v>55</v>
      </c>
      <c r="E36">
        <v>3.7</v>
      </c>
    </row>
    <row r="37" spans="1:5" x14ac:dyDescent="0.2">
      <c r="A37" t="s">
        <v>3</v>
      </c>
      <c r="B37" t="s">
        <v>34</v>
      </c>
      <c r="C37" t="s">
        <v>9</v>
      </c>
      <c r="D37" t="s">
        <v>56</v>
      </c>
      <c r="E37">
        <v>3.34</v>
      </c>
    </row>
    <row r="38" spans="1:5" x14ac:dyDescent="0.2">
      <c r="A38" t="s">
        <v>3</v>
      </c>
      <c r="B38" t="s">
        <v>34</v>
      </c>
      <c r="C38" t="s">
        <v>9</v>
      </c>
      <c r="D38" t="s">
        <v>57</v>
      </c>
      <c r="E38">
        <v>2.89</v>
      </c>
    </row>
    <row r="39" spans="1:5" x14ac:dyDescent="0.2">
      <c r="A39" t="s">
        <v>3</v>
      </c>
      <c r="B39" t="s">
        <v>5</v>
      </c>
      <c r="C39" t="s">
        <v>8</v>
      </c>
      <c r="D39" t="s">
        <v>6</v>
      </c>
      <c r="E39">
        <v>88.44</v>
      </c>
    </row>
    <row r="40" spans="1:5" x14ac:dyDescent="0.2">
      <c r="A40" t="s">
        <v>3</v>
      </c>
      <c r="B40" t="s">
        <v>5</v>
      </c>
      <c r="C40" t="s">
        <v>8</v>
      </c>
      <c r="D40" t="s">
        <v>59</v>
      </c>
      <c r="E40">
        <v>5.69</v>
      </c>
    </row>
    <row r="41" spans="1:5" x14ac:dyDescent="0.2">
      <c r="A41" t="s">
        <v>3</v>
      </c>
      <c r="B41" t="s">
        <v>5</v>
      </c>
      <c r="C41" t="s">
        <v>8</v>
      </c>
      <c r="D41" t="s">
        <v>58</v>
      </c>
      <c r="E41">
        <v>4.05</v>
      </c>
    </row>
    <row r="42" spans="1:5" x14ac:dyDescent="0.2">
      <c r="A42" t="s">
        <v>3</v>
      </c>
      <c r="B42" t="s">
        <v>5</v>
      </c>
      <c r="C42" t="s">
        <v>8</v>
      </c>
      <c r="D42" t="s">
        <v>60</v>
      </c>
      <c r="E42">
        <v>3.76</v>
      </c>
    </row>
    <row r="43" spans="1:5" x14ac:dyDescent="0.2">
      <c r="A43" t="s">
        <v>3</v>
      </c>
      <c r="B43" t="s">
        <v>5</v>
      </c>
      <c r="C43" t="s">
        <v>8</v>
      </c>
      <c r="D43" t="s">
        <v>61</v>
      </c>
      <c r="E43">
        <v>3.7</v>
      </c>
    </row>
    <row r="44" spans="1:5" ht="17.25" x14ac:dyDescent="0.3">
      <c r="A44" t="s">
        <v>3</v>
      </c>
      <c r="B44" t="s">
        <v>21</v>
      </c>
      <c r="C44" t="s">
        <v>8</v>
      </c>
      <c r="D44" t="s">
        <v>6</v>
      </c>
      <c r="E44" s="3">
        <v>101.2</v>
      </c>
    </row>
    <row r="45" spans="1:5" x14ac:dyDescent="0.2">
      <c r="A45" t="s">
        <v>3</v>
      </c>
      <c r="B45" t="s">
        <v>21</v>
      </c>
      <c r="C45" t="s">
        <v>8</v>
      </c>
      <c r="D45" t="s">
        <v>51</v>
      </c>
      <c r="E45">
        <v>7.4</v>
      </c>
    </row>
    <row r="46" spans="1:5" x14ac:dyDescent="0.2">
      <c r="A46" t="s">
        <v>3</v>
      </c>
      <c r="B46" t="s">
        <v>21</v>
      </c>
      <c r="C46" t="s">
        <v>8</v>
      </c>
      <c r="D46" t="s">
        <v>62</v>
      </c>
      <c r="E46">
        <v>5.15</v>
      </c>
    </row>
    <row r="47" spans="1:5" x14ac:dyDescent="0.2">
      <c r="A47" t="s">
        <v>3</v>
      </c>
      <c r="B47" t="s">
        <v>21</v>
      </c>
      <c r="C47" t="s">
        <v>8</v>
      </c>
      <c r="D47" t="s">
        <v>53</v>
      </c>
      <c r="E47">
        <v>3.28</v>
      </c>
    </row>
    <row r="48" spans="1:5" ht="16.5" x14ac:dyDescent="0.3">
      <c r="A48" t="s">
        <v>3</v>
      </c>
      <c r="B48" t="s">
        <v>24</v>
      </c>
      <c r="C48" t="s">
        <v>8</v>
      </c>
      <c r="D48" t="s">
        <v>6</v>
      </c>
      <c r="E48" s="4">
        <v>93.28</v>
      </c>
    </row>
    <row r="49" spans="1:5" x14ac:dyDescent="0.2">
      <c r="A49" t="s">
        <v>3</v>
      </c>
      <c r="B49" t="s">
        <v>24</v>
      </c>
      <c r="C49" t="s">
        <v>8</v>
      </c>
      <c r="D49" t="s">
        <v>25</v>
      </c>
      <c r="E49">
        <v>5.4</v>
      </c>
    </row>
    <row r="50" spans="1:5" x14ac:dyDescent="0.2">
      <c r="A50" t="s">
        <v>3</v>
      </c>
      <c r="B50" t="s">
        <v>24</v>
      </c>
      <c r="C50" t="s">
        <v>8</v>
      </c>
      <c r="D50" t="s">
        <v>26</v>
      </c>
      <c r="E50">
        <v>4.32</v>
      </c>
    </row>
    <row r="51" spans="1:5" x14ac:dyDescent="0.2">
      <c r="A51" t="s">
        <v>3</v>
      </c>
      <c r="B51" t="s">
        <v>24</v>
      </c>
      <c r="C51" t="s">
        <v>8</v>
      </c>
      <c r="D51" t="s">
        <v>50</v>
      </c>
      <c r="E51">
        <v>4.28</v>
      </c>
    </row>
    <row r="52" spans="1:5" x14ac:dyDescent="0.2">
      <c r="A52" t="s">
        <v>2</v>
      </c>
      <c r="B52" t="s">
        <v>34</v>
      </c>
      <c r="C52" t="s">
        <v>8</v>
      </c>
      <c r="D52" t="s">
        <v>6</v>
      </c>
      <c r="E52">
        <v>96.8</v>
      </c>
    </row>
    <row r="53" spans="1:5" x14ac:dyDescent="0.2">
      <c r="A53" t="s">
        <v>2</v>
      </c>
      <c r="B53" t="s">
        <v>34</v>
      </c>
      <c r="C53" t="s">
        <v>8</v>
      </c>
      <c r="D53" t="s">
        <v>64</v>
      </c>
      <c r="E53">
        <v>3.96</v>
      </c>
    </row>
    <row r="54" spans="1:5" x14ac:dyDescent="0.2">
      <c r="A54" t="s">
        <v>2</v>
      </c>
      <c r="B54" t="s">
        <v>34</v>
      </c>
      <c r="C54" t="s">
        <v>8</v>
      </c>
      <c r="D54" t="s">
        <v>65</v>
      </c>
      <c r="E54">
        <v>3.85</v>
      </c>
    </row>
    <row r="55" spans="1:5" x14ac:dyDescent="0.2">
      <c r="A55" t="s">
        <v>2</v>
      </c>
      <c r="B55" t="s">
        <v>34</v>
      </c>
      <c r="C55" t="s">
        <v>8</v>
      </c>
      <c r="D55" t="s">
        <v>66</v>
      </c>
      <c r="E55">
        <v>3.41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A8BD9-AEC5-4E64-8F9A-15A031DCF7BC}">
  <dimension ref="A1:F45"/>
  <sheetViews>
    <sheetView workbookViewId="0">
      <selection activeCell="F1" sqref="F1"/>
    </sheetView>
  </sheetViews>
  <sheetFormatPr defaultRowHeight="14.25" x14ac:dyDescent="0.2"/>
  <cols>
    <col min="1" max="1" width="13.75" bestFit="1" customWidth="1"/>
    <col min="2" max="2" width="16.75" customWidth="1"/>
    <col min="3" max="3" width="6.375" bestFit="1" customWidth="1"/>
  </cols>
  <sheetData>
    <row r="1" spans="1:6" x14ac:dyDescent="0.2">
      <c r="A1" t="s">
        <v>69</v>
      </c>
      <c r="B1" t="s">
        <v>105</v>
      </c>
      <c r="C1" t="s">
        <v>70</v>
      </c>
      <c r="D1" t="s">
        <v>67</v>
      </c>
      <c r="F1" t="s">
        <v>104</v>
      </c>
    </row>
    <row r="2" spans="1:6" x14ac:dyDescent="0.2">
      <c r="A2" t="s">
        <v>106</v>
      </c>
      <c r="B2" s="5" t="s">
        <v>107</v>
      </c>
      <c r="C2" t="s">
        <v>108</v>
      </c>
      <c r="D2" t="s">
        <v>24</v>
      </c>
      <c r="F2" t="s">
        <v>68</v>
      </c>
    </row>
    <row r="3" spans="1:6" x14ac:dyDescent="0.2">
      <c r="A3" t="s">
        <v>93</v>
      </c>
      <c r="B3" s="5" t="s">
        <v>109</v>
      </c>
      <c r="C3" t="s">
        <v>110</v>
      </c>
      <c r="D3" t="s">
        <v>24</v>
      </c>
    </row>
    <row r="4" spans="1:6" x14ac:dyDescent="0.2">
      <c r="A4" t="s">
        <v>82</v>
      </c>
      <c r="B4" s="5" t="s">
        <v>111</v>
      </c>
      <c r="C4" t="s">
        <v>112</v>
      </c>
      <c r="D4" t="s">
        <v>24</v>
      </c>
    </row>
    <row r="5" spans="1:6" x14ac:dyDescent="0.2">
      <c r="A5" t="s">
        <v>3</v>
      </c>
      <c r="B5" s="5" t="s">
        <v>113</v>
      </c>
      <c r="C5" t="s">
        <v>114</v>
      </c>
      <c r="D5" t="s">
        <v>24</v>
      </c>
    </row>
    <row r="6" spans="1:6" x14ac:dyDescent="0.2">
      <c r="A6" t="s">
        <v>1</v>
      </c>
      <c r="B6" t="s">
        <v>71</v>
      </c>
      <c r="C6" t="s">
        <v>72</v>
      </c>
      <c r="D6" t="s">
        <v>5</v>
      </c>
    </row>
    <row r="7" spans="1:6" x14ac:dyDescent="0.2">
      <c r="A7" t="s">
        <v>73</v>
      </c>
      <c r="B7" t="s">
        <v>74</v>
      </c>
      <c r="C7" t="s">
        <v>75</v>
      </c>
      <c r="D7" t="s">
        <v>5</v>
      </c>
    </row>
    <row r="8" spans="1:6" x14ac:dyDescent="0.2">
      <c r="A8" t="s">
        <v>76</v>
      </c>
      <c r="B8" t="s">
        <v>77</v>
      </c>
      <c r="C8" t="s">
        <v>78</v>
      </c>
      <c r="D8" t="s">
        <v>5</v>
      </c>
    </row>
    <row r="9" spans="1:6" x14ac:dyDescent="0.2">
      <c r="A9" t="s">
        <v>79</v>
      </c>
      <c r="B9" t="s">
        <v>102</v>
      </c>
      <c r="C9" t="s">
        <v>80</v>
      </c>
      <c r="D9" t="s">
        <v>5</v>
      </c>
    </row>
    <row r="10" spans="1:6" x14ac:dyDescent="0.2">
      <c r="A10" t="s">
        <v>3</v>
      </c>
      <c r="B10" t="s">
        <v>81</v>
      </c>
      <c r="C10" t="s">
        <v>103</v>
      </c>
      <c r="D10" t="s">
        <v>5</v>
      </c>
    </row>
    <row r="11" spans="1:6" x14ac:dyDescent="0.2">
      <c r="A11" t="s">
        <v>82</v>
      </c>
      <c r="B11" t="s">
        <v>83</v>
      </c>
      <c r="C11" t="s">
        <v>84</v>
      </c>
      <c r="D11" t="s">
        <v>5</v>
      </c>
    </row>
    <row r="12" spans="1:6" x14ac:dyDescent="0.2">
      <c r="A12" t="s">
        <v>85</v>
      </c>
      <c r="B12" t="s">
        <v>86</v>
      </c>
      <c r="C12" t="s">
        <v>87</v>
      </c>
      <c r="D12" t="s">
        <v>5</v>
      </c>
    </row>
    <row r="13" spans="1:6" x14ac:dyDescent="0.2">
      <c r="A13" t="s">
        <v>88</v>
      </c>
      <c r="B13" t="s">
        <v>89</v>
      </c>
      <c r="C13" t="s">
        <v>90</v>
      </c>
      <c r="D13" t="s">
        <v>5</v>
      </c>
    </row>
    <row r="14" spans="1:6" x14ac:dyDescent="0.2">
      <c r="A14" t="s">
        <v>91</v>
      </c>
      <c r="B14" t="s">
        <v>89</v>
      </c>
      <c r="C14" t="s">
        <v>92</v>
      </c>
      <c r="D14" t="s">
        <v>5</v>
      </c>
    </row>
    <row r="15" spans="1:6" x14ac:dyDescent="0.2">
      <c r="A15" t="s">
        <v>93</v>
      </c>
      <c r="B15" t="s">
        <v>94</v>
      </c>
      <c r="C15" t="s">
        <v>95</v>
      </c>
      <c r="D15" t="s">
        <v>5</v>
      </c>
    </row>
    <row r="16" spans="1:6" x14ac:dyDescent="0.2">
      <c r="A16" t="s">
        <v>96</v>
      </c>
      <c r="B16" t="s">
        <v>97</v>
      </c>
      <c r="C16" t="s">
        <v>98</v>
      </c>
      <c r="D16" t="s">
        <v>5</v>
      </c>
    </row>
    <row r="17" spans="1:4" x14ac:dyDescent="0.2">
      <c r="A17" t="s">
        <v>99</v>
      </c>
      <c r="B17" t="s">
        <v>100</v>
      </c>
      <c r="C17" t="s">
        <v>101</v>
      </c>
      <c r="D17" t="s">
        <v>5</v>
      </c>
    </row>
    <row r="18" spans="1:4" x14ac:dyDescent="0.2">
      <c r="A18" t="s">
        <v>79</v>
      </c>
      <c r="B18" t="s">
        <v>115</v>
      </c>
      <c r="C18" t="s">
        <v>116</v>
      </c>
      <c r="D18" t="s">
        <v>136</v>
      </c>
    </row>
    <row r="19" spans="1:4" x14ac:dyDescent="0.2">
      <c r="A19" t="s">
        <v>3</v>
      </c>
      <c r="B19" t="s">
        <v>117</v>
      </c>
      <c r="C19" t="s">
        <v>118</v>
      </c>
      <c r="D19" t="s">
        <v>136</v>
      </c>
    </row>
    <row r="20" spans="1:4" x14ac:dyDescent="0.2">
      <c r="A20" t="s">
        <v>1</v>
      </c>
      <c r="B20" t="s">
        <v>71</v>
      </c>
      <c r="C20" t="s">
        <v>119</v>
      </c>
      <c r="D20" t="s">
        <v>136</v>
      </c>
    </row>
    <row r="21" spans="1:4" x14ac:dyDescent="0.2">
      <c r="A21" t="s">
        <v>120</v>
      </c>
      <c r="B21" t="s">
        <v>121</v>
      </c>
      <c r="C21" t="s">
        <v>122</v>
      </c>
      <c r="D21" t="s">
        <v>136</v>
      </c>
    </row>
    <row r="22" spans="1:4" x14ac:dyDescent="0.2">
      <c r="A22" t="s">
        <v>123</v>
      </c>
      <c r="B22" t="s">
        <v>121</v>
      </c>
      <c r="C22" t="s">
        <v>124</v>
      </c>
      <c r="D22" t="s">
        <v>136</v>
      </c>
    </row>
    <row r="23" spans="1:4" x14ac:dyDescent="0.2">
      <c r="A23" t="s">
        <v>73</v>
      </c>
      <c r="B23" t="s">
        <v>125</v>
      </c>
      <c r="C23" t="s">
        <v>126</v>
      </c>
      <c r="D23" t="s">
        <v>136</v>
      </c>
    </row>
    <row r="24" spans="1:4" x14ac:dyDescent="0.2">
      <c r="A24" t="s">
        <v>127</v>
      </c>
      <c r="B24" t="s">
        <v>125</v>
      </c>
      <c r="C24" t="s">
        <v>126</v>
      </c>
      <c r="D24" t="s">
        <v>136</v>
      </c>
    </row>
    <row r="25" spans="1:4" x14ac:dyDescent="0.2">
      <c r="A25" t="s">
        <v>82</v>
      </c>
      <c r="B25" t="s">
        <v>128</v>
      </c>
      <c r="C25" t="s">
        <v>129</v>
      </c>
      <c r="D25" t="s">
        <v>136</v>
      </c>
    </row>
    <row r="26" spans="1:4" x14ac:dyDescent="0.2">
      <c r="A26" t="s">
        <v>88</v>
      </c>
      <c r="B26" t="s">
        <v>130</v>
      </c>
      <c r="C26" t="s">
        <v>131</v>
      </c>
      <c r="D26" t="s">
        <v>136</v>
      </c>
    </row>
    <row r="27" spans="1:4" x14ac:dyDescent="0.2">
      <c r="A27" t="s">
        <v>85</v>
      </c>
      <c r="B27" t="s">
        <v>132</v>
      </c>
      <c r="C27" t="s">
        <v>133</v>
      </c>
      <c r="D27" t="s">
        <v>136</v>
      </c>
    </row>
    <row r="28" spans="1:4" x14ac:dyDescent="0.2">
      <c r="A28" t="s">
        <v>93</v>
      </c>
      <c r="B28" t="s">
        <v>134</v>
      </c>
      <c r="C28" t="s">
        <v>135</v>
      </c>
      <c r="D28" t="s">
        <v>136</v>
      </c>
    </row>
    <row r="29" spans="1:4" x14ac:dyDescent="0.2">
      <c r="A29" t="s">
        <v>82</v>
      </c>
      <c r="B29" t="s">
        <v>137</v>
      </c>
      <c r="C29" t="s">
        <v>138</v>
      </c>
      <c r="D29" t="s">
        <v>146</v>
      </c>
    </row>
    <row r="30" spans="1:4" x14ac:dyDescent="0.2">
      <c r="A30" t="s">
        <v>76</v>
      </c>
      <c r="B30" t="s">
        <v>139</v>
      </c>
      <c r="C30" t="s">
        <v>140</v>
      </c>
      <c r="D30" t="s">
        <v>146</v>
      </c>
    </row>
    <row r="31" spans="1:4" x14ac:dyDescent="0.2">
      <c r="A31" t="s">
        <v>93</v>
      </c>
      <c r="B31" t="s">
        <v>137</v>
      </c>
      <c r="C31" t="s">
        <v>141</v>
      </c>
      <c r="D31" t="s">
        <v>146</v>
      </c>
    </row>
    <row r="32" spans="1:4" x14ac:dyDescent="0.2">
      <c r="A32" t="s">
        <v>79</v>
      </c>
      <c r="B32" t="s">
        <v>142</v>
      </c>
      <c r="C32" t="s">
        <v>143</v>
      </c>
      <c r="D32" t="s">
        <v>146</v>
      </c>
    </row>
    <row r="33" spans="1:4" x14ac:dyDescent="0.2">
      <c r="A33" t="s">
        <v>99</v>
      </c>
      <c r="B33" t="s">
        <v>144</v>
      </c>
      <c r="C33" t="s">
        <v>145</v>
      </c>
      <c r="D33" t="s">
        <v>146</v>
      </c>
    </row>
    <row r="34" spans="1:4" x14ac:dyDescent="0.2">
      <c r="A34" t="s">
        <v>76</v>
      </c>
      <c r="B34" t="s">
        <v>147</v>
      </c>
      <c r="C34" t="s">
        <v>148</v>
      </c>
      <c r="D34" t="s">
        <v>21</v>
      </c>
    </row>
    <row r="35" spans="1:4" x14ac:dyDescent="0.2">
      <c r="A35" t="s">
        <v>123</v>
      </c>
      <c r="B35" t="s">
        <v>149</v>
      </c>
      <c r="C35" t="s">
        <v>150</v>
      </c>
      <c r="D35" t="s">
        <v>21</v>
      </c>
    </row>
    <row r="36" spans="1:4" x14ac:dyDescent="0.2">
      <c r="A36" t="s">
        <v>151</v>
      </c>
      <c r="B36" t="s">
        <v>152</v>
      </c>
      <c r="C36" t="s">
        <v>153</v>
      </c>
      <c r="D36" t="s">
        <v>21</v>
      </c>
    </row>
    <row r="37" spans="1:4" x14ac:dyDescent="0.2">
      <c r="A37" t="s">
        <v>82</v>
      </c>
      <c r="B37" t="s">
        <v>154</v>
      </c>
      <c r="C37" t="s">
        <v>150</v>
      </c>
      <c r="D37" t="s">
        <v>21</v>
      </c>
    </row>
    <row r="38" spans="1:4" x14ac:dyDescent="0.2">
      <c r="A38" t="s">
        <v>3</v>
      </c>
      <c r="B38" t="s">
        <v>155</v>
      </c>
      <c r="C38" t="s">
        <v>156</v>
      </c>
      <c r="D38" t="s">
        <v>21</v>
      </c>
    </row>
    <row r="39" spans="1:4" x14ac:dyDescent="0.2">
      <c r="A39" t="s">
        <v>157</v>
      </c>
      <c r="B39" t="s">
        <v>158</v>
      </c>
      <c r="C39" t="s">
        <v>159</v>
      </c>
      <c r="D39" t="s">
        <v>21</v>
      </c>
    </row>
    <row r="40" spans="1:4" x14ac:dyDescent="0.2">
      <c r="A40" t="s">
        <v>96</v>
      </c>
      <c r="B40" t="s">
        <v>160</v>
      </c>
      <c r="C40" t="s">
        <v>161</v>
      </c>
      <c r="D40" t="s">
        <v>21</v>
      </c>
    </row>
    <row r="41" spans="1:4" x14ac:dyDescent="0.2">
      <c r="A41" t="s">
        <v>93</v>
      </c>
      <c r="B41" t="s">
        <v>162</v>
      </c>
      <c r="C41" t="s">
        <v>163</v>
      </c>
      <c r="D41" t="s">
        <v>21</v>
      </c>
    </row>
    <row r="42" spans="1:4" x14ac:dyDescent="0.2">
      <c r="A42" t="s">
        <v>99</v>
      </c>
      <c r="B42" t="s">
        <v>164</v>
      </c>
      <c r="C42" t="s">
        <v>145</v>
      </c>
      <c r="D42" t="s">
        <v>21</v>
      </c>
    </row>
    <row r="43" spans="1:4" x14ac:dyDescent="0.2">
      <c r="A43" t="s">
        <v>165</v>
      </c>
      <c r="B43">
        <v>5.19</v>
      </c>
      <c r="C43">
        <v>77.400000000000006</v>
      </c>
      <c r="D43" t="s">
        <v>166</v>
      </c>
    </row>
    <row r="44" spans="1:4" x14ac:dyDescent="0.2">
      <c r="A44" t="s">
        <v>76</v>
      </c>
      <c r="B44">
        <v>2.98</v>
      </c>
      <c r="C44">
        <v>26.52</v>
      </c>
      <c r="D44" t="s">
        <v>167</v>
      </c>
    </row>
    <row r="45" spans="1:4" x14ac:dyDescent="0.2">
      <c r="A45" t="s">
        <v>96</v>
      </c>
      <c r="B45">
        <v>4.24</v>
      </c>
      <c r="C45">
        <v>26.4</v>
      </c>
      <c r="D45" t="s">
        <v>167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23E58-DE16-4CFF-ABA9-45100501641B}">
  <dimension ref="A1:J25"/>
  <sheetViews>
    <sheetView tabSelected="1" workbookViewId="0">
      <selection activeCell="D30" sqref="D30"/>
    </sheetView>
  </sheetViews>
  <sheetFormatPr defaultRowHeight="14.25" x14ac:dyDescent="0.2"/>
  <cols>
    <col min="1" max="1" width="24.375" customWidth="1"/>
    <col min="2" max="2" width="20.875" customWidth="1"/>
    <col min="3" max="3" width="22.5" customWidth="1"/>
    <col min="4" max="6" width="30.25" customWidth="1"/>
    <col min="7" max="7" width="25.5" customWidth="1"/>
    <col min="8" max="8" width="35.25" customWidth="1"/>
  </cols>
  <sheetData>
    <row r="1" spans="1:10" ht="15" x14ac:dyDescent="0.25">
      <c r="A1" s="2" t="s">
        <v>4</v>
      </c>
      <c r="B1" s="2" t="s">
        <v>7</v>
      </c>
      <c r="C1" s="2" t="s">
        <v>185</v>
      </c>
      <c r="D1" s="2" t="s">
        <v>186</v>
      </c>
      <c r="E1" s="2" t="s">
        <v>32</v>
      </c>
      <c r="F1" s="2" t="s">
        <v>31</v>
      </c>
      <c r="H1" s="2" t="s">
        <v>195</v>
      </c>
    </row>
    <row r="2" spans="1:10" x14ac:dyDescent="0.2">
      <c r="A2" t="s">
        <v>5</v>
      </c>
      <c r="B2" t="s">
        <v>8</v>
      </c>
      <c r="C2" t="s">
        <v>187</v>
      </c>
      <c r="D2" t="s">
        <v>189</v>
      </c>
      <c r="E2" t="s">
        <v>6</v>
      </c>
      <c r="F2">
        <v>73.930000000000007</v>
      </c>
      <c r="H2" s="6">
        <v>45839</v>
      </c>
    </row>
    <row r="3" spans="1:10" x14ac:dyDescent="0.2">
      <c r="A3" t="s">
        <v>5</v>
      </c>
      <c r="B3" t="s">
        <v>8</v>
      </c>
      <c r="C3" t="s">
        <v>187</v>
      </c>
      <c r="D3" t="s">
        <v>189</v>
      </c>
      <c r="E3" t="s">
        <v>59</v>
      </c>
      <c r="F3">
        <v>4.97</v>
      </c>
    </row>
    <row r="4" spans="1:10" x14ac:dyDescent="0.2">
      <c r="A4" t="s">
        <v>5</v>
      </c>
      <c r="B4" t="s">
        <v>8</v>
      </c>
      <c r="C4" t="s">
        <v>187</v>
      </c>
      <c r="D4" t="s">
        <v>189</v>
      </c>
      <c r="E4" t="s">
        <v>191</v>
      </c>
      <c r="F4">
        <v>3.41</v>
      </c>
      <c r="H4" t="s">
        <v>168</v>
      </c>
    </row>
    <row r="5" spans="1:10" x14ac:dyDescent="0.2">
      <c r="A5" t="s">
        <v>5</v>
      </c>
      <c r="B5" t="s">
        <v>8</v>
      </c>
      <c r="C5" t="s">
        <v>187</v>
      </c>
      <c r="D5" t="s">
        <v>189</v>
      </c>
      <c r="E5" t="s">
        <v>190</v>
      </c>
      <c r="F5">
        <v>3.17</v>
      </c>
    </row>
    <row r="6" spans="1:10" ht="15" x14ac:dyDescent="0.25">
      <c r="A6" t="s">
        <v>136</v>
      </c>
      <c r="B6" t="s">
        <v>8</v>
      </c>
      <c r="C6" t="s">
        <v>188</v>
      </c>
      <c r="D6" t="s">
        <v>194</v>
      </c>
      <c r="E6" t="s">
        <v>6</v>
      </c>
      <c r="F6" s="9">
        <v>80.78</v>
      </c>
    </row>
    <row r="7" spans="1:10" ht="15" x14ac:dyDescent="0.25">
      <c r="A7" t="s">
        <v>136</v>
      </c>
      <c r="B7" t="s">
        <v>8</v>
      </c>
      <c r="C7" t="s">
        <v>188</v>
      </c>
      <c r="D7" t="s">
        <v>194</v>
      </c>
      <c r="E7" t="s">
        <v>39</v>
      </c>
      <c r="F7" s="9">
        <v>4.05</v>
      </c>
      <c r="H7" t="s">
        <v>174</v>
      </c>
    </row>
    <row r="8" spans="1:10" ht="15" x14ac:dyDescent="0.25">
      <c r="A8" t="s">
        <v>136</v>
      </c>
      <c r="B8" t="s">
        <v>8</v>
      </c>
      <c r="C8" t="s">
        <v>188</v>
      </c>
      <c r="D8" t="s">
        <v>194</v>
      </c>
      <c r="E8" t="s">
        <v>40</v>
      </c>
      <c r="F8" s="9">
        <v>3.8</v>
      </c>
      <c r="H8" t="s">
        <v>170</v>
      </c>
      <c r="I8" t="s">
        <v>171</v>
      </c>
    </row>
    <row r="9" spans="1:10" ht="15" x14ac:dyDescent="0.25">
      <c r="A9" t="s">
        <v>136</v>
      </c>
      <c r="B9" t="s">
        <v>8</v>
      </c>
      <c r="C9" t="s">
        <v>188</v>
      </c>
      <c r="D9" t="s">
        <v>194</v>
      </c>
      <c r="E9" t="s">
        <v>172</v>
      </c>
      <c r="F9" s="9">
        <v>2.6</v>
      </c>
      <c r="H9" s="1">
        <v>1644</v>
      </c>
      <c r="I9">
        <f>H9*6/365</f>
        <v>27.024657534246575</v>
      </c>
    </row>
    <row r="10" spans="1:10" x14ac:dyDescent="0.2">
      <c r="A10" t="s">
        <v>146</v>
      </c>
      <c r="B10" t="s">
        <v>8</v>
      </c>
      <c r="C10" t="s">
        <v>187</v>
      </c>
      <c r="D10" s="7" t="s">
        <v>169</v>
      </c>
      <c r="E10" t="s">
        <v>6</v>
      </c>
      <c r="F10">
        <v>75.14</v>
      </c>
      <c r="H10" s="1">
        <f>H9+1314</f>
        <v>2958</v>
      </c>
      <c r="I10">
        <f>H10*6/365</f>
        <v>48.624657534246573</v>
      </c>
    </row>
    <row r="11" spans="1:10" ht="17.25" x14ac:dyDescent="0.3">
      <c r="A11" t="s">
        <v>146</v>
      </c>
      <c r="B11" t="s">
        <v>8</v>
      </c>
      <c r="C11" t="s">
        <v>187</v>
      </c>
      <c r="D11" s="7" t="s">
        <v>169</v>
      </c>
      <c r="E11" t="s">
        <v>18</v>
      </c>
      <c r="F11" s="8">
        <v>6.71</v>
      </c>
    </row>
    <row r="12" spans="1:10" ht="17.25" x14ac:dyDescent="0.3">
      <c r="A12" t="s">
        <v>146</v>
      </c>
      <c r="B12" t="s">
        <v>8</v>
      </c>
      <c r="C12" t="s">
        <v>187</v>
      </c>
      <c r="D12" s="7" t="s">
        <v>169</v>
      </c>
      <c r="E12" t="s">
        <v>19</v>
      </c>
      <c r="F12" s="8">
        <v>5.05</v>
      </c>
    </row>
    <row r="13" spans="1:10" ht="17.25" x14ac:dyDescent="0.3">
      <c r="A13" t="s">
        <v>146</v>
      </c>
      <c r="B13" t="s">
        <v>8</v>
      </c>
      <c r="C13" t="s">
        <v>187</v>
      </c>
      <c r="D13" s="7" t="s">
        <v>169</v>
      </c>
      <c r="E13" t="s">
        <v>192</v>
      </c>
      <c r="F13" s="8">
        <v>3.89</v>
      </c>
    </row>
    <row r="14" spans="1:10" x14ac:dyDescent="0.2">
      <c r="A14" t="s">
        <v>21</v>
      </c>
      <c r="B14" t="s">
        <v>8</v>
      </c>
      <c r="C14" t="s">
        <v>187</v>
      </c>
      <c r="D14" s="7" t="s">
        <v>169</v>
      </c>
      <c r="E14" t="s">
        <v>6</v>
      </c>
      <c r="F14">
        <v>93.84</v>
      </c>
      <c r="H14" t="s">
        <v>167</v>
      </c>
    </row>
    <row r="15" spans="1:10" x14ac:dyDescent="0.2">
      <c r="A15" t="s">
        <v>21</v>
      </c>
      <c r="B15" t="s">
        <v>8</v>
      </c>
      <c r="C15" t="s">
        <v>187</v>
      </c>
      <c r="D15" s="7" t="s">
        <v>169</v>
      </c>
      <c r="E15" t="s">
        <v>22</v>
      </c>
      <c r="F15">
        <v>6.2</v>
      </c>
      <c r="H15" t="s">
        <v>178</v>
      </c>
      <c r="I15" t="s">
        <v>176</v>
      </c>
      <c r="J15" t="s">
        <v>179</v>
      </c>
    </row>
    <row r="16" spans="1:10" x14ac:dyDescent="0.2">
      <c r="A16" t="s">
        <v>21</v>
      </c>
      <c r="B16" t="s">
        <v>8</v>
      </c>
      <c r="C16" t="s">
        <v>187</v>
      </c>
      <c r="D16" s="7" t="s">
        <v>169</v>
      </c>
      <c r="E16" t="s">
        <v>193</v>
      </c>
      <c r="F16">
        <v>3.25</v>
      </c>
    </row>
    <row r="17" spans="1:10" x14ac:dyDescent="0.2">
      <c r="A17" t="s">
        <v>167</v>
      </c>
      <c r="B17" t="s">
        <v>8</v>
      </c>
      <c r="C17" t="s">
        <v>187</v>
      </c>
      <c r="D17" t="s">
        <v>169</v>
      </c>
      <c r="E17" t="s">
        <v>6</v>
      </c>
      <c r="F17">
        <v>25.564</v>
      </c>
      <c r="I17" t="s">
        <v>180</v>
      </c>
    </row>
    <row r="18" spans="1:10" x14ac:dyDescent="0.2">
      <c r="A18" t="s">
        <v>167</v>
      </c>
      <c r="B18" t="s">
        <v>8</v>
      </c>
      <c r="C18" t="s">
        <v>187</v>
      </c>
      <c r="D18" t="s">
        <v>169</v>
      </c>
      <c r="E18" t="s">
        <v>184</v>
      </c>
      <c r="F18">
        <f>J19</f>
        <v>2.4505555555555554</v>
      </c>
      <c r="H18" t="s">
        <v>181</v>
      </c>
      <c r="I18" t="s">
        <v>177</v>
      </c>
      <c r="J18">
        <f>12*3.6</f>
        <v>43.2</v>
      </c>
    </row>
    <row r="19" spans="1:10" x14ac:dyDescent="0.2">
      <c r="A19" t="s">
        <v>167</v>
      </c>
      <c r="B19" t="s">
        <v>8</v>
      </c>
      <c r="C19" t="s">
        <v>187</v>
      </c>
      <c r="D19" t="s">
        <v>169</v>
      </c>
      <c r="E19" t="s">
        <v>175</v>
      </c>
      <c r="F19">
        <f>J21</f>
        <v>2.2106944444444445</v>
      </c>
      <c r="H19" t="s">
        <v>31</v>
      </c>
      <c r="I19">
        <v>8.8219999999999992</v>
      </c>
      <c r="J19">
        <f>8.822/3.6</f>
        <v>2.4505555555555554</v>
      </c>
    </row>
    <row r="20" spans="1:10" x14ac:dyDescent="0.2">
      <c r="A20" t="s">
        <v>166</v>
      </c>
      <c r="B20" t="s">
        <v>8</v>
      </c>
      <c r="C20" t="s">
        <v>197</v>
      </c>
      <c r="D20" t="s">
        <v>198</v>
      </c>
      <c r="E20" t="s">
        <v>6</v>
      </c>
      <c r="F20">
        <v>77.400000000000006</v>
      </c>
      <c r="H20" t="s">
        <v>181</v>
      </c>
      <c r="I20" t="s">
        <v>182</v>
      </c>
      <c r="J20" t="s">
        <v>183</v>
      </c>
    </row>
    <row r="21" spans="1:10" x14ac:dyDescent="0.2">
      <c r="A21" t="s">
        <v>166</v>
      </c>
      <c r="B21" t="s">
        <v>8</v>
      </c>
      <c r="C21" t="s">
        <v>197</v>
      </c>
      <c r="D21" t="s">
        <v>198</v>
      </c>
      <c r="E21" t="s">
        <v>173</v>
      </c>
      <c r="F21">
        <v>5.1929999999999996</v>
      </c>
      <c r="H21" t="s">
        <v>31</v>
      </c>
      <c r="I21">
        <v>7.9584999999999999</v>
      </c>
      <c r="J21">
        <f xml:space="preserve"> 7.9585 / 3.6</f>
        <v>2.2106944444444445</v>
      </c>
    </row>
    <row r="22" spans="1:10" x14ac:dyDescent="0.2">
      <c r="A22" t="s">
        <v>24</v>
      </c>
      <c r="B22" t="s">
        <v>8</v>
      </c>
      <c r="C22" t="s">
        <v>200</v>
      </c>
      <c r="D22" t="s">
        <v>199</v>
      </c>
      <c r="E22" t="s">
        <v>6</v>
      </c>
      <c r="F22">
        <v>62.89</v>
      </c>
    </row>
    <row r="23" spans="1:10" x14ac:dyDescent="0.2">
      <c r="A23" t="s">
        <v>24</v>
      </c>
      <c r="B23" t="s">
        <v>8</v>
      </c>
      <c r="C23" t="s">
        <v>200</v>
      </c>
      <c r="D23" t="s">
        <v>199</v>
      </c>
      <c r="E23" t="s">
        <v>25</v>
      </c>
      <c r="F23">
        <v>3.72</v>
      </c>
      <c r="H23" t="s">
        <v>196</v>
      </c>
    </row>
    <row r="24" spans="1:10" x14ac:dyDescent="0.2">
      <c r="A24" t="s">
        <v>24</v>
      </c>
      <c r="B24" t="s">
        <v>8</v>
      </c>
      <c r="C24" t="s">
        <v>200</v>
      </c>
      <c r="D24" t="s">
        <v>199</v>
      </c>
      <c r="E24" t="s">
        <v>26</v>
      </c>
      <c r="F24">
        <v>3.17</v>
      </c>
    </row>
    <row r="25" spans="1:10" x14ac:dyDescent="0.2">
      <c r="A25" t="s">
        <v>24</v>
      </c>
      <c r="B25" t="s">
        <v>8</v>
      </c>
      <c r="C25" t="s">
        <v>200</v>
      </c>
      <c r="D25" t="s">
        <v>199</v>
      </c>
      <c r="E25" t="s">
        <v>201</v>
      </c>
      <c r="F25">
        <v>2.95</v>
      </c>
    </row>
  </sheetData>
  <hyperlinks>
    <hyperlink ref="D10" r:id="rId1" display="https://www.energymadeeasy.gov.au/plan?id=ORI431045MRG13&amp;postcode=4000&amp;pricingPeriod=quarterly&amp;withDiscounts=false&amp;benchmarkUsage=medium" xr:uid="{76FD2A44-8E6F-4C37-BDE4-3A4E46D7A288}"/>
    <hyperlink ref="D11" r:id="rId2" display="https://www.energymadeeasy.gov.au/plan?id=ORI431045MRG13&amp;postcode=4000&amp;pricingPeriod=quarterly&amp;withDiscounts=false&amp;benchmarkUsage=medium" xr:uid="{D3B3156B-EC95-4466-B7E4-E87F6D8D6519}"/>
    <hyperlink ref="D14" r:id="rId3" display="https://www.energymadeeasy.gov.au/plan?id=ORI431061MRG12&amp;postcode=5000&amp;pricingPeriod=quarterly&amp;withDiscounts=false&amp;benchmarkUsage=medium" xr:uid="{259F4A67-82BF-4C66-8CFE-77F1AB16B110}"/>
    <hyperlink ref="D15" r:id="rId4" display="https://www.energymadeeasy.gov.au/plan?id=ORI431061MRG12&amp;postcode=5000&amp;pricingPeriod=quarterly&amp;withDiscounts=false&amp;benchmarkUsage=medium" xr:uid="{36AF5B3A-DAB7-467D-98A7-A594D2FB09DF}"/>
    <hyperlink ref="D16" r:id="rId5" display="https://www.energymadeeasy.gov.au/plan?id=ORI431061MRG12&amp;postcode=5000&amp;pricingPeriod=quarterly&amp;withDiscounts=false&amp;benchmarkUsage=medium" xr:uid="{DFD1BB07-A40A-401C-8499-61C7EACA47AA}"/>
  </hyperlinks>
  <pageMargins left="0.7" right="0.7" top="0.75" bottom="0.75" header="0.3" footer="0.3"/>
  <pageSetup paperSize="9" orientation="portrait" r:id="rId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9FE4FA3-A55B-470C-8750-74D996DCB96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we_tariffs</vt:lpstr>
      <vt:lpstr>we_best_tariffs</vt:lpstr>
    </vt:vector>
  </TitlesOfParts>
  <Company>The University of Melbourne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Dominic Jones</dc:creator>
  <cp:lastModifiedBy>Dominic Jones</cp:lastModifiedBy>
  <dcterms:created xsi:type="dcterms:W3CDTF">2025-03-28T01:05:01Z</dcterms:created>
  <dcterms:modified xsi:type="dcterms:W3CDTF">2025-07-17T06:29:51Z</dcterms:modified>
</cp:coreProperties>
</file>