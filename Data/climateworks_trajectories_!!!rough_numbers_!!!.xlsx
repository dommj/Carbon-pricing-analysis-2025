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"/>
    </mc:Choice>
  </mc:AlternateContent>
  <xr:revisionPtr revIDLastSave="67" documentId="8_{0D095BCC-44DC-4267-9775-F25063CF6A9B}" xr6:coauthVersionLast="47" xr6:coauthVersionMax="47" xr10:uidLastSave="{6A0DCC06-7834-484E-A9D9-B8DE21751998}"/>
  <bookViews>
    <workbookView xWindow="-120" yWindow="-120" windowWidth="29040" windowHeight="15840" xr2:uid="{A1B38FBB-508B-4EFE-8DC7-9176F2742EA2}"/>
  </bookViews>
  <sheets>
    <sheet name="Sheet1" sheetId="1" r:id="rId1"/>
    <sheet name="generation_1.5C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20" i="1"/>
  <c r="D21" i="1"/>
  <c r="D22" i="1"/>
  <c r="D23" i="1"/>
  <c r="D24" i="1"/>
  <c r="D25" i="1"/>
  <c r="D26" i="1"/>
  <c r="D27" i="1"/>
  <c r="D28" i="1"/>
  <c r="D29" i="1"/>
  <c r="D30" i="1"/>
  <c r="D18" i="1"/>
  <c r="D17" i="1"/>
  <c r="G14" i="3"/>
  <c r="G13" i="3"/>
  <c r="G12" i="3"/>
  <c r="G11" i="3"/>
  <c r="G10" i="3"/>
  <c r="G9" i="3"/>
  <c r="G8" i="3"/>
  <c r="G7" i="3"/>
  <c r="G6" i="3"/>
  <c r="G5" i="3"/>
  <c r="G4" i="3"/>
  <c r="G3" i="3"/>
  <c r="G2" i="3"/>
  <c r="D5" i="1"/>
  <c r="D6" i="1"/>
  <c r="D7" i="1"/>
  <c r="D8" i="1"/>
  <c r="D9" i="1"/>
  <c r="D10" i="1"/>
  <c r="D11" i="1"/>
  <c r="D12" i="1"/>
  <c r="D13" i="1"/>
  <c r="D14" i="1"/>
  <c r="D15" i="1"/>
  <c r="D16" i="1"/>
  <c r="D4" i="1"/>
  <c r="G14" i="2"/>
  <c r="G3" i="2"/>
  <c r="G4" i="2"/>
  <c r="G5" i="2"/>
  <c r="G6" i="2"/>
  <c r="G7" i="2"/>
  <c r="G8" i="2"/>
  <c r="G9" i="2"/>
  <c r="G10" i="2"/>
  <c r="G11" i="2"/>
  <c r="G12" i="2"/>
  <c r="G13" i="2"/>
  <c r="G2" i="2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18" i="1"/>
  <c r="A7" i="1"/>
  <c r="A8" i="1"/>
  <c r="A9" i="1" s="1"/>
  <c r="A10" i="1" s="1"/>
  <c r="A11" i="1" s="1"/>
  <c r="A12" i="1" s="1"/>
  <c r="A13" i="1" s="1"/>
  <c r="A14" i="1" s="1"/>
  <c r="A15" i="1" s="1"/>
  <c r="A16" i="1" s="1"/>
  <c r="A6" i="1"/>
</calcChain>
</file>

<file path=xl/sharedStrings.xml><?xml version="1.0" encoding="utf-8"?>
<sst xmlns="http://schemas.openxmlformats.org/spreadsheetml/2006/main" count="48" uniqueCount="14">
  <si>
    <t>Source: figure 3 and 4 of https://www.climateworkscentre.org/resource/climateworks-centre-decarbonisation-scenarios-2023-australia-can-still-meet-the-paris-agreement/</t>
  </si>
  <si>
    <t>year</t>
  </si>
  <si>
    <t>mt_co2e</t>
  </si>
  <si>
    <t>scenario</t>
  </si>
  <si>
    <t>CW 1.5</t>
  </si>
  <si>
    <t>CW &lt; 2</t>
  </si>
  <si>
    <t>consumption_twh</t>
  </si>
  <si>
    <t>hydro</t>
  </si>
  <si>
    <t>solar</t>
  </si>
  <si>
    <t>wind</t>
  </si>
  <si>
    <t>gas</t>
  </si>
  <si>
    <t>coal</t>
  </si>
  <si>
    <t>total</t>
  </si>
  <si>
    <t>(this number is made up, hacky for this: https://www.energy.gov.au/energy-data/australian-energy-statistics/electricity-generation)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</si>
</sst>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D4A1-8A7D-424F-B88F-DCD9F4D502F4}">
  <dimension ref="A1:E30"/>
  <sheetViews>
    <sheetView tabSelected="1" workbookViewId="0">
      <selection activeCell="F29" sqref="F29"/>
    </sheetView>
  </sheetViews>
  <sheetFormatPr defaultRowHeight="14.25" x14ac:dyDescent="0.2"/>
  <sheetData>
    <row r="1" spans="1:5" x14ac:dyDescent="0.2">
      <c r="A1" t="s">
        <v>0</v>
      </c>
    </row>
    <row r="2" spans="1:5" x14ac:dyDescent="0.2">
      <c r="A2" t="s">
        <v>1</v>
      </c>
      <c r="B2" t="s">
        <v>3</v>
      </c>
      <c r="C2" t="s">
        <v>2</v>
      </c>
      <c r="D2" t="s">
        <v>6</v>
      </c>
    </row>
    <row r="3" spans="1:5" x14ac:dyDescent="0.2">
      <c r="A3">
        <v>2024</v>
      </c>
      <c r="B3" t="s">
        <v>4</v>
      </c>
      <c r="C3">
        <v>159.19999999999999</v>
      </c>
      <c r="D3">
        <v>278</v>
      </c>
      <c r="E3" t="s">
        <v>13</v>
      </c>
    </row>
    <row r="4" spans="1:5" x14ac:dyDescent="0.2">
      <c r="A4">
        <v>2026</v>
      </c>
      <c r="B4" t="s">
        <v>4</v>
      </c>
      <c r="C4">
        <v>98.9</v>
      </c>
      <c r="D4">
        <f>generation_1.5C!G2</f>
        <v>300</v>
      </c>
    </row>
    <row r="5" spans="1:5" x14ac:dyDescent="0.2">
      <c r="A5">
        <v>2028</v>
      </c>
      <c r="B5" t="s">
        <v>4</v>
      </c>
      <c r="C5">
        <v>70.2</v>
      </c>
      <c r="D5">
        <f>generation_1.5C!G3</f>
        <v>322.10000000000002</v>
      </c>
    </row>
    <row r="6" spans="1:5" x14ac:dyDescent="0.2">
      <c r="A6">
        <f>A5+2</f>
        <v>2030</v>
      </c>
      <c r="B6" t="s">
        <v>4</v>
      </c>
      <c r="C6">
        <v>37.6</v>
      </c>
      <c r="D6">
        <f>generation_1.5C!G4</f>
        <v>371.79999999999995</v>
      </c>
    </row>
    <row r="7" spans="1:5" x14ac:dyDescent="0.2">
      <c r="A7">
        <f t="shared" ref="A7:A16" si="0">A6+2</f>
        <v>2032</v>
      </c>
      <c r="B7" t="s">
        <v>4</v>
      </c>
      <c r="C7">
        <v>14.8</v>
      </c>
      <c r="D7">
        <f>generation_1.5C!G5</f>
        <v>419.1</v>
      </c>
    </row>
    <row r="8" spans="1:5" x14ac:dyDescent="0.2">
      <c r="A8">
        <f t="shared" si="0"/>
        <v>2034</v>
      </c>
      <c r="B8" t="s">
        <v>4</v>
      </c>
      <c r="C8">
        <v>5</v>
      </c>
      <c r="D8">
        <f>generation_1.5C!G6</f>
        <v>488.5</v>
      </c>
    </row>
    <row r="9" spans="1:5" x14ac:dyDescent="0.2">
      <c r="A9">
        <f t="shared" si="0"/>
        <v>2036</v>
      </c>
      <c r="B9" t="s">
        <v>4</v>
      </c>
      <c r="C9">
        <v>5.0999999999999996</v>
      </c>
      <c r="D9">
        <f>generation_1.5C!G7</f>
        <v>545.30000000000007</v>
      </c>
    </row>
    <row r="10" spans="1:5" x14ac:dyDescent="0.2">
      <c r="A10">
        <f t="shared" si="0"/>
        <v>2038</v>
      </c>
      <c r="B10" t="s">
        <v>4</v>
      </c>
      <c r="C10">
        <v>3.9</v>
      </c>
      <c r="D10">
        <f>generation_1.5C!G8</f>
        <v>611.9</v>
      </c>
    </row>
    <row r="11" spans="1:5" x14ac:dyDescent="0.2">
      <c r="A11">
        <f t="shared" si="0"/>
        <v>2040</v>
      </c>
      <c r="B11" t="s">
        <v>4</v>
      </c>
      <c r="C11">
        <v>4</v>
      </c>
      <c r="D11">
        <f>generation_1.5C!G9</f>
        <v>688.2</v>
      </c>
    </row>
    <row r="12" spans="1:5" x14ac:dyDescent="0.2">
      <c r="A12">
        <f t="shared" si="0"/>
        <v>2042</v>
      </c>
      <c r="B12" t="s">
        <v>4</v>
      </c>
      <c r="C12">
        <v>3.8</v>
      </c>
      <c r="D12">
        <f>generation_1.5C!G10</f>
        <v>766.8</v>
      </c>
    </row>
    <row r="13" spans="1:5" x14ac:dyDescent="0.2">
      <c r="A13">
        <f t="shared" si="0"/>
        <v>2044</v>
      </c>
      <c r="B13" t="s">
        <v>4</v>
      </c>
      <c r="C13">
        <v>3.2</v>
      </c>
      <c r="D13">
        <f>generation_1.5C!G11</f>
        <v>847.19999999999993</v>
      </c>
    </row>
    <row r="14" spans="1:5" x14ac:dyDescent="0.2">
      <c r="A14">
        <f t="shared" si="0"/>
        <v>2046</v>
      </c>
      <c r="B14" t="s">
        <v>4</v>
      </c>
      <c r="C14">
        <v>2.4</v>
      </c>
      <c r="D14">
        <f>generation_1.5C!G12</f>
        <v>869.5</v>
      </c>
    </row>
    <row r="15" spans="1:5" x14ac:dyDescent="0.2">
      <c r="A15">
        <f t="shared" si="0"/>
        <v>2048</v>
      </c>
      <c r="B15" t="s">
        <v>4</v>
      </c>
      <c r="C15">
        <v>1.8</v>
      </c>
      <c r="D15">
        <f>generation_1.5C!G13</f>
        <v>890.4</v>
      </c>
    </row>
    <row r="16" spans="1:5" x14ac:dyDescent="0.2">
      <c r="A16">
        <f t="shared" si="0"/>
        <v>2050</v>
      </c>
      <c r="B16" t="s">
        <v>4</v>
      </c>
      <c r="C16">
        <v>0.7</v>
      </c>
      <c r="D16">
        <f>generation_1.5C!G14</f>
        <v>926</v>
      </c>
    </row>
    <row r="17" spans="1:4" x14ac:dyDescent="0.2">
      <c r="A17">
        <v>2024</v>
      </c>
      <c r="B17" t="s">
        <v>5</v>
      </c>
      <c r="C17">
        <v>159.19999999999999</v>
      </c>
      <c r="D17">
        <f>D3</f>
        <v>278</v>
      </c>
    </row>
    <row r="18" spans="1:4" x14ac:dyDescent="0.2">
      <c r="A18">
        <f>A17+2</f>
        <v>2026</v>
      </c>
      <c r="B18" t="s">
        <v>5</v>
      </c>
      <c r="C18">
        <v>134.1</v>
      </c>
      <c r="D18">
        <f>Sheet2!G2</f>
        <v>299.5</v>
      </c>
    </row>
    <row r="19" spans="1:4" x14ac:dyDescent="0.2">
      <c r="A19">
        <f t="shared" ref="A19:A30" si="1">A18+2</f>
        <v>2028</v>
      </c>
      <c r="B19" t="s">
        <v>5</v>
      </c>
      <c r="C19">
        <v>99.1</v>
      </c>
      <c r="D19">
        <f>Sheet2!G3</f>
        <v>321.39999999999998</v>
      </c>
    </row>
    <row r="20" spans="1:4" x14ac:dyDescent="0.2">
      <c r="A20">
        <f t="shared" si="1"/>
        <v>2030</v>
      </c>
      <c r="B20" t="s">
        <v>5</v>
      </c>
      <c r="C20">
        <v>65.900000000000006</v>
      </c>
      <c r="D20">
        <f>Sheet2!G4</f>
        <v>375.09999999999997</v>
      </c>
    </row>
    <row r="21" spans="1:4" x14ac:dyDescent="0.2">
      <c r="A21">
        <f t="shared" si="1"/>
        <v>2032</v>
      </c>
      <c r="B21" t="s">
        <v>5</v>
      </c>
      <c r="C21">
        <v>42.2</v>
      </c>
      <c r="D21">
        <f>Sheet2!G5</f>
        <v>400.1</v>
      </c>
    </row>
    <row r="22" spans="1:4" x14ac:dyDescent="0.2">
      <c r="A22">
        <f t="shared" si="1"/>
        <v>2034</v>
      </c>
      <c r="B22" t="s">
        <v>5</v>
      </c>
      <c r="C22">
        <v>29.1</v>
      </c>
      <c r="D22">
        <f>Sheet2!G6</f>
        <v>426.4</v>
      </c>
    </row>
    <row r="23" spans="1:4" x14ac:dyDescent="0.2">
      <c r="A23">
        <f t="shared" si="1"/>
        <v>2036</v>
      </c>
      <c r="B23" t="s">
        <v>5</v>
      </c>
      <c r="C23">
        <v>23.1</v>
      </c>
      <c r="D23">
        <f>Sheet2!G7</f>
        <v>452.79999999999995</v>
      </c>
    </row>
    <row r="24" spans="1:4" x14ac:dyDescent="0.2">
      <c r="A24">
        <f t="shared" si="1"/>
        <v>2038</v>
      </c>
      <c r="B24" t="s">
        <v>5</v>
      </c>
      <c r="C24">
        <v>7.7</v>
      </c>
      <c r="D24">
        <f>Sheet2!G8</f>
        <v>496.2</v>
      </c>
    </row>
    <row r="25" spans="1:4" x14ac:dyDescent="0.2">
      <c r="A25">
        <f t="shared" si="1"/>
        <v>2040</v>
      </c>
      <c r="B25" t="s">
        <v>5</v>
      </c>
      <c r="C25">
        <v>6.2</v>
      </c>
      <c r="D25">
        <f>Sheet2!G9</f>
        <v>547.5</v>
      </c>
    </row>
    <row r="26" spans="1:4" x14ac:dyDescent="0.2">
      <c r="A26">
        <f t="shared" si="1"/>
        <v>2042</v>
      </c>
      <c r="B26" t="s">
        <v>5</v>
      </c>
      <c r="C26">
        <v>4.9000000000000004</v>
      </c>
      <c r="D26">
        <f>Sheet2!G10</f>
        <v>584.59999999999991</v>
      </c>
    </row>
    <row r="27" spans="1:4" x14ac:dyDescent="0.2">
      <c r="A27">
        <f t="shared" si="1"/>
        <v>2044</v>
      </c>
      <c r="B27" t="s">
        <v>5</v>
      </c>
      <c r="C27">
        <v>4.0999999999999996</v>
      </c>
      <c r="D27">
        <f>Sheet2!G11</f>
        <v>644.59999999999991</v>
      </c>
    </row>
    <row r="28" spans="1:4" x14ac:dyDescent="0.2">
      <c r="A28">
        <f t="shared" si="1"/>
        <v>2046</v>
      </c>
      <c r="B28" t="s">
        <v>5</v>
      </c>
      <c r="C28">
        <v>3.1</v>
      </c>
      <c r="D28">
        <f>Sheet2!G12</f>
        <v>694.8</v>
      </c>
    </row>
    <row r="29" spans="1:4" x14ac:dyDescent="0.2">
      <c r="A29">
        <f t="shared" si="1"/>
        <v>2048</v>
      </c>
      <c r="B29" t="s">
        <v>5</v>
      </c>
      <c r="C29">
        <v>2.6</v>
      </c>
      <c r="D29">
        <f>Sheet2!G13</f>
        <v>731.7</v>
      </c>
    </row>
    <row r="30" spans="1:4" x14ac:dyDescent="0.2">
      <c r="A30">
        <f t="shared" si="1"/>
        <v>2050</v>
      </c>
      <c r="B30" t="s">
        <v>5</v>
      </c>
      <c r="C30">
        <v>1.2</v>
      </c>
      <c r="D30">
        <f>Sheet2!G14</f>
        <v>784.80000000000007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A63E-3F1E-4CF7-91D7-4B874795A806}">
  <dimension ref="A1:G14"/>
  <sheetViews>
    <sheetView workbookViewId="0">
      <selection sqref="A1:G14"/>
    </sheetView>
  </sheetViews>
  <sheetFormatPr defaultRowHeight="14.25" x14ac:dyDescent="0.2"/>
  <sheetData>
    <row r="1" spans="1:7" x14ac:dyDescent="0.2">
      <c r="A1" t="s">
        <v>1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">
      <c r="A2">
        <v>2026</v>
      </c>
      <c r="B2">
        <v>20.6</v>
      </c>
      <c r="C2">
        <v>104.5</v>
      </c>
      <c r="D2">
        <v>71.400000000000006</v>
      </c>
      <c r="E2">
        <v>20.3</v>
      </c>
      <c r="F2">
        <v>83.2</v>
      </c>
      <c r="G2">
        <f xml:space="preserve"> SUM(B2:F2)</f>
        <v>300</v>
      </c>
    </row>
    <row r="3" spans="1:7" x14ac:dyDescent="0.2">
      <c r="A3">
        <v>2028</v>
      </c>
      <c r="B3">
        <v>20.2</v>
      </c>
      <c r="C3">
        <v>118.1</v>
      </c>
      <c r="D3">
        <v>105.1</v>
      </c>
      <c r="E3">
        <v>22.1</v>
      </c>
      <c r="F3">
        <v>56.6</v>
      </c>
      <c r="G3">
        <f t="shared" ref="G3:G12" si="0" xml:space="preserve"> SUM(B3:F3)</f>
        <v>322.10000000000002</v>
      </c>
    </row>
    <row r="4" spans="1:7" x14ac:dyDescent="0.2">
      <c r="A4">
        <v>2030</v>
      </c>
      <c r="B4">
        <v>20.6</v>
      </c>
      <c r="C4">
        <v>138</v>
      </c>
      <c r="D4">
        <v>170.8</v>
      </c>
      <c r="E4">
        <v>13.5</v>
      </c>
      <c r="F4">
        <v>28.9</v>
      </c>
      <c r="G4">
        <f t="shared" si="0"/>
        <v>371.79999999999995</v>
      </c>
    </row>
    <row r="5" spans="1:7" x14ac:dyDescent="0.2">
      <c r="A5">
        <v>2032</v>
      </c>
      <c r="B5">
        <v>20.2</v>
      </c>
      <c r="C5">
        <v>164.8</v>
      </c>
      <c r="D5">
        <v>212.1</v>
      </c>
      <c r="E5">
        <v>14.1</v>
      </c>
      <c r="F5">
        <v>7.9</v>
      </c>
      <c r="G5">
        <f t="shared" si="0"/>
        <v>419.1</v>
      </c>
    </row>
    <row r="6" spans="1:7" x14ac:dyDescent="0.2">
      <c r="A6">
        <v>2034</v>
      </c>
      <c r="B6">
        <v>20.5</v>
      </c>
      <c r="C6">
        <v>173.4</v>
      </c>
      <c r="D6">
        <v>285.2</v>
      </c>
      <c r="E6">
        <v>9.4</v>
      </c>
      <c r="F6">
        <v>0</v>
      </c>
      <c r="G6">
        <f t="shared" si="0"/>
        <v>488.5</v>
      </c>
    </row>
    <row r="7" spans="1:7" x14ac:dyDescent="0.2">
      <c r="A7">
        <v>2036</v>
      </c>
      <c r="B7">
        <v>20.5</v>
      </c>
      <c r="C7">
        <v>182.7</v>
      </c>
      <c r="D7">
        <v>332.5</v>
      </c>
      <c r="E7">
        <v>9.6</v>
      </c>
      <c r="G7">
        <f t="shared" si="0"/>
        <v>545.30000000000007</v>
      </c>
    </row>
    <row r="8" spans="1:7" x14ac:dyDescent="0.2">
      <c r="A8">
        <v>2038</v>
      </c>
      <c r="B8">
        <v>19.899999999999999</v>
      </c>
      <c r="C8">
        <v>209</v>
      </c>
      <c r="D8">
        <v>375.9</v>
      </c>
      <c r="E8">
        <v>7.1</v>
      </c>
      <c r="G8">
        <f t="shared" si="0"/>
        <v>611.9</v>
      </c>
    </row>
    <row r="9" spans="1:7" x14ac:dyDescent="0.2">
      <c r="A9">
        <v>2040</v>
      </c>
      <c r="B9">
        <v>19.899999999999999</v>
      </c>
      <c r="C9">
        <v>270.60000000000002</v>
      </c>
      <c r="D9">
        <v>390.2</v>
      </c>
      <c r="E9">
        <v>7.5</v>
      </c>
      <c r="G9">
        <f t="shared" si="0"/>
        <v>688.2</v>
      </c>
    </row>
    <row r="10" spans="1:7" x14ac:dyDescent="0.2">
      <c r="A10">
        <v>2042</v>
      </c>
      <c r="B10">
        <v>19.899999999999999</v>
      </c>
      <c r="C10">
        <v>318.39999999999998</v>
      </c>
      <c r="D10">
        <v>421.6</v>
      </c>
      <c r="E10">
        <v>6.9</v>
      </c>
      <c r="G10">
        <f t="shared" si="0"/>
        <v>766.8</v>
      </c>
    </row>
    <row r="11" spans="1:7" x14ac:dyDescent="0.2">
      <c r="A11">
        <v>2044</v>
      </c>
      <c r="B11">
        <v>19.899999999999999</v>
      </c>
      <c r="C11">
        <v>366.2</v>
      </c>
      <c r="D11">
        <v>455.2</v>
      </c>
      <c r="E11">
        <v>5.9</v>
      </c>
      <c r="G11">
        <f t="shared" si="0"/>
        <v>847.19999999999993</v>
      </c>
    </row>
    <row r="12" spans="1:7" x14ac:dyDescent="0.2">
      <c r="A12">
        <v>2046</v>
      </c>
      <c r="B12">
        <v>19.899999999999999</v>
      </c>
      <c r="C12">
        <v>373.8</v>
      </c>
      <c r="D12">
        <v>471</v>
      </c>
      <c r="E12">
        <v>4.8</v>
      </c>
      <c r="G12">
        <f t="shared" si="0"/>
        <v>869.5</v>
      </c>
    </row>
    <row r="13" spans="1:7" x14ac:dyDescent="0.2">
      <c r="A13">
        <v>2048</v>
      </c>
      <c r="B13">
        <v>19.899999999999999</v>
      </c>
      <c r="C13">
        <v>388.4</v>
      </c>
      <c r="D13">
        <v>478.6</v>
      </c>
      <c r="E13">
        <v>3.5</v>
      </c>
      <c r="G13">
        <f xml:space="preserve"> SUM(B13:F13)</f>
        <v>890.4</v>
      </c>
    </row>
    <row r="14" spans="1:7" x14ac:dyDescent="0.2">
      <c r="A14">
        <v>2050</v>
      </c>
      <c r="B14">
        <v>19.899999999999999</v>
      </c>
      <c r="C14">
        <v>405.4</v>
      </c>
      <c r="D14">
        <v>499</v>
      </c>
      <c r="E14">
        <v>1.7</v>
      </c>
      <c r="G14">
        <f xml:space="preserve"> SUM(B14:F14)</f>
        <v>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D5CF-8235-43B2-B850-C63480EDA612}">
  <dimension ref="A1:G14"/>
  <sheetViews>
    <sheetView workbookViewId="0">
      <selection activeCell="B17" sqref="B17"/>
    </sheetView>
  </sheetViews>
  <sheetFormatPr defaultRowHeight="14.25" x14ac:dyDescent="0.2"/>
  <sheetData>
    <row r="1" spans="1:7" x14ac:dyDescent="0.2">
      <c r="A1" t="s">
        <v>1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">
      <c r="A2">
        <v>2026</v>
      </c>
      <c r="B2">
        <v>20.6</v>
      </c>
      <c r="C2">
        <v>78.900000000000006</v>
      </c>
      <c r="D2">
        <v>64.2</v>
      </c>
      <c r="E2">
        <v>23.3</v>
      </c>
      <c r="F2">
        <v>112.5</v>
      </c>
      <c r="G2">
        <f xml:space="preserve"> SUM(B2:F2)</f>
        <v>299.5</v>
      </c>
    </row>
    <row r="3" spans="1:7" x14ac:dyDescent="0.2">
      <c r="A3">
        <v>2028</v>
      </c>
      <c r="B3">
        <v>20.5</v>
      </c>
      <c r="C3">
        <v>97.8</v>
      </c>
      <c r="D3">
        <v>103.6</v>
      </c>
      <c r="E3">
        <v>14.9</v>
      </c>
      <c r="F3">
        <v>84.6</v>
      </c>
      <c r="G3">
        <f t="shared" ref="G3:G12" si="0" xml:space="preserve"> SUM(B3:F3)</f>
        <v>321.39999999999998</v>
      </c>
    </row>
    <row r="4" spans="1:7" x14ac:dyDescent="0.2">
      <c r="A4">
        <v>2030</v>
      </c>
      <c r="B4">
        <v>20.6</v>
      </c>
      <c r="C4">
        <v>141.4</v>
      </c>
      <c r="D4">
        <v>140.69999999999999</v>
      </c>
      <c r="E4">
        <v>20.399999999999999</v>
      </c>
      <c r="F4">
        <v>52</v>
      </c>
      <c r="G4">
        <f t="shared" si="0"/>
        <v>375.09999999999997</v>
      </c>
    </row>
    <row r="5" spans="1:7" x14ac:dyDescent="0.2">
      <c r="A5">
        <v>2032</v>
      </c>
      <c r="B5">
        <v>20.100000000000001</v>
      </c>
      <c r="C5">
        <v>146.80000000000001</v>
      </c>
      <c r="D5">
        <v>185.3</v>
      </c>
      <c r="E5">
        <v>13.9</v>
      </c>
      <c r="F5">
        <v>34</v>
      </c>
      <c r="G5">
        <f t="shared" si="0"/>
        <v>400.1</v>
      </c>
    </row>
    <row r="6" spans="1:7" x14ac:dyDescent="0.2">
      <c r="A6">
        <v>2034</v>
      </c>
      <c r="B6">
        <v>20.100000000000001</v>
      </c>
      <c r="C6">
        <v>145.9</v>
      </c>
      <c r="D6">
        <v>224.4</v>
      </c>
      <c r="E6">
        <v>12.7</v>
      </c>
      <c r="F6">
        <v>23.3</v>
      </c>
      <c r="G6">
        <f t="shared" si="0"/>
        <v>426.4</v>
      </c>
    </row>
    <row r="7" spans="1:7" x14ac:dyDescent="0.2">
      <c r="A7">
        <v>2036</v>
      </c>
      <c r="B7">
        <v>20.399999999999999</v>
      </c>
      <c r="C7">
        <v>160.4</v>
      </c>
      <c r="D7">
        <v>241.7</v>
      </c>
      <c r="E7">
        <v>13.9</v>
      </c>
      <c r="F7">
        <v>16.399999999999999</v>
      </c>
      <c r="G7">
        <f t="shared" si="0"/>
        <v>452.79999999999995</v>
      </c>
    </row>
    <row r="8" spans="1:7" x14ac:dyDescent="0.2">
      <c r="A8">
        <v>2038</v>
      </c>
      <c r="B8">
        <v>19.7</v>
      </c>
      <c r="C8">
        <v>178.8</v>
      </c>
      <c r="D8">
        <v>284.89999999999998</v>
      </c>
      <c r="E8">
        <v>10.7</v>
      </c>
      <c r="F8">
        <v>2.1</v>
      </c>
      <c r="G8">
        <f t="shared" si="0"/>
        <v>496.2</v>
      </c>
    </row>
    <row r="9" spans="1:7" x14ac:dyDescent="0.2">
      <c r="A9">
        <v>2040</v>
      </c>
      <c r="B9">
        <v>19.899999999999999</v>
      </c>
      <c r="C9">
        <v>224.8</v>
      </c>
      <c r="D9">
        <v>291.7</v>
      </c>
      <c r="E9">
        <v>10.199999999999999</v>
      </c>
      <c r="F9">
        <v>0.9</v>
      </c>
      <c r="G9">
        <f t="shared" si="0"/>
        <v>547.5</v>
      </c>
    </row>
    <row r="10" spans="1:7" x14ac:dyDescent="0.2">
      <c r="A10">
        <v>2042</v>
      </c>
      <c r="B10">
        <v>19.899999999999999</v>
      </c>
      <c r="C10">
        <v>252.7</v>
      </c>
      <c r="D10">
        <v>302.7</v>
      </c>
      <c r="E10">
        <v>9.3000000000000007</v>
      </c>
      <c r="F10">
        <v>0</v>
      </c>
      <c r="G10">
        <f t="shared" si="0"/>
        <v>584.59999999999991</v>
      </c>
    </row>
    <row r="11" spans="1:7" x14ac:dyDescent="0.2">
      <c r="A11">
        <v>2044</v>
      </c>
      <c r="B11">
        <v>19.899999999999999</v>
      </c>
      <c r="C11">
        <v>287.3</v>
      </c>
      <c r="D11">
        <v>329.6</v>
      </c>
      <c r="E11">
        <v>7.8</v>
      </c>
      <c r="G11">
        <f t="shared" si="0"/>
        <v>644.59999999999991</v>
      </c>
    </row>
    <row r="12" spans="1:7" x14ac:dyDescent="0.2">
      <c r="A12">
        <v>2046</v>
      </c>
      <c r="B12">
        <v>19.899999999999999</v>
      </c>
      <c r="C12">
        <v>303.60000000000002</v>
      </c>
      <c r="D12">
        <v>364.9</v>
      </c>
      <c r="E12">
        <v>6.4</v>
      </c>
      <c r="G12">
        <f t="shared" si="0"/>
        <v>694.8</v>
      </c>
    </row>
    <row r="13" spans="1:7" x14ac:dyDescent="0.2">
      <c r="A13">
        <v>2048</v>
      </c>
      <c r="B13">
        <v>19.899999999999999</v>
      </c>
      <c r="C13">
        <v>332.6</v>
      </c>
      <c r="D13">
        <v>374</v>
      </c>
      <c r="E13">
        <v>5.2</v>
      </c>
      <c r="G13">
        <f xml:space="preserve"> SUM(B13:F13)</f>
        <v>731.7</v>
      </c>
    </row>
    <row r="14" spans="1:7" x14ac:dyDescent="0.2">
      <c r="A14">
        <v>2050</v>
      </c>
      <c r="B14">
        <v>19.8</v>
      </c>
      <c r="C14">
        <v>362.1</v>
      </c>
      <c r="D14">
        <v>400.3</v>
      </c>
      <c r="E14">
        <v>2.6</v>
      </c>
      <c r="G14">
        <f xml:space="preserve"> SUM(B14:F14)</f>
        <v>784.80000000000007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generation_1.5C</vt:lpstr>
      <vt:lpstr>Sheet2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Jones</dc:creator>
  <cp:lastModifiedBy>Dominic Jones</cp:lastModifiedBy>
  <dcterms:created xsi:type="dcterms:W3CDTF">2025-04-14T03:57:25Z</dcterms:created>
  <dcterms:modified xsi:type="dcterms:W3CDTF">2025-04-14T05:54:46Z</dcterms:modified>
</cp:coreProperties>
</file>