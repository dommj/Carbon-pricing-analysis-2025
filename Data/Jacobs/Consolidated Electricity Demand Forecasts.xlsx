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unimelbcloud-my.sharepoint.com/personal/dominic_jones_grattaninstitute_edu_au/Documents/Energy/Analysis/analysis_cp_dj_2025/Data/Jacobs/"/>
    </mc:Choice>
  </mc:AlternateContent>
  <xr:revisionPtr revIDLastSave="0" documentId="13_ncr:1_{93B3848F-EE67-44AB-BDBB-85E0E276F22B}" xr6:coauthVersionLast="47" xr6:coauthVersionMax="47" xr10:uidLastSave="{00000000-0000-0000-0000-000000000000}"/>
  <bookViews>
    <workbookView xWindow="-120" yWindow="-120" windowWidth="29040" windowHeight="15840" xr2:uid="{653D7857-72C1-4788-95B7-D499B7C275EB}"/>
  </bookViews>
  <sheets>
    <sheet name="Summary" sheetId="4" r:id="rId1"/>
    <sheet name="note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5" i="5" l="1"/>
  <c r="J85" i="5"/>
  <c r="K85" i="5"/>
  <c r="L85" i="5"/>
  <c r="M85" i="5"/>
  <c r="N85" i="5"/>
  <c r="O85" i="5"/>
  <c r="P85" i="5"/>
  <c r="Q85" i="5"/>
  <c r="R85" i="5"/>
  <c r="S85" i="5"/>
  <c r="T85" i="5"/>
  <c r="U85" i="5"/>
  <c r="V85" i="5"/>
  <c r="W85" i="5"/>
  <c r="X85" i="5"/>
  <c r="Y85" i="5"/>
  <c r="Z85" i="5"/>
  <c r="H85" i="5"/>
  <c r="B76" i="4"/>
  <c r="B80" i="4"/>
  <c r="B79" i="4"/>
  <c r="B77" i="4"/>
  <c r="B78" i="4" s="1"/>
  <c r="Q77" i="4"/>
  <c r="K76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J80" i="4"/>
  <c r="J79" i="4"/>
  <c r="J78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AF75" i="4"/>
  <c r="AG75" i="4"/>
  <c r="AH75" i="4"/>
  <c r="AI75" i="4"/>
  <c r="AJ75" i="4"/>
  <c r="X46" i="4"/>
  <c r="X53" i="4" s="1"/>
  <c r="I39" i="4"/>
  <c r="H39" i="4" s="1"/>
  <c r="G39" i="4" s="1"/>
  <c r="F39" i="4" s="1"/>
  <c r="H84" i="5"/>
  <c r="I84" i="5"/>
  <c r="J84" i="5"/>
  <c r="K84" i="5"/>
  <c r="L84" i="5"/>
  <c r="M84" i="5"/>
  <c r="N84" i="5"/>
  <c r="O84" i="5"/>
  <c r="P84" i="5"/>
  <c r="Q84" i="5"/>
  <c r="R84" i="5"/>
  <c r="S84" i="5"/>
  <c r="T84" i="5"/>
  <c r="G84" i="5"/>
  <c r="W66" i="5"/>
  <c r="X66" i="5"/>
  <c r="Y66" i="5" s="1"/>
  <c r="Z66" i="5" s="1"/>
  <c r="V66" i="5"/>
  <c r="V27" i="4"/>
  <c r="W27" i="4"/>
  <c r="X27" i="4"/>
  <c r="Y27" i="4"/>
  <c r="Z27" i="4"/>
  <c r="AA27" i="4"/>
  <c r="AA38" i="4" s="1"/>
  <c r="AA46" i="4" s="1"/>
  <c r="AA53" i="4" s="1"/>
  <c r="AB27" i="4"/>
  <c r="AB38" i="4" s="1"/>
  <c r="AB46" i="4" s="1"/>
  <c r="AB53" i="4" s="1"/>
  <c r="AC27" i="4"/>
  <c r="AC38" i="4" s="1"/>
  <c r="AC46" i="4" s="1"/>
  <c r="AC53" i="4" s="1"/>
  <c r="AD27" i="4"/>
  <c r="AD38" i="4" s="1"/>
  <c r="AD46" i="4" s="1"/>
  <c r="AD53" i="4" s="1"/>
  <c r="AE27" i="4"/>
  <c r="AE38" i="4" s="1"/>
  <c r="AE46" i="4" s="1"/>
  <c r="AE53" i="4" s="1"/>
  <c r="AF27" i="4"/>
  <c r="AF38" i="4" s="1"/>
  <c r="AF46" i="4" s="1"/>
  <c r="AF53" i="4" s="1"/>
  <c r="AG27" i="4"/>
  <c r="AG38" i="4" s="1"/>
  <c r="AG46" i="4" s="1"/>
  <c r="AG53" i="4" s="1"/>
  <c r="AH27" i="4"/>
  <c r="AH38" i="4" s="1"/>
  <c r="AH46" i="4" s="1"/>
  <c r="AH53" i="4" s="1"/>
  <c r="AI27" i="4"/>
  <c r="AI38" i="4" s="1"/>
  <c r="AI46" i="4" s="1"/>
  <c r="AI53" i="4" s="1"/>
  <c r="AJ27" i="4"/>
  <c r="AJ38" i="4" s="1"/>
  <c r="AJ46" i="4" s="1"/>
  <c r="AJ53" i="4" s="1"/>
  <c r="U27" i="4"/>
  <c r="AI73" i="4"/>
  <c r="AJ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AF73" i="4"/>
  <c r="AG73" i="4"/>
  <c r="AH73" i="4"/>
  <c r="F73" i="4"/>
  <c r="N76" i="4"/>
  <c r="F76" i="4"/>
  <c r="G76" i="4"/>
  <c r="H76" i="4"/>
  <c r="I76" i="4"/>
  <c r="J76" i="4"/>
  <c r="L76" i="4"/>
  <c r="M76" i="4"/>
  <c r="O76" i="4"/>
  <c r="P76" i="4"/>
  <c r="Q76" i="4"/>
  <c r="R76" i="4"/>
  <c r="S76" i="4"/>
  <c r="T76" i="4"/>
  <c r="T71" i="5"/>
  <c r="S71" i="5"/>
  <c r="R71" i="5"/>
  <c r="Q71" i="5"/>
  <c r="P71" i="5"/>
  <c r="O71" i="5"/>
  <c r="N71" i="5"/>
  <c r="M71" i="5"/>
  <c r="L71" i="5"/>
  <c r="K71" i="5"/>
  <c r="T70" i="5"/>
  <c r="S70" i="5"/>
  <c r="R70" i="5"/>
  <c r="Q70" i="5"/>
  <c r="P70" i="5"/>
  <c r="O70" i="5"/>
  <c r="N70" i="5"/>
  <c r="M70" i="5"/>
  <c r="L70" i="5"/>
  <c r="K70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T46" i="4" s="1"/>
  <c r="T53" i="4" s="1"/>
  <c r="U38" i="4"/>
  <c r="U46" i="4" s="1"/>
  <c r="U53" i="4" s="1"/>
  <c r="V38" i="4"/>
  <c r="V46" i="4" s="1"/>
  <c r="V53" i="4" s="1"/>
  <c r="W38" i="4"/>
  <c r="W46" i="4" s="1"/>
  <c r="W53" i="4" s="1"/>
  <c r="X38" i="4"/>
  <c r="Y38" i="4"/>
  <c r="Y46" i="4" s="1"/>
  <c r="Y53" i="4" s="1"/>
  <c r="Z38" i="4"/>
  <c r="Z46" i="4" s="1"/>
  <c r="Z53" i="4" s="1"/>
  <c r="I16" i="5"/>
  <c r="D19" i="5"/>
  <c r="D22" i="5"/>
  <c r="K17" i="5"/>
  <c r="E18" i="5"/>
  <c r="F18" i="5" s="1"/>
  <c r="G18" i="5" s="1"/>
  <c r="H18" i="5" s="1"/>
  <c r="I18" i="5" s="1"/>
  <c r="J18" i="5" s="1"/>
  <c r="K18" i="5" s="1"/>
  <c r="L18" i="5" s="1"/>
  <c r="M18" i="5" s="1"/>
  <c r="N18" i="5" s="1"/>
  <c r="O18" i="5" s="1"/>
  <c r="P18" i="5" s="1"/>
  <c r="Q18" i="5" s="1"/>
  <c r="R18" i="5" s="1"/>
  <c r="S18" i="5" s="1"/>
  <c r="T18" i="5" s="1"/>
  <c r="U18" i="5" s="1"/>
  <c r="V18" i="5" s="1"/>
  <c r="W18" i="5" s="1"/>
  <c r="X18" i="5" s="1"/>
  <c r="X19" i="5" s="1"/>
  <c r="E15" i="5"/>
  <c r="F15" i="5" s="1"/>
  <c r="G15" i="5" s="1"/>
  <c r="H15" i="5" s="1"/>
  <c r="I15" i="5" s="1"/>
  <c r="J15" i="5" s="1"/>
  <c r="K15" i="5" s="1"/>
  <c r="L15" i="5" s="1"/>
  <c r="M15" i="5" s="1"/>
  <c r="N15" i="5" s="1"/>
  <c r="O15" i="5" s="1"/>
  <c r="P15" i="5" s="1"/>
  <c r="Q15" i="5" s="1"/>
  <c r="R15" i="5" s="1"/>
  <c r="S15" i="5" s="1"/>
  <c r="T15" i="5" s="1"/>
  <c r="U15" i="5" s="1"/>
  <c r="V15" i="5" s="1"/>
  <c r="W15" i="5" s="1"/>
  <c r="X15" i="5" s="1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W76" i="4" l="1"/>
  <c r="J77" i="4"/>
  <c r="AC76" i="4"/>
  <c r="J19" i="5"/>
  <c r="I19" i="5"/>
  <c r="H19" i="5"/>
  <c r="G19" i="5"/>
  <c r="F19" i="5"/>
  <c r="E19" i="5"/>
  <c r="K16" i="5"/>
  <c r="K19" i="5" s="1"/>
  <c r="S56" i="4"/>
  <c r="R56" i="4"/>
  <c r="R58" i="4" s="1"/>
  <c r="Q56" i="4"/>
  <c r="Q58" i="4" s="1"/>
  <c r="P56" i="4"/>
  <c r="P58" i="4" s="1"/>
  <c r="O56" i="4"/>
  <c r="O58" i="4" s="1"/>
  <c r="N56" i="4"/>
  <c r="N58" i="4" s="1"/>
  <c r="M56" i="4"/>
  <c r="M58" i="4" s="1"/>
  <c r="L56" i="4"/>
  <c r="L58" i="4" s="1"/>
  <c r="K56" i="4"/>
  <c r="K58" i="4" s="1"/>
  <c r="J56" i="4"/>
  <c r="J58" i="4" s="1"/>
  <c r="J67" i="4" s="1"/>
  <c r="I56" i="4"/>
  <c r="I58" i="4" s="1"/>
  <c r="H56" i="4"/>
  <c r="H58" i="4" s="1"/>
  <c r="G56" i="4"/>
  <c r="G58" i="4" s="1"/>
  <c r="F56" i="4"/>
  <c r="F58" i="4" s="1"/>
  <c r="E56" i="4"/>
  <c r="E58" i="4" s="1"/>
  <c r="D56" i="4"/>
  <c r="D58" i="4" s="1"/>
  <c r="C56" i="4"/>
  <c r="C58" i="4" s="1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V76" i="4" l="1"/>
  <c r="U76" i="4"/>
  <c r="U28" i="4" s="1"/>
  <c r="AE76" i="4"/>
  <c r="X76" i="4"/>
  <c r="AB76" i="4"/>
  <c r="AF76" i="4"/>
  <c r="Z76" i="4"/>
  <c r="AI76" i="4"/>
  <c r="AJ76" i="4"/>
  <c r="Y76" i="4"/>
  <c r="AG76" i="4"/>
  <c r="AA76" i="4"/>
  <c r="AH76" i="4"/>
  <c r="AD76" i="4"/>
  <c r="S58" i="4"/>
  <c r="K39" i="4"/>
  <c r="L16" i="5"/>
  <c r="V28" i="4" l="1"/>
  <c r="W28" i="4" s="1"/>
  <c r="W84" i="5" s="1"/>
  <c r="K77" i="4"/>
  <c r="K67" i="4"/>
  <c r="U84" i="5"/>
  <c r="I77" i="4"/>
  <c r="L39" i="4"/>
  <c r="M16" i="5"/>
  <c r="L19" i="5"/>
  <c r="X28" i="4" l="1"/>
  <c r="X84" i="5" s="1"/>
  <c r="V84" i="5"/>
  <c r="L77" i="4"/>
  <c r="L67" i="4"/>
  <c r="H77" i="4"/>
  <c r="G77" i="4"/>
  <c r="M39" i="4"/>
  <c r="N16" i="5"/>
  <c r="M19" i="5"/>
  <c r="Y28" i="4" l="1"/>
  <c r="Y84" i="5" s="1"/>
  <c r="M77" i="4"/>
  <c r="M67" i="4"/>
  <c r="N39" i="4"/>
  <c r="O16" i="5"/>
  <c r="N19" i="5"/>
  <c r="Z28" i="4" l="1"/>
  <c r="N77" i="4"/>
  <c r="N67" i="4"/>
  <c r="O39" i="4"/>
  <c r="P16" i="5"/>
  <c r="O19" i="5"/>
  <c r="AA28" i="4" l="1"/>
  <c r="AB28" i="4" s="1"/>
  <c r="Z84" i="5"/>
  <c r="AC28" i="4"/>
  <c r="O77" i="4"/>
  <c r="O67" i="4"/>
  <c r="P39" i="4"/>
  <c r="Q16" i="5"/>
  <c r="P19" i="5"/>
  <c r="P77" i="4" l="1"/>
  <c r="P67" i="4"/>
  <c r="AD28" i="4"/>
  <c r="Q39" i="4"/>
  <c r="R16" i="5"/>
  <c r="Q19" i="5"/>
  <c r="AE28" i="4" l="1"/>
  <c r="Q67" i="4"/>
  <c r="R39" i="4"/>
  <c r="S16" i="5"/>
  <c r="R19" i="5"/>
  <c r="R77" i="4" l="1"/>
  <c r="R67" i="4"/>
  <c r="AF28" i="4"/>
  <c r="S39" i="4"/>
  <c r="T16" i="5"/>
  <c r="S19" i="5"/>
  <c r="S77" i="4" l="1"/>
  <c r="S62" i="4" s="1"/>
  <c r="S67" i="4"/>
  <c r="AG28" i="4"/>
  <c r="T39" i="4"/>
  <c r="U16" i="5"/>
  <c r="T19" i="5"/>
  <c r="T77" i="4" l="1"/>
  <c r="AH28" i="4"/>
  <c r="T55" i="4"/>
  <c r="T50" i="4"/>
  <c r="T49" i="4"/>
  <c r="T47" i="4"/>
  <c r="T54" i="4"/>
  <c r="T48" i="4"/>
  <c r="T56" i="4"/>
  <c r="T62" i="4"/>
  <c r="U39" i="4"/>
  <c r="V16" i="5"/>
  <c r="U19" i="5"/>
  <c r="AI28" i="4" l="1"/>
  <c r="V39" i="4"/>
  <c r="U77" i="4"/>
  <c r="U62" i="4" s="1"/>
  <c r="T58" i="4"/>
  <c r="T67" i="4" s="1"/>
  <c r="U50" i="4"/>
  <c r="U55" i="4"/>
  <c r="W39" i="4"/>
  <c r="W16" i="5"/>
  <c r="W19" i="5" s="1"/>
  <c r="V19" i="5"/>
  <c r="W77" i="4" l="1"/>
  <c r="V77" i="4"/>
  <c r="V62" i="4" s="1"/>
  <c r="W62" i="4" s="1"/>
  <c r="AJ28" i="4"/>
  <c r="V50" i="4"/>
  <c r="W50" i="4" s="1"/>
  <c r="U49" i="4"/>
  <c r="V49" i="4" s="1"/>
  <c r="W49" i="4" s="1"/>
  <c r="U54" i="4"/>
  <c r="V54" i="4" s="1"/>
  <c r="W54" i="4" s="1"/>
  <c r="U48" i="4"/>
  <c r="U56" i="4"/>
  <c r="U58" i="4"/>
  <c r="U67" i="4" s="1"/>
  <c r="U47" i="4"/>
  <c r="V47" i="4" s="1"/>
  <c r="W47" i="4" s="1"/>
  <c r="X39" i="4"/>
  <c r="X77" i="4" l="1"/>
  <c r="V55" i="4"/>
  <c r="W55" i="4" s="1"/>
  <c r="V56" i="4"/>
  <c r="V58" i="4" s="1"/>
  <c r="V67" i="4" s="1"/>
  <c r="V48" i="4"/>
  <c r="W48" i="4" s="1"/>
  <c r="Y39" i="4"/>
  <c r="X62" i="4"/>
  <c r="X48" i="4"/>
  <c r="X47" i="4"/>
  <c r="X54" i="4"/>
  <c r="X50" i="4"/>
  <c r="X49" i="4"/>
  <c r="Z39" i="4" l="1"/>
  <c r="X55" i="4"/>
  <c r="Y77" i="4"/>
  <c r="Y55" i="4" s="1"/>
  <c r="W56" i="4"/>
  <c r="W58" i="4" s="1"/>
  <c r="W67" i="4" s="1"/>
  <c r="Y54" i="4" l="1"/>
  <c r="Y47" i="4"/>
  <c r="X56" i="4"/>
  <c r="Y49" i="4"/>
  <c r="Y50" i="4"/>
  <c r="Y48" i="4"/>
  <c r="Z77" i="4"/>
  <c r="AJ77" i="4" s="1"/>
  <c r="Y62" i="4"/>
  <c r="Y56" i="4"/>
  <c r="X58" i="4"/>
  <c r="X67" i="4" s="1"/>
  <c r="AA77" i="4"/>
  <c r="AA39" i="4" s="1"/>
  <c r="Z50" i="4"/>
  <c r="Z62" i="4"/>
  <c r="Z54" i="4"/>
  <c r="AB77" i="4" l="1"/>
  <c r="AB39" i="4" s="1"/>
  <c r="AA54" i="4"/>
  <c r="AD77" i="4"/>
  <c r="Z49" i="4"/>
  <c r="AA49" i="4" s="1"/>
  <c r="AI77" i="4"/>
  <c r="Z47" i="4"/>
  <c r="AH77" i="4"/>
  <c r="AC77" i="4"/>
  <c r="Z48" i="4"/>
  <c r="AA48" i="4" s="1"/>
  <c r="AE77" i="4"/>
  <c r="AG77" i="4"/>
  <c r="AF77" i="4"/>
  <c r="Z55" i="4"/>
  <c r="AA55" i="4" s="1"/>
  <c r="AB55" i="4" s="1"/>
  <c r="AA47" i="4"/>
  <c r="AA62" i="4"/>
  <c r="AA50" i="4"/>
  <c r="Z56" i="4"/>
  <c r="Y58" i="4"/>
  <c r="Y67" i="4" s="1"/>
  <c r="AB48" i="4" l="1"/>
  <c r="AC48" i="4" s="1"/>
  <c r="AD48" i="4" s="1"/>
  <c r="AB47" i="4"/>
  <c r="AB49" i="4"/>
  <c r="AB54" i="4"/>
  <c r="AC54" i="4" s="1"/>
  <c r="AD54" i="4" s="1"/>
  <c r="AE54" i="4" s="1"/>
  <c r="AF54" i="4" s="1"/>
  <c r="AG54" i="4" s="1"/>
  <c r="AH54" i="4" s="1"/>
  <c r="AI54" i="4" s="1"/>
  <c r="AJ54" i="4" s="1"/>
  <c r="AC47" i="4"/>
  <c r="AD47" i="4" s="1"/>
  <c r="AE47" i="4" s="1"/>
  <c r="AF47" i="4" s="1"/>
  <c r="AG47" i="4" s="1"/>
  <c r="AH47" i="4" s="1"/>
  <c r="AI47" i="4" s="1"/>
  <c r="AJ47" i="4" s="1"/>
  <c r="AE48" i="4"/>
  <c r="AF48" i="4" s="1"/>
  <c r="AG48" i="4" s="1"/>
  <c r="AH48" i="4" s="1"/>
  <c r="AI48" i="4" s="1"/>
  <c r="AJ48" i="4" s="1"/>
  <c r="AB62" i="4"/>
  <c r="AA80" i="4"/>
  <c r="AB50" i="4"/>
  <c r="AA78" i="4"/>
  <c r="AC49" i="4"/>
  <c r="AD49" i="4" s="1"/>
  <c r="AE49" i="4" s="1"/>
  <c r="AF49" i="4" s="1"/>
  <c r="AG49" i="4" s="1"/>
  <c r="AH49" i="4" s="1"/>
  <c r="AI49" i="4" s="1"/>
  <c r="AJ49" i="4" s="1"/>
  <c r="AC55" i="4"/>
  <c r="AD55" i="4" s="1"/>
  <c r="AE55" i="4" s="1"/>
  <c r="AF55" i="4" s="1"/>
  <c r="AG55" i="4" s="1"/>
  <c r="AH55" i="4" s="1"/>
  <c r="AI55" i="4" s="1"/>
  <c r="AJ55" i="4" s="1"/>
  <c r="AC39" i="4"/>
  <c r="AA56" i="4"/>
  <c r="AA79" i="4" s="1"/>
  <c r="Z58" i="4"/>
  <c r="Z67" i="4" s="1"/>
  <c r="AC50" i="4" l="1"/>
  <c r="AB78" i="4"/>
  <c r="AC62" i="4"/>
  <c r="AB80" i="4"/>
  <c r="AD39" i="4"/>
  <c r="AB56" i="4"/>
  <c r="AB79" i="4" s="1"/>
  <c r="AA58" i="4"/>
  <c r="AA67" i="4" s="1"/>
  <c r="AD62" i="4" l="1"/>
  <c r="AC80" i="4"/>
  <c r="AD50" i="4"/>
  <c r="AC78" i="4"/>
  <c r="AE39" i="4"/>
  <c r="AC56" i="4"/>
  <c r="AC79" i="4" s="1"/>
  <c r="AB58" i="4"/>
  <c r="AB67" i="4" s="1"/>
  <c r="AE50" i="4" l="1"/>
  <c r="AD78" i="4"/>
  <c r="AE62" i="4"/>
  <c r="AD80" i="4"/>
  <c r="AF39" i="4"/>
  <c r="AD56" i="4"/>
  <c r="AD79" i="4" s="1"/>
  <c r="AC58" i="4"/>
  <c r="AC67" i="4" s="1"/>
  <c r="AF62" i="4" l="1"/>
  <c r="AE80" i="4"/>
  <c r="AF50" i="4"/>
  <c r="AE78" i="4"/>
  <c r="AG39" i="4"/>
  <c r="AE56" i="4"/>
  <c r="AE79" i="4" s="1"/>
  <c r="AD58" i="4"/>
  <c r="AD67" i="4" s="1"/>
  <c r="AG50" i="4" l="1"/>
  <c r="AF78" i="4"/>
  <c r="AG62" i="4"/>
  <c r="AF80" i="4"/>
  <c r="AH39" i="4"/>
  <c r="AF56" i="4"/>
  <c r="AF79" i="4" s="1"/>
  <c r="AE58" i="4"/>
  <c r="AE67" i="4" s="1"/>
  <c r="AH62" i="4" l="1"/>
  <c r="AG80" i="4"/>
  <c r="AH50" i="4"/>
  <c r="AG78" i="4"/>
  <c r="AI39" i="4"/>
  <c r="AG56" i="4"/>
  <c r="AG79" i="4" s="1"/>
  <c r="AF58" i="4"/>
  <c r="AF67" i="4" s="1"/>
  <c r="AI50" i="4" l="1"/>
  <c r="AH78" i="4"/>
  <c r="AI62" i="4"/>
  <c r="AH80" i="4"/>
  <c r="AJ39" i="4"/>
  <c r="AH56" i="4"/>
  <c r="AH79" i="4" s="1"/>
  <c r="AG58" i="4"/>
  <c r="AG67" i="4" s="1"/>
  <c r="AJ62" i="4" l="1"/>
  <c r="AJ80" i="4" s="1"/>
  <c r="AI80" i="4"/>
  <c r="AJ50" i="4"/>
  <c r="AJ78" i="4" s="1"/>
  <c r="AI78" i="4"/>
  <c r="AI56" i="4"/>
  <c r="AI79" i="4" s="1"/>
  <c r="AH58" i="4"/>
  <c r="AH67" i="4" s="1"/>
  <c r="AJ56" i="4" l="1"/>
  <c r="AI58" i="4"/>
  <c r="AI67" i="4" s="1"/>
  <c r="AJ58" i="4" l="1"/>
  <c r="AJ67" i="4" s="1"/>
  <c r="AJ7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tc={08B1CC50-BF2B-4065-B6A2-BE78C3B0C87D}</author>
  </authors>
  <commentList>
    <comment ref="H16" authorId="0" shapeId="0" xr:uid="{08B1CC50-BF2B-4065-B6A2-BE78C3B0C87D}">
      <text>
        <t>[Threaded comment]
Your version of Excel allows you to read this threaded comment; however, any edits to it will get removed if the file is opened in a newer version of Excel. Learn more: https://go.microsoft.com/fwlink/?linkid=870924
Comment:
    Set so Output matches FY2024 annual report amount</t>
      </text>
    </comment>
  </commentList>
</comments>
</file>

<file path=xl/sharedStrings.xml><?xml version="1.0" encoding="utf-8"?>
<sst xmlns="http://schemas.openxmlformats.org/spreadsheetml/2006/main" count="131" uniqueCount="80">
  <si>
    <t>Financial Year</t>
  </si>
  <si>
    <t>Queensland</t>
  </si>
  <si>
    <t>GWh</t>
  </si>
  <si>
    <t>New South Wales</t>
  </si>
  <si>
    <t>Victoria</t>
  </si>
  <si>
    <t>South Australia</t>
  </si>
  <si>
    <t>Tasmania</t>
  </si>
  <si>
    <t>NEM</t>
  </si>
  <si>
    <t>Underlying Demand - Gross</t>
  </si>
  <si>
    <t>Operational Demand - exlcuding rooftop solar etc</t>
  </si>
  <si>
    <t>WEM</t>
  </si>
  <si>
    <t>Source</t>
  </si>
  <si>
    <t>NWIS</t>
  </si>
  <si>
    <t>DKIS</t>
  </si>
  <si>
    <t>https://utilicom.nt.gov.au/electricity/reporting/electricity-outlook-report</t>
  </si>
  <si>
    <t>Darwin-Katherine Total Consumption</t>
  </si>
  <si>
    <t>Period ending</t>
  </si>
  <si>
    <t>Darwin</t>
  </si>
  <si>
    <t>Manton, Batchelor, Pine Creek</t>
  </si>
  <si>
    <t>Katherine</t>
  </si>
  <si>
    <t>https://utilicom.nt.gov.au/publications/reports-and-reviews/pre-2025/2023-northern-territory-electricity-outlook-report-data</t>
  </si>
  <si>
    <t>https://utilicom.nt.gov.au/__data/assets/pdf_file/0010/1509571/2024-Northern-Territory-Electricity-Outlook-Report-Update_Final.pdf</t>
  </si>
  <si>
    <t>Alice Springs (estimated from chart)</t>
  </si>
  <si>
    <t>Tenant Creek (estimated from chart)</t>
  </si>
  <si>
    <t>Period ending (31 August)</t>
  </si>
  <si>
    <t>Total</t>
  </si>
  <si>
    <t>Annual System Consumption (period ending 31st August)</t>
  </si>
  <si>
    <t>https://aemo.com.au/-/media/files/electricity/wem/planning_and_forecasting/esoo/2024/2024-wem-electricity-statement-of-opportunities.pdf?la=en</t>
  </si>
  <si>
    <t>Annual underlying consumption 2024 Expected Scenario (based on step change scenario)</t>
  </si>
  <si>
    <t>2024 Expected Operational Consumption (Fig.13)</t>
  </si>
  <si>
    <t>2024 Expected Underlying Consumption (Fig.6)</t>
  </si>
  <si>
    <t>Queensland data from PowerLink (includes Mt Isa from 2032)</t>
  </si>
  <si>
    <t>https://www.powerlink.com.au/planning-report/transmission-annual-planning-report-2024</t>
  </si>
  <si>
    <t>PowerLink (Transmission Delivered)</t>
  </si>
  <si>
    <t>AEMO 2024 ESOO Step Change Op Sent Out (converted to Transmission Delievered)</t>
  </si>
  <si>
    <t>Difference to PowerLink</t>
  </si>
  <si>
    <t>Difference to AEMO Op Sent Out</t>
  </si>
  <si>
    <t>Report indicated Mt Isa being connected from 2032 @ 901GWh pa included above</t>
  </si>
  <si>
    <t>AEMO ESOO 2024</t>
  </si>
  <si>
    <t>https://nwis.com.au/media/cfkhzdic/tariff-setting-methodology.pdf</t>
  </si>
  <si>
    <t>https://www.horizonpower.com.au/globalassets/media/documents/annual-reports/20232024/horizon-power_annual-report-2024?v=4a6c54</t>
  </si>
  <si>
    <t>FY 2024</t>
  </si>
  <si>
    <t>1,124 GWh delivered</t>
  </si>
  <si>
    <t>p14 annual report</t>
  </si>
  <si>
    <t>Horizon power annual report for FY24 actual consumption</t>
  </si>
  <si>
    <t>tariff methodology for growth in peak load used to project overall load</t>
  </si>
  <si>
    <t>P50 Peak demand</t>
  </si>
  <si>
    <t>Assumed LF</t>
  </si>
  <si>
    <t>Inferred Consumption forecast</t>
  </si>
  <si>
    <t>(Assumes constant load factor)</t>
  </si>
  <si>
    <t>kw</t>
  </si>
  <si>
    <t>Demand to mtach to</t>
  </si>
  <si>
    <t>Horizon Power Annual report</t>
  </si>
  <si>
    <t>Horizon Power Tariff setting methodology</t>
  </si>
  <si>
    <t>Clen Energy Finance Corporation</t>
  </si>
  <si>
    <t>Superpowering up Accelerating the electrification and decarbonisation of the Pilbara</t>
  </si>
  <si>
    <t>Figure 2.2 NWIS grid connected generation facilities</t>
  </si>
  <si>
    <t>NWIS forecast based on CEFC 2024 figures, and then escalated at Horizon growth in peak demand</t>
  </si>
  <si>
    <t>Pre 2024, scaled down using Horixon peak demand forecast</t>
  </si>
  <si>
    <t>Key demand fields highlighted in grey</t>
  </si>
  <si>
    <t>Powerlink report noted below</t>
  </si>
  <si>
    <t>Mt Isa load</t>
  </si>
  <si>
    <t>North West zone which includes Mt Isa connected from 2032</t>
  </si>
  <si>
    <t xml:space="preserve">MT ISA   </t>
  </si>
  <si>
    <t>Powerlink data on Mt Isa</t>
  </si>
  <si>
    <t>Rate of change for 2050 projection</t>
  </si>
  <si>
    <t>Whole of system Plan WA</t>
  </si>
  <si>
    <t>https://www.wa.gov.au/government/document-collections/whole-of-system-plan#:~:text=The%20Whole%20of%20System%20Plan,of%20our%20main%20electricity%20system.&amp;text=Whole%20of%20System%20Planning%20provides,like%20over%20the%20coming%20decades.</t>
  </si>
  <si>
    <t>20 YEAR PROJECTION 2020 TO 2040 FOR swis SYSTEM ONLY</t>
  </si>
  <si>
    <t>Techtopia senario (most like WA ESOO 2024)</t>
  </si>
  <si>
    <t>SWIS forecast (ESOO plus extension)</t>
  </si>
  <si>
    <t>TOTAL UNDERLYING</t>
  </si>
  <si>
    <t>DKIS and Alice SpringsTotal Northern Territory</t>
  </si>
  <si>
    <t>ALICE</t>
  </si>
  <si>
    <t>MT ISA</t>
  </si>
  <si>
    <t>2050 FORECASTS</t>
  </si>
  <si>
    <t>WA ESOO to 2034, then 2020-2024 historic growth used at 2.7%</t>
  </si>
  <si>
    <t>2020-2025 avg</t>
  </si>
  <si>
    <t>2027-2040 average based on peak demand projection</t>
  </si>
  <si>
    <t>based off NWIS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</si>
</sst>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0.0"/>
    <numFmt numFmtId="166" formatCode="0.0%"/>
  </numFmts>
  <fonts count="27">
    <font>
      <sz val="11"/>
      <color theme="1"/>
      <name val="Jacobs Chronos"/>
      <family val="2"/>
      <scheme val="major"/>
    </font>
    <font>
      <sz val="11"/>
      <color rgb="FF9C0006"/>
      <name val="Jacobs Chronos"/>
      <family val="2"/>
      <scheme val="major"/>
    </font>
    <font>
      <sz val="11"/>
      <color rgb="FF006100"/>
      <name val="Jacobs Chronos"/>
      <family val="2"/>
      <scheme val="major"/>
    </font>
    <font>
      <sz val="11"/>
      <color rgb="FF9C5700"/>
      <name val="Jacobs Chronos"/>
      <family val="2"/>
      <scheme val="major"/>
    </font>
    <font>
      <b/>
      <sz val="11"/>
      <color rgb="FFFA7D00"/>
      <name val="Jacobs Chronos"/>
      <family val="2"/>
      <scheme val="major"/>
    </font>
    <font>
      <b/>
      <sz val="11"/>
      <color theme="0"/>
      <name val="Jacobs Chronos"/>
      <family val="2"/>
      <scheme val="major"/>
    </font>
    <font>
      <i/>
      <sz val="11"/>
      <color rgb="FF7F7F7F"/>
      <name val="Jacobs Chronos"/>
      <family val="2"/>
      <scheme val="major"/>
    </font>
    <font>
      <sz val="11"/>
      <color rgb="FF3F3F76"/>
      <name val="Jacobs Chronos"/>
      <family val="2"/>
      <scheme val="major"/>
    </font>
    <font>
      <sz val="11"/>
      <color rgb="FFFA7D00"/>
      <name val="Jacobs Chronos"/>
      <family val="2"/>
      <scheme val="major"/>
    </font>
    <font>
      <b/>
      <sz val="11"/>
      <color rgb="FF3F3F3F"/>
      <name val="Jacobs Chronos"/>
      <family val="2"/>
      <scheme val="major"/>
    </font>
    <font>
      <sz val="11"/>
      <color rgb="FFFF0000"/>
      <name val="Jacobs Chronos"/>
      <family val="2"/>
      <scheme val="major"/>
    </font>
    <font>
      <b/>
      <sz val="11"/>
      <color theme="1"/>
      <name val="Jacobs Chronos Light"/>
      <family val="2"/>
      <scheme val="minor"/>
    </font>
    <font>
      <sz val="11"/>
      <color theme="0"/>
      <name val="Jacobs Chronos Light"/>
      <family val="2"/>
      <scheme val="minor"/>
    </font>
    <font>
      <b/>
      <sz val="18"/>
      <color theme="1"/>
      <name val="Jacobs Chronos Light"/>
      <family val="2"/>
      <scheme val="minor"/>
    </font>
    <font>
      <b/>
      <sz val="11"/>
      <color theme="0"/>
      <name val="Jacobs Chronos Light"/>
      <family val="2"/>
      <scheme val="minor"/>
    </font>
    <font>
      <b/>
      <sz val="11"/>
      <color theme="1"/>
      <name val="Jacobs Chronos"/>
      <family val="2"/>
      <scheme val="major"/>
    </font>
    <font>
      <sz val="11"/>
      <color theme="1"/>
      <name val="Jacobs Chronos"/>
      <family val="2"/>
      <scheme val="major"/>
    </font>
    <font>
      <u/>
      <sz val="11"/>
      <color theme="10"/>
      <name val="Jacobs Chronos"/>
      <family val="2"/>
      <scheme val="major"/>
    </font>
    <font>
      <sz val="11"/>
      <color theme="4"/>
      <name val="Jacobs Chronos"/>
      <family val="2"/>
      <scheme val="major"/>
    </font>
    <font>
      <b/>
      <sz val="11"/>
      <color theme="4"/>
      <name val="Jacobs Chronos"/>
      <family val="2"/>
      <scheme val="major"/>
    </font>
    <font>
      <sz val="11"/>
      <name val="Jacobs Chronos"/>
      <family val="2"/>
      <scheme val="major"/>
    </font>
    <font>
      <sz val="11"/>
      <color rgb="FF231EDC"/>
      <name val="Jacobs Chronos"/>
      <family val="2"/>
      <scheme val="major"/>
    </font>
    <font>
      <b/>
      <sz val="11"/>
      <color rgb="FF231EDC"/>
      <name val="Jacobs Chronos"/>
      <family val="2"/>
      <scheme val="major"/>
    </font>
    <font>
      <b/>
      <sz val="11"/>
      <name val="Jacobs Chronos"/>
      <family val="2"/>
      <scheme val="major"/>
    </font>
    <font>
      <b/>
      <sz val="20"/>
      <name val="Jacobs Chronos"/>
      <family val="2"/>
      <scheme val="major"/>
    </font>
    <font>
      <b/>
      <sz val="11"/>
      <color rgb="FFFF0000"/>
      <name val="Jacobs Chronos"/>
      <family val="2"/>
      <scheme val="major"/>
    </font>
    <font>
      <b/>
      <sz val="18"/>
      <color theme="1"/>
      <name val="Jacobs Chronos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</borders>
  <cellStyleXfs count="1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7" fillId="5" borderId="1" applyNumberFormat="0" applyAlignment="0" applyProtection="0"/>
    <xf numFmtId="0" fontId="9" fillId="6" borderId="2" applyNumberFormat="0" applyAlignment="0" applyProtection="0"/>
    <xf numFmtId="0" fontId="4" fillId="6" borderId="1" applyNumberFormat="0" applyAlignment="0" applyProtection="0"/>
    <xf numFmtId="0" fontId="8" fillId="0" borderId="3" applyNumberFormat="0" applyFill="0" applyAlignment="0" applyProtection="0"/>
    <xf numFmtId="0" fontId="5" fillId="7" borderId="4" applyNumberFormat="0" applyAlignment="0" applyProtection="0"/>
    <xf numFmtId="0" fontId="10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70">
    <xf numFmtId="0" fontId="0" fillId="0" borderId="0" xfId="0"/>
    <xf numFmtId="0" fontId="13" fillId="0" borderId="0" xfId="0" applyFont="1"/>
    <xf numFmtId="0" fontId="14" fillId="8" borderId="5" xfId="0" applyFont="1" applyFill="1" applyBorder="1" applyAlignment="1">
      <alignment horizontal="left"/>
    </xf>
    <xf numFmtId="0" fontId="12" fillId="8" borderId="6" xfId="0" applyFont="1" applyFill="1" applyBorder="1"/>
    <xf numFmtId="0" fontId="14" fillId="8" borderId="7" xfId="0" applyFont="1" applyFill="1" applyBorder="1" applyAlignment="1">
      <alignment horizontal="right"/>
    </xf>
    <xf numFmtId="0" fontId="14" fillId="8" borderId="6" xfId="0" applyFont="1" applyFill="1" applyBorder="1" applyAlignment="1">
      <alignment horizontal="right"/>
    </xf>
    <xf numFmtId="0" fontId="11" fillId="0" borderId="8" xfId="0" applyFont="1" applyBorder="1"/>
    <xf numFmtId="0" fontId="0" fillId="0" borderId="9" xfId="0" applyBorder="1"/>
    <xf numFmtId="3" fontId="0" fillId="0" borderId="0" xfId="0" applyNumberFormat="1"/>
    <xf numFmtId="3" fontId="0" fillId="0" borderId="9" xfId="0" applyNumberFormat="1" applyBorder="1"/>
    <xf numFmtId="0" fontId="0" fillId="0" borderId="11" xfId="0" applyBorder="1"/>
    <xf numFmtId="0" fontId="15" fillId="0" borderId="10" xfId="0" applyFont="1" applyBorder="1" applyAlignment="1">
      <alignment horizontal="left"/>
    </xf>
    <xf numFmtId="0" fontId="15" fillId="0" borderId="12" xfId="0" applyFont="1" applyBorder="1"/>
    <xf numFmtId="0" fontId="15" fillId="0" borderId="11" xfId="0" applyFont="1" applyBorder="1"/>
    <xf numFmtId="3" fontId="15" fillId="0" borderId="12" xfId="0" applyNumberFormat="1" applyFont="1" applyBorder="1"/>
    <xf numFmtId="0" fontId="10" fillId="0" borderId="0" xfId="0" applyFont="1"/>
    <xf numFmtId="0" fontId="0" fillId="0" borderId="12" xfId="0" applyBorder="1"/>
    <xf numFmtId="0" fontId="17" fillId="0" borderId="0" xfId="13"/>
    <xf numFmtId="3" fontId="15" fillId="0" borderId="11" xfId="0" applyNumberFormat="1" applyFont="1" applyBorder="1"/>
    <xf numFmtId="164" fontId="0" fillId="0" borderId="0" xfId="11" applyNumberFormat="1" applyFont="1" applyBorder="1"/>
    <xf numFmtId="164" fontId="18" fillId="0" borderId="0" xfId="11" applyNumberFormat="1" applyFont="1"/>
    <xf numFmtId="164" fontId="0" fillId="0" borderId="12" xfId="11" applyNumberFormat="1" applyFont="1" applyBorder="1"/>
    <xf numFmtId="164" fontId="19" fillId="0" borderId="12" xfId="11" applyNumberFormat="1" applyFont="1" applyBorder="1"/>
    <xf numFmtId="164" fontId="0" fillId="0" borderId="0" xfId="11" applyNumberFormat="1" applyFont="1"/>
    <xf numFmtId="164" fontId="18" fillId="0" borderId="0" xfId="11" applyNumberFormat="1" applyFont="1" applyBorder="1"/>
    <xf numFmtId="9" fontId="0" fillId="0" borderId="0" xfId="12" applyFont="1"/>
    <xf numFmtId="0" fontId="20" fillId="0" borderId="0" xfId="0" applyFont="1"/>
    <xf numFmtId="164" fontId="0" fillId="0" borderId="0" xfId="0" applyNumberFormat="1"/>
    <xf numFmtId="164" fontId="21" fillId="0" borderId="0" xfId="11" applyNumberFormat="1" applyFont="1"/>
    <xf numFmtId="165" fontId="0" fillId="0" borderId="0" xfId="0" applyNumberFormat="1"/>
    <xf numFmtId="164" fontId="0" fillId="9" borderId="0" xfId="11" applyNumberFormat="1" applyFont="1" applyFill="1"/>
    <xf numFmtId="0" fontId="15" fillId="10" borderId="10" xfId="0" applyFont="1" applyFill="1" applyBorder="1" applyAlignment="1">
      <alignment horizontal="left"/>
    </xf>
    <xf numFmtId="0" fontId="0" fillId="10" borderId="11" xfId="0" applyFill="1" applyBorder="1"/>
    <xf numFmtId="0" fontId="0" fillId="10" borderId="12" xfId="0" applyFill="1" applyBorder="1"/>
    <xf numFmtId="1" fontId="15" fillId="10" borderId="12" xfId="0" applyNumberFormat="1" applyFont="1" applyFill="1" applyBorder="1"/>
    <xf numFmtId="1" fontId="15" fillId="10" borderId="11" xfId="0" applyNumberFormat="1" applyFont="1" applyFill="1" applyBorder="1"/>
    <xf numFmtId="0" fontId="0" fillId="10" borderId="0" xfId="0" applyFill="1"/>
    <xf numFmtId="0" fontId="11" fillId="10" borderId="8" xfId="0" applyFont="1" applyFill="1" applyBorder="1"/>
    <xf numFmtId="0" fontId="15" fillId="10" borderId="0" xfId="0" applyFont="1" applyFill="1"/>
    <xf numFmtId="0" fontId="15" fillId="10" borderId="9" xfId="0" applyFont="1" applyFill="1" applyBorder="1"/>
    <xf numFmtId="164" fontId="15" fillId="10" borderId="0" xfId="11" applyNumberFormat="1" applyFont="1" applyFill="1" applyBorder="1"/>
    <xf numFmtId="164" fontId="19" fillId="10" borderId="0" xfId="11" applyNumberFormat="1" applyFont="1" applyFill="1"/>
    <xf numFmtId="3" fontId="15" fillId="10" borderId="0" xfId="0" applyNumberFormat="1" applyFont="1" applyFill="1"/>
    <xf numFmtId="3" fontId="15" fillId="10" borderId="9" xfId="0" applyNumberFormat="1" applyFont="1" applyFill="1" applyBorder="1"/>
    <xf numFmtId="164" fontId="15" fillId="10" borderId="0" xfId="11" applyNumberFormat="1" applyFont="1" applyFill="1"/>
    <xf numFmtId="164" fontId="22" fillId="10" borderId="0" xfId="11" applyNumberFormat="1" applyFont="1" applyFill="1"/>
    <xf numFmtId="0" fontId="0" fillId="10" borderId="10" xfId="0" applyFill="1" applyBorder="1" applyAlignment="1">
      <alignment horizontal="left"/>
    </xf>
    <xf numFmtId="164" fontId="16" fillId="10" borderId="12" xfId="11" applyNumberFormat="1" applyFont="1" applyFill="1" applyBorder="1"/>
    <xf numFmtId="164" fontId="18" fillId="10" borderId="12" xfId="11" applyNumberFormat="1" applyFont="1" applyFill="1" applyBorder="1"/>
    <xf numFmtId="0" fontId="22" fillId="10" borderId="0" xfId="0" applyFont="1" applyFill="1"/>
    <xf numFmtId="0" fontId="15" fillId="0" borderId="0" xfId="0" applyFont="1"/>
    <xf numFmtId="0" fontId="23" fillId="10" borderId="0" xfId="0" applyFont="1" applyFill="1"/>
    <xf numFmtId="0" fontId="24" fillId="0" borderId="0" xfId="0" applyFont="1"/>
    <xf numFmtId="14" fontId="0" fillId="10" borderId="0" xfId="0" applyNumberFormat="1" applyFill="1"/>
    <xf numFmtId="10" fontId="0" fillId="0" borderId="0" xfId="12" applyNumberFormat="1" applyFont="1"/>
    <xf numFmtId="10" fontId="0" fillId="0" borderId="0" xfId="0" applyNumberFormat="1"/>
    <xf numFmtId="10" fontId="10" fillId="0" borderId="0" xfId="0" applyNumberFormat="1" applyFont="1"/>
    <xf numFmtId="0" fontId="20" fillId="10" borderId="0" xfId="0" applyFont="1" applyFill="1"/>
    <xf numFmtId="0" fontId="0" fillId="0" borderId="0" xfId="12" applyNumberFormat="1" applyFont="1"/>
    <xf numFmtId="164" fontId="25" fillId="10" borderId="0" xfId="0" applyNumberFormat="1" applyFont="1" applyFill="1"/>
    <xf numFmtId="3" fontId="25" fillId="10" borderId="0" xfId="0" applyNumberFormat="1" applyFont="1" applyFill="1"/>
    <xf numFmtId="0" fontId="21" fillId="0" borderId="0" xfId="0" applyFont="1"/>
    <xf numFmtId="3" fontId="10" fillId="0" borderId="0" xfId="0" applyNumberFormat="1" applyFont="1"/>
    <xf numFmtId="164" fontId="10" fillId="0" borderId="0" xfId="11" applyNumberFormat="1" applyFont="1"/>
    <xf numFmtId="164" fontId="10" fillId="10" borderId="12" xfId="11" applyNumberFormat="1" applyFont="1" applyFill="1" applyBorder="1"/>
    <xf numFmtId="0" fontId="25" fillId="0" borderId="12" xfId="0" applyFont="1" applyBorder="1"/>
    <xf numFmtId="164" fontId="25" fillId="10" borderId="0" xfId="11" applyNumberFormat="1" applyFont="1" applyFill="1"/>
    <xf numFmtId="1" fontId="25" fillId="10" borderId="0" xfId="0" applyNumberFormat="1" applyFont="1" applyFill="1"/>
    <xf numFmtId="0" fontId="26" fillId="10" borderId="0" xfId="0" applyFont="1" applyFill="1"/>
    <xf numFmtId="166" fontId="0" fillId="0" borderId="0" xfId="12" applyNumberFormat="1" applyFont="1"/>
  </cellXfs>
  <cellStyles count="14">
    <cellStyle name="Bad" xfId="2" builtinId="27" customBuiltin="1"/>
    <cellStyle name="Calculation" xfId="6" builtinId="22" customBuiltin="1"/>
    <cellStyle name="Check Cell" xfId="8" builtinId="23" customBuiltin="1"/>
    <cellStyle name="Comma" xfId="11" builtinId="3"/>
    <cellStyle name="Explanatory Text" xfId="10" builtinId="53" customBuiltin="1"/>
    <cellStyle name="Good" xfId="1" builtinId="26" customBuiltin="1"/>
    <cellStyle name="Hyperlink" xfId="13" builtinId="8"/>
    <cellStyle name="Input" xfId="4" builtinId="20" customBuiltin="1"/>
    <cellStyle name="Linked Cell" xfId="7" builtinId="24" customBuiltin="1"/>
    <cellStyle name="Neutral" xfId="3" builtinId="28" customBuiltin="1"/>
    <cellStyle name="Normal" xfId="0" builtinId="0" customBuiltin="1"/>
    <cellStyle name="Output" xfId="5" builtinId="21" customBuiltin="1"/>
    <cellStyle name="Percent" xfId="12" builtinId="5"/>
    <cellStyle name="Warning Text" xfId="9" builtinId="11" customBuiltin="1"/>
  </cellStyles>
  <dxfs count="0"/>
  <tableStyles count="0" defaultTableStyle="TableStyleMedium2" defaultPivotStyle="PivotStyleLight16"/>
  <colors>
    <mruColors>
      <color rgb="FF231EDC"/>
      <color rgb="FF001E55"/>
      <color rgb="FFFFFFFF"/>
      <color rgb="FF0A7DFF"/>
      <color rgb="FF5AE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aseline="0"/>
              <a:t>rate of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Summary!$A$75</c:f>
              <c:strCache>
                <c:ptCount val="1"/>
                <c:pt idx="0">
                  <c:v>NEM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Summary!$F$73:$AJ$73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Summary!$F$75:$AJ$75</c:f>
              <c:numCache>
                <c:formatCode>General</c:formatCode>
                <c:ptCount val="31"/>
                <c:pt idx="5" formatCode="0.00%">
                  <c:v>8.7034095324491911E-3</c:v>
                </c:pt>
                <c:pt idx="6" formatCode="0.00%">
                  <c:v>2.4667214237145574E-2</c:v>
                </c:pt>
                <c:pt idx="7" formatCode="0.00%">
                  <c:v>2.9767113085318098E-2</c:v>
                </c:pt>
                <c:pt idx="8" formatCode="0.00%">
                  <c:v>2.5313953998141514E-2</c:v>
                </c:pt>
                <c:pt idx="9" formatCode="0.00%">
                  <c:v>2.2462269985435768E-2</c:v>
                </c:pt>
                <c:pt idx="10" formatCode="0.00%">
                  <c:v>3.0013689049289694E-2</c:v>
                </c:pt>
                <c:pt idx="11" formatCode="0.00%">
                  <c:v>3.4495197558402468E-2</c:v>
                </c:pt>
                <c:pt idx="12" formatCode="0.00%">
                  <c:v>3.7274194908266667E-2</c:v>
                </c:pt>
                <c:pt idx="13" formatCode="0.00%">
                  <c:v>4.1510560020949105E-2</c:v>
                </c:pt>
                <c:pt idx="14" formatCode="0.00%">
                  <c:v>3.6974521726061749E-2</c:v>
                </c:pt>
                <c:pt idx="15" formatCode="0.00%">
                  <c:v>2.3176069606411165E-2</c:v>
                </c:pt>
                <c:pt idx="16" formatCode="0.00%">
                  <c:v>3.1937552142806247E-2</c:v>
                </c:pt>
                <c:pt idx="17" formatCode="0.00%">
                  <c:v>3.4025525177885374E-2</c:v>
                </c:pt>
                <c:pt idx="18" formatCode="0.00%">
                  <c:v>3.4766861866357468E-2</c:v>
                </c:pt>
                <c:pt idx="19" formatCode="0.00%">
                  <c:v>2.2179889018317134E-2</c:v>
                </c:pt>
                <c:pt idx="20" formatCode="0.00%">
                  <c:v>2.8569983962087209E-2</c:v>
                </c:pt>
                <c:pt idx="21" formatCode="0.00%">
                  <c:v>2.3787822317516527E-2</c:v>
                </c:pt>
                <c:pt idx="22" formatCode="0.00%">
                  <c:v>2.7245943879510515E-2</c:v>
                </c:pt>
                <c:pt idx="23" formatCode="0.00%">
                  <c:v>2.4697703977625052E-2</c:v>
                </c:pt>
                <c:pt idx="24" formatCode="0.00%">
                  <c:v>2.5519148606518938E-2</c:v>
                </c:pt>
                <c:pt idx="25" formatCode="0.00%">
                  <c:v>2.360964223884654E-2</c:v>
                </c:pt>
                <c:pt idx="26" formatCode="0.00%">
                  <c:v>1.7495442320291099E-2</c:v>
                </c:pt>
                <c:pt idx="27" formatCode="0.00%">
                  <c:v>1.6968574842966433E-2</c:v>
                </c:pt>
                <c:pt idx="28" formatCode="0.00%">
                  <c:v>1.6252649338932779E-2</c:v>
                </c:pt>
                <c:pt idx="29" formatCode="0.00%">
                  <c:v>2.1784335052702941E-2</c:v>
                </c:pt>
                <c:pt idx="30" formatCode="0.00%">
                  <c:v>1.9695327776171334E-2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DF-4DA4-A185-4CE2DDBEF4A0}"/>
            </c:ext>
          </c:extLst>
        </c:ser>
        <c:ser>
          <c:idx val="1"/>
          <c:order val="1"/>
          <c:tx>
            <c:strRef>
              <c:f>Summary!$A$76</c:f>
              <c:strCache>
                <c:ptCount val="1"/>
                <c:pt idx="0">
                  <c:v>WEM</c:v>
                </c:pt>
              </c:strCache>
            </c:strRef>
          </c:tx>
          <c:spPr>
            <a:ln w="28575" cap="rnd">
              <a:solidFill>
                <a:srgbClr val="231EDC"/>
              </a:solidFill>
              <a:round/>
            </a:ln>
            <a:effectLst/>
          </c:spPr>
          <c:marker>
            <c:symbol val="none"/>
          </c:marker>
          <c:cat>
            <c:numRef>
              <c:f>Summary!$F$73:$AJ$73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Summary!$F$76:$AJ$76</c:f>
              <c:numCache>
                <c:formatCode>0.00%</c:formatCode>
                <c:ptCount val="31"/>
                <c:pt idx="0">
                  <c:v>3.6370211206070424E-2</c:v>
                </c:pt>
                <c:pt idx="1">
                  <c:v>2.4914972428007331E-2</c:v>
                </c:pt>
                <c:pt idx="2">
                  <c:v>4.2139389413318851E-2</c:v>
                </c:pt>
                <c:pt idx="3">
                  <c:v>-2.0964218262528922E-2</c:v>
                </c:pt>
                <c:pt idx="4">
                  <c:v>5.2622559267082369E-2</c:v>
                </c:pt>
                <c:pt idx="5">
                  <c:v>3.4385302633711312E-2</c:v>
                </c:pt>
                <c:pt idx="6">
                  <c:v>2.6307045851071909E-2</c:v>
                </c:pt>
                <c:pt idx="7">
                  <c:v>3.1733706257747851E-2</c:v>
                </c:pt>
                <c:pt idx="8">
                  <c:v>3.2838242556002317E-2</c:v>
                </c:pt>
                <c:pt idx="9">
                  <c:v>4.8883653454241172E-2</c:v>
                </c:pt>
                <c:pt idx="10">
                  <c:v>8.333403807284756E-2</c:v>
                </c:pt>
                <c:pt idx="11">
                  <c:v>9.3297085893162546E-2</c:v>
                </c:pt>
                <c:pt idx="12">
                  <c:v>7.29962239146833E-2</c:v>
                </c:pt>
                <c:pt idx="13">
                  <c:v>6.8409241011939681E-2</c:v>
                </c:pt>
                <c:pt idx="14">
                  <c:v>6.6351304217842966E-2</c:v>
                </c:pt>
                <c:pt idx="15">
                  <c:v>2.824470278094356E-2</c:v>
                </c:pt>
                <c:pt idx="16">
                  <c:v>2.824470278094356E-2</c:v>
                </c:pt>
                <c:pt idx="17">
                  <c:v>2.824470278094356E-2</c:v>
                </c:pt>
                <c:pt idx="18">
                  <c:v>2.824470278094356E-2</c:v>
                </c:pt>
                <c:pt idx="19">
                  <c:v>2.824470278094356E-2</c:v>
                </c:pt>
                <c:pt idx="20">
                  <c:v>2.824470278094356E-2</c:v>
                </c:pt>
                <c:pt idx="21">
                  <c:v>2.824470278094356E-2</c:v>
                </c:pt>
                <c:pt idx="22">
                  <c:v>2.824470278094356E-2</c:v>
                </c:pt>
                <c:pt idx="23">
                  <c:v>2.824470278094356E-2</c:v>
                </c:pt>
                <c:pt idx="24">
                  <c:v>2.824470278094356E-2</c:v>
                </c:pt>
                <c:pt idx="25">
                  <c:v>2.824470278094356E-2</c:v>
                </c:pt>
                <c:pt idx="26">
                  <c:v>2.824470278094356E-2</c:v>
                </c:pt>
                <c:pt idx="27">
                  <c:v>2.824470278094356E-2</c:v>
                </c:pt>
                <c:pt idx="28">
                  <c:v>2.824470278094356E-2</c:v>
                </c:pt>
                <c:pt idx="29">
                  <c:v>2.824470278094356E-2</c:v>
                </c:pt>
                <c:pt idx="30">
                  <c:v>2.824470278094356E-2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CB-4EEB-8BA8-FD2289002178}"/>
            </c:ext>
          </c:extLst>
        </c:ser>
        <c:ser>
          <c:idx val="2"/>
          <c:order val="2"/>
          <c:tx>
            <c:strRef>
              <c:f>Summary!$A$77</c:f>
              <c:strCache>
                <c:ptCount val="1"/>
                <c:pt idx="0">
                  <c:v>NWIS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Summary!$F$73:$AJ$73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Summary!$F$77:$AJ$77</c:f>
              <c:numCache>
                <c:formatCode>0.00%</c:formatCode>
                <c:ptCount val="31"/>
                <c:pt idx="1">
                  <c:v>1.7391304347826209E-2</c:v>
                </c:pt>
                <c:pt idx="2">
                  <c:v>2.564102564102555E-2</c:v>
                </c:pt>
                <c:pt idx="3">
                  <c:v>-4.1666666666666741E-2</c:v>
                </c:pt>
                <c:pt idx="4">
                  <c:v>0.11574349811395668</c:v>
                </c:pt>
                <c:pt idx="5">
                  <c:v>0</c:v>
                </c:pt>
                <c:pt idx="6">
                  <c:v>-6.4768683274021299E-2</c:v>
                </c:pt>
                <c:pt idx="7">
                  <c:v>1.1904761904761862E-2</c:v>
                </c:pt>
                <c:pt idx="8">
                  <c:v>1.1764705882353121E-2</c:v>
                </c:pt>
                <c:pt idx="9">
                  <c:v>1.1627906976744207E-2</c:v>
                </c:pt>
                <c:pt idx="10">
                  <c:v>1.1494252873563315E-2</c:v>
                </c:pt>
                <c:pt idx="11">
                  <c:v>1.136363636363602E-2</c:v>
                </c:pt>
                <c:pt idx="12">
                  <c:v>1.1235955056180025E-2</c:v>
                </c:pt>
                <c:pt idx="13">
                  <c:v>1.1111111111111072E-2</c:v>
                </c:pt>
                <c:pt idx="14">
                  <c:v>1.098901098901095E-2</c:v>
                </c:pt>
                <c:pt idx="15">
                  <c:v>1.0869565217391131E-2</c:v>
                </c:pt>
                <c:pt idx="16">
                  <c:v>1.0752688172043001E-2</c:v>
                </c:pt>
                <c:pt idx="17">
                  <c:v>1.0638297872340052E-2</c:v>
                </c:pt>
                <c:pt idx="18">
                  <c:v>1.0526315789473495E-2</c:v>
                </c:pt>
                <c:pt idx="19">
                  <c:v>1.0416666666666297E-2</c:v>
                </c:pt>
                <c:pt idx="20">
                  <c:v>1.0309278350515427E-2</c:v>
                </c:pt>
                <c:pt idx="21">
                  <c:v>1.1071725230413569E-2</c:v>
                </c:pt>
                <c:pt idx="22">
                  <c:v>1.1071725230413569E-2</c:v>
                </c:pt>
                <c:pt idx="23">
                  <c:v>1.1071725230413569E-2</c:v>
                </c:pt>
                <c:pt idx="24">
                  <c:v>1.1071725230413569E-2</c:v>
                </c:pt>
                <c:pt idx="25">
                  <c:v>1.1071725230413569E-2</c:v>
                </c:pt>
                <c:pt idx="26">
                  <c:v>1.1071725230413569E-2</c:v>
                </c:pt>
                <c:pt idx="27">
                  <c:v>1.1071725230413569E-2</c:v>
                </c:pt>
                <c:pt idx="28">
                  <c:v>1.1071725230413569E-2</c:v>
                </c:pt>
                <c:pt idx="29">
                  <c:v>1.1071725230413569E-2</c:v>
                </c:pt>
                <c:pt idx="30">
                  <c:v>1.1071725230413569E-2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CB-4EEB-8BA8-FD2289002178}"/>
            </c:ext>
          </c:extLst>
        </c:ser>
        <c:ser>
          <c:idx val="3"/>
          <c:order val="3"/>
          <c:tx>
            <c:strRef>
              <c:f>Summary!$A$78</c:f>
              <c:strCache>
                <c:ptCount val="1"/>
                <c:pt idx="0">
                  <c:v>DKIS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Summary!$F$73:$AJ$73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Summary!$F$78:$AJ$78</c:f>
              <c:numCache>
                <c:formatCode>General</c:formatCode>
                <c:ptCount val="31"/>
                <c:pt idx="4" formatCode="0.00%">
                  <c:v>-1.2539186200812846E-3</c:v>
                </c:pt>
                <c:pt idx="5" formatCode="0.00%">
                  <c:v>3.6889556988603189E-2</c:v>
                </c:pt>
                <c:pt idx="6" formatCode="0.00%">
                  <c:v>2.4321834513924889E-2</c:v>
                </c:pt>
                <c:pt idx="7" formatCode="0.00%">
                  <c:v>-1.9278113179646006E-3</c:v>
                </c:pt>
                <c:pt idx="8" formatCode="0.00%">
                  <c:v>-1.5178374110254023E-3</c:v>
                </c:pt>
                <c:pt idx="9" formatCode="0.00%">
                  <c:v>-1.5902995770448181E-3</c:v>
                </c:pt>
                <c:pt idx="10" formatCode="0.00%">
                  <c:v>-1.2665671047902283E-3</c:v>
                </c:pt>
                <c:pt idx="11" formatCode="0.00%">
                  <c:v>-9.5849371166267794E-4</c:v>
                </c:pt>
                <c:pt idx="12" formatCode="0.00%">
                  <c:v>-7.0533978517317575E-4</c:v>
                </c:pt>
                <c:pt idx="13" formatCode="0.00%">
                  <c:v>-8.4030091757081316E-4</c:v>
                </c:pt>
                <c:pt idx="14" formatCode="0.00%">
                  <c:v>1.098901098901095E-2</c:v>
                </c:pt>
                <c:pt idx="15" formatCode="0.00%">
                  <c:v>1.0869565217391131E-2</c:v>
                </c:pt>
                <c:pt idx="16" formatCode="0.00%">
                  <c:v>1.0752688172043001E-2</c:v>
                </c:pt>
                <c:pt idx="17" formatCode="0.00%">
                  <c:v>1.0638297872340052E-2</c:v>
                </c:pt>
                <c:pt idx="18" formatCode="0.00%">
                  <c:v>1.0526315789473495E-2</c:v>
                </c:pt>
                <c:pt idx="19" formatCode="0.00%">
                  <c:v>1.0416666666666297E-2</c:v>
                </c:pt>
                <c:pt idx="20" formatCode="0.00%">
                  <c:v>1.0309278350515427E-2</c:v>
                </c:pt>
                <c:pt idx="21" formatCode="0.00%">
                  <c:v>1.1071725230413554E-2</c:v>
                </c:pt>
                <c:pt idx="22" formatCode="0.00%">
                  <c:v>1.1071725230413554E-2</c:v>
                </c:pt>
                <c:pt idx="23" formatCode="0.00%">
                  <c:v>1.1071725230413554E-2</c:v>
                </c:pt>
                <c:pt idx="24" formatCode="0.00%">
                  <c:v>1.1071725230413554E-2</c:v>
                </c:pt>
                <c:pt idx="25" formatCode="0.00%">
                  <c:v>1.1071725230413554E-2</c:v>
                </c:pt>
                <c:pt idx="26" formatCode="0.00%">
                  <c:v>1.1071725230413554E-2</c:v>
                </c:pt>
                <c:pt idx="27" formatCode="0.00%">
                  <c:v>1.1071725230413554E-2</c:v>
                </c:pt>
                <c:pt idx="28" formatCode="0.00%">
                  <c:v>1.1071725230413554E-2</c:v>
                </c:pt>
                <c:pt idx="29" formatCode="0.00%">
                  <c:v>1.1071725230413554E-2</c:v>
                </c:pt>
                <c:pt idx="30" formatCode="0.00%">
                  <c:v>1.1071725230413554E-2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CB-4EEB-8BA8-FD2289002178}"/>
            </c:ext>
          </c:extLst>
        </c:ser>
        <c:ser>
          <c:idx val="4"/>
          <c:order val="4"/>
          <c:tx>
            <c:strRef>
              <c:f>Summary!$A$79</c:f>
              <c:strCache>
                <c:ptCount val="1"/>
                <c:pt idx="0">
                  <c:v>ALICE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Summary!$F$73:$AJ$73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Summary!$F$79:$AJ$79</c:f>
              <c:numCache>
                <c:formatCode>General</c:formatCode>
                <c:ptCount val="31"/>
                <c:pt idx="4" formatCode="0.00%">
                  <c:v>8.1081081081081141E-2</c:v>
                </c:pt>
                <c:pt idx="5" formatCode="0.00%">
                  <c:v>8.3333333333333259E-2</c:v>
                </c:pt>
                <c:pt idx="6" formatCode="0.00%">
                  <c:v>7.6923076923076872E-2</c:v>
                </c:pt>
                <c:pt idx="7" formatCode="0.00%">
                  <c:v>0</c:v>
                </c:pt>
                <c:pt idx="8" formatCode="0.00%">
                  <c:v>0</c:v>
                </c:pt>
                <c:pt idx="9" formatCode="0.00%">
                  <c:v>0</c:v>
                </c:pt>
                <c:pt idx="10" formatCode="0.00%">
                  <c:v>0</c:v>
                </c:pt>
                <c:pt idx="11" formatCode="0.00%">
                  <c:v>0</c:v>
                </c:pt>
                <c:pt idx="12" formatCode="0.00%">
                  <c:v>0</c:v>
                </c:pt>
                <c:pt idx="13" formatCode="0.00%">
                  <c:v>0</c:v>
                </c:pt>
                <c:pt idx="14" formatCode="0.00%">
                  <c:v>1.098901098901095E-2</c:v>
                </c:pt>
                <c:pt idx="15" formatCode="0.00%">
                  <c:v>1.0869565217391131E-2</c:v>
                </c:pt>
                <c:pt idx="16" formatCode="0.00%">
                  <c:v>1.0752688172043001E-2</c:v>
                </c:pt>
                <c:pt idx="17" formatCode="0.00%">
                  <c:v>1.0638297872340052E-2</c:v>
                </c:pt>
                <c:pt idx="18" formatCode="0.00%">
                  <c:v>1.0526315789473495E-2</c:v>
                </c:pt>
                <c:pt idx="19" formatCode="0.00%">
                  <c:v>1.0416666666666297E-2</c:v>
                </c:pt>
                <c:pt idx="20" formatCode="0.00%">
                  <c:v>1.0309278350515427E-2</c:v>
                </c:pt>
                <c:pt idx="21" formatCode="0.00%">
                  <c:v>1.1071725230413554E-2</c:v>
                </c:pt>
                <c:pt idx="22" formatCode="0.00%">
                  <c:v>1.1071725230413554E-2</c:v>
                </c:pt>
                <c:pt idx="23" formatCode="0.00%">
                  <c:v>1.1071725230413554E-2</c:v>
                </c:pt>
                <c:pt idx="24" formatCode="0.00%">
                  <c:v>1.1071725230413554E-2</c:v>
                </c:pt>
                <c:pt idx="25" formatCode="0.00%">
                  <c:v>1.1071725230413554E-2</c:v>
                </c:pt>
                <c:pt idx="26" formatCode="0.00%">
                  <c:v>1.1071725230413554E-2</c:v>
                </c:pt>
                <c:pt idx="27" formatCode="0.00%">
                  <c:v>1.1071725230413554E-2</c:v>
                </c:pt>
                <c:pt idx="28" formatCode="0.00%">
                  <c:v>1.1071725230413554E-2</c:v>
                </c:pt>
                <c:pt idx="29" formatCode="0.00%">
                  <c:v>1.1071725230413554E-2</c:v>
                </c:pt>
                <c:pt idx="30" formatCode="0.00%">
                  <c:v>1.1071725230413554E-2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CB-4EEB-8BA8-FD2289002178}"/>
            </c:ext>
          </c:extLst>
        </c:ser>
        <c:ser>
          <c:idx val="5"/>
          <c:order val="5"/>
          <c:tx>
            <c:strRef>
              <c:f>Summary!$A$80</c:f>
              <c:strCache>
                <c:ptCount val="1"/>
                <c:pt idx="0">
                  <c:v>MT ISA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Summary!$F$73:$AJ$73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Summary!$F$80:$AJ$80</c:f>
              <c:numCache>
                <c:formatCode>General</c:formatCode>
                <c:ptCount val="31"/>
                <c:pt idx="4" formatCode="0.00%">
                  <c:v>0</c:v>
                </c:pt>
                <c:pt idx="5" formatCode="0.00%">
                  <c:v>0</c:v>
                </c:pt>
                <c:pt idx="6" formatCode="0.00%">
                  <c:v>0</c:v>
                </c:pt>
                <c:pt idx="7" formatCode="0.00%">
                  <c:v>0</c:v>
                </c:pt>
                <c:pt idx="8" formatCode="0.00%">
                  <c:v>0</c:v>
                </c:pt>
                <c:pt idx="9" formatCode="0.00%">
                  <c:v>0</c:v>
                </c:pt>
                <c:pt idx="10" formatCode="0.00%">
                  <c:v>0</c:v>
                </c:pt>
                <c:pt idx="11" formatCode="0.00%">
                  <c:v>0</c:v>
                </c:pt>
                <c:pt idx="12" formatCode="0.00%">
                  <c:v>0</c:v>
                </c:pt>
                <c:pt idx="13" formatCode="0.00%">
                  <c:v>1.1111111111111072E-2</c:v>
                </c:pt>
                <c:pt idx="14" formatCode="0.00%">
                  <c:v>1.098901098901095E-2</c:v>
                </c:pt>
                <c:pt idx="15" formatCode="0.00%">
                  <c:v>1.0869565217391131E-2</c:v>
                </c:pt>
                <c:pt idx="16" formatCode="0.00%">
                  <c:v>1.0752688172043001E-2</c:v>
                </c:pt>
                <c:pt idx="17" formatCode="0.00%">
                  <c:v>1.0638297872340052E-2</c:v>
                </c:pt>
                <c:pt idx="18" formatCode="0.00%">
                  <c:v>1.0526315789473495E-2</c:v>
                </c:pt>
                <c:pt idx="19" formatCode="0.00%">
                  <c:v>1.0416666666666297E-2</c:v>
                </c:pt>
                <c:pt idx="20" formatCode="0.00%">
                  <c:v>1.0309278350515427E-2</c:v>
                </c:pt>
                <c:pt idx="21" formatCode="0.00%">
                  <c:v>1.1071725230413554E-2</c:v>
                </c:pt>
                <c:pt idx="22" formatCode="0.00%">
                  <c:v>1.1071725230413554E-2</c:v>
                </c:pt>
                <c:pt idx="23" formatCode="0.00%">
                  <c:v>1.1071725230413554E-2</c:v>
                </c:pt>
                <c:pt idx="24" formatCode="0.00%">
                  <c:v>1.1071725230413554E-2</c:v>
                </c:pt>
                <c:pt idx="25" formatCode="0.00%">
                  <c:v>1.1071725230413554E-2</c:v>
                </c:pt>
                <c:pt idx="26" formatCode="0.00%">
                  <c:v>1.1071725230413554E-2</c:v>
                </c:pt>
                <c:pt idx="27" formatCode="0.00%">
                  <c:v>1.1071725230413554E-2</c:v>
                </c:pt>
                <c:pt idx="28" formatCode="0.00%">
                  <c:v>1.1071725230413554E-2</c:v>
                </c:pt>
                <c:pt idx="29" formatCode="0.00%">
                  <c:v>1.1071725230413554E-2</c:v>
                </c:pt>
                <c:pt idx="30" formatCode="0.00%">
                  <c:v>1.1071725230413554E-2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FCB-4EEB-8BA8-FD2289002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611367"/>
        <c:axId val="62613167"/>
      </c:lineChart>
      <c:catAx>
        <c:axId val="62611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13167"/>
        <c:crosses val="autoZero"/>
        <c:auto val="1"/>
        <c:lblAlgn val="ctr"/>
        <c:lblOffset val="100"/>
        <c:noMultiLvlLbl val="0"/>
      </c:catAx>
      <c:valAx>
        <c:axId val="6261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11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Demand</a:t>
            </a:r>
            <a:r>
              <a:rPr lang="en-AU" baseline="0"/>
              <a:t> projections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>
        <c:manualLayout>
          <c:layoutTarget val="inner"/>
          <c:xMode val="edge"/>
          <c:yMode val="edge"/>
          <c:x val="5.5434873893590739E-2"/>
          <c:y val="9.0935427348439374E-2"/>
          <c:w val="0.82024010822243409"/>
          <c:h val="0.8513747741676112"/>
        </c:manualLayout>
      </c:layout>
      <c:lineChart>
        <c:grouping val="standard"/>
        <c:varyColors val="0"/>
        <c:ser>
          <c:idx val="2"/>
          <c:order val="2"/>
          <c:tx>
            <c:strRef>
              <c:f>Summary!$A$34</c:f>
              <c:strCache>
                <c:ptCount val="1"/>
                <c:pt idx="0">
                  <c:v>NWIS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Summary!$E$39:$AJ$39</c:f>
              <c:numCache>
                <c:formatCode>_-* #,##0_-;\-* #,##0_-;_-* "-"??_-;_-@_-</c:formatCode>
                <c:ptCount val="32"/>
                <c:pt idx="1">
                  <c:v>4362.7375003558718</c:v>
                </c:pt>
                <c:pt idx="2">
                  <c:v>4438.6111960142352</c:v>
                </c:pt>
                <c:pt idx="3">
                  <c:v>4552.4217395017795</c:v>
                </c:pt>
                <c:pt idx="4">
                  <c:v>4362.7375003558718</c:v>
                </c:pt>
                <c:pt idx="5">
                  <c:v>4867.6959999999999</c:v>
                </c:pt>
                <c:pt idx="6">
                  <c:v>4867.6959999999999</c:v>
                </c:pt>
                <c:pt idx="7">
                  <c:v>4552.4217395017795</c:v>
                </c:pt>
                <c:pt idx="8">
                  <c:v>4606.6172364006097</c:v>
                </c:pt>
                <c:pt idx="9">
                  <c:v>4660.8127332994409</c:v>
                </c:pt>
                <c:pt idx="10">
                  <c:v>4715.008230198272</c:v>
                </c:pt>
                <c:pt idx="11">
                  <c:v>4769.2037270971032</c:v>
                </c:pt>
                <c:pt idx="12">
                  <c:v>4823.3992239959325</c:v>
                </c:pt>
                <c:pt idx="13">
                  <c:v>4877.5947208947646</c:v>
                </c:pt>
                <c:pt idx="14">
                  <c:v>4931.7902177935948</c:v>
                </c:pt>
                <c:pt idx="15">
                  <c:v>4985.9857146924251</c:v>
                </c:pt>
                <c:pt idx="16">
                  <c:v>5040.1812115912553</c:v>
                </c:pt>
                <c:pt idx="17">
                  <c:v>5094.3767084900865</c:v>
                </c:pt>
                <c:pt idx="18">
                  <c:v>5148.5722053889158</c:v>
                </c:pt>
                <c:pt idx="19">
                  <c:v>5202.767702287746</c:v>
                </c:pt>
                <c:pt idx="20">
                  <c:v>5256.9631991865754</c:v>
                </c:pt>
                <c:pt idx="21">
                  <c:v>5311.1586960854056</c:v>
                </c:pt>
                <c:pt idx="22">
                  <c:v>5369.9623858235846</c:v>
                </c:pt>
                <c:pt idx="23">
                  <c:v>5429.4171338570795</c:v>
                </c:pt>
                <c:pt idx="24">
                  <c:v>5489.5301485244445</c:v>
                </c:pt>
                <c:pt idx="25">
                  <c:v>5550.3087179729782</c:v>
                </c:pt>
                <c:pt idx="26">
                  <c:v>5611.7602110423441</c:v>
                </c:pt>
                <c:pt idx="27">
                  <c:v>5673.8920781579727</c:v>
                </c:pt>
                <c:pt idx="28">
                  <c:v>5736.711852234358</c:v>
                </c:pt>
                <c:pt idx="29">
                  <c:v>5800.2271495883533</c:v>
                </c:pt>
                <c:pt idx="30">
                  <c:v>5864.4456708625803</c:v>
                </c:pt>
                <c:pt idx="31">
                  <c:v>5929.3752019590593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77-4244-B5DF-FAC9E1A8D13C}"/>
            </c:ext>
          </c:extLst>
        </c:ser>
        <c:ser>
          <c:idx val="3"/>
          <c:order val="3"/>
          <c:tx>
            <c:strRef>
              <c:f>Summary!$A$58</c:f>
              <c:strCache>
                <c:ptCount val="1"/>
                <c:pt idx="0">
                  <c:v>DKIS and Alice SpringsTotal Northern Territory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Summary!$E$58:$AJ$58</c:f>
              <c:numCache>
                <c:formatCode>_-* #,##0_-;\-* #,##0_-;_-* "-"??_-;_-@_-</c:formatCode>
                <c:ptCount val="32"/>
                <c:pt idx="0">
                  <c:v>1815.9997880249377</c:v>
                </c:pt>
                <c:pt idx="1">
                  <c:v>1742.3864102999196</c:v>
                </c:pt>
                <c:pt idx="2">
                  <c:v>1695.3121204158178</c:v>
                </c:pt>
                <c:pt idx="3">
                  <c:v>1771.691767142858</c:v>
                </c:pt>
                <c:pt idx="4">
                  <c:v>1679.0722300000002</c:v>
                </c:pt>
                <c:pt idx="5">
                  <c:v>1695.2451799999999</c:v>
                </c:pt>
                <c:pt idx="6">
                  <c:v>1768.9285300000001</c:v>
                </c:pt>
                <c:pt idx="7">
                  <c:v>1825.62844</c:v>
                </c:pt>
                <c:pt idx="8">
                  <c:v>1822.64876</c:v>
                </c:pt>
                <c:pt idx="9">
                  <c:v>1820.30727</c:v>
                </c:pt>
                <c:pt idx="10">
                  <c:v>1817.85772</c:v>
                </c:pt>
                <c:pt idx="11">
                  <c:v>1815.9099200000003</c:v>
                </c:pt>
                <c:pt idx="12">
                  <c:v>1814.43776</c:v>
                </c:pt>
                <c:pt idx="13">
                  <c:v>1813.35546</c:v>
                </c:pt>
                <c:pt idx="14">
                  <c:v>1812.0669799999998</c:v>
                </c:pt>
                <c:pt idx="15">
                  <c:v>1831.9798039560437</c:v>
                </c:pt>
                <c:pt idx="16">
                  <c:v>1851.8926279120874</c:v>
                </c:pt>
                <c:pt idx="17">
                  <c:v>1871.8054518681313</c:v>
                </c:pt>
                <c:pt idx="18">
                  <c:v>1891.7182758241745</c:v>
                </c:pt>
                <c:pt idx="19">
                  <c:v>1911.6310997802182</c:v>
                </c:pt>
                <c:pt idx="20">
                  <c:v>1931.5439237362616</c:v>
                </c:pt>
                <c:pt idx="21">
                  <c:v>1951.4567476923053</c:v>
                </c:pt>
                <c:pt idx="22">
                  <c:v>1973.0627406017911</c:v>
                </c:pt>
                <c:pt idx="23">
                  <c:v>1994.9079491281009</c:v>
                </c:pt>
                <c:pt idx="24">
                  <c:v>2016.995021800815</c:v>
                </c:pt>
                <c:pt idx="25">
                  <c:v>2039.3266364733056</c:v>
                </c:pt>
                <c:pt idx="26">
                  <c:v>2061.9055006474014</c:v>
                </c:pt>
                <c:pt idx="27">
                  <c:v>2084.7343518016478</c:v>
                </c:pt>
                <c:pt idx="28">
                  <c:v>2107.8159577232</c:v>
                </c:pt>
                <c:pt idx="29">
                  <c:v>2131.1531168433921</c:v>
                </c:pt>
                <c:pt idx="30">
                  <c:v>2154.7486585770216</c:v>
                </c:pt>
                <c:pt idx="31">
                  <c:v>2178.6054436653885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77-4244-B5DF-FAC9E1A8D13C}"/>
            </c:ext>
          </c:extLst>
        </c:ser>
        <c:ser>
          <c:idx val="4"/>
          <c:order val="4"/>
          <c:tx>
            <c:strRef>
              <c:f>Summary!$A$61</c:f>
              <c:strCache>
                <c:ptCount val="1"/>
                <c:pt idx="0">
                  <c:v>MT ISA  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Summary!$E$62:$AJ$62</c:f>
              <c:numCache>
                <c:formatCode>General</c:formatCode>
                <c:ptCount val="32"/>
                <c:pt idx="1">
                  <c:v>901</c:v>
                </c:pt>
                <c:pt idx="2">
                  <c:v>901</c:v>
                </c:pt>
                <c:pt idx="3">
                  <c:v>901</c:v>
                </c:pt>
                <c:pt idx="4">
                  <c:v>901</c:v>
                </c:pt>
                <c:pt idx="5">
                  <c:v>901</c:v>
                </c:pt>
                <c:pt idx="6">
                  <c:v>901</c:v>
                </c:pt>
                <c:pt idx="7">
                  <c:v>901</c:v>
                </c:pt>
                <c:pt idx="8">
                  <c:v>901</c:v>
                </c:pt>
                <c:pt idx="9">
                  <c:v>901</c:v>
                </c:pt>
                <c:pt idx="10">
                  <c:v>901</c:v>
                </c:pt>
                <c:pt idx="11">
                  <c:v>901</c:v>
                </c:pt>
                <c:pt idx="12">
                  <c:v>901</c:v>
                </c:pt>
                <c:pt idx="13">
                  <c:v>901</c:v>
                </c:pt>
                <c:pt idx="14" formatCode="0">
                  <c:v>911.01111111111106</c:v>
                </c:pt>
                <c:pt idx="15" formatCode="0">
                  <c:v>921.02222222222213</c:v>
                </c:pt>
                <c:pt idx="16" formatCode="0">
                  <c:v>931.03333333333308</c:v>
                </c:pt>
                <c:pt idx="17" formatCode="0">
                  <c:v>941.04444444444414</c:v>
                </c:pt>
                <c:pt idx="18" formatCode="0">
                  <c:v>951.05555555555486</c:v>
                </c:pt>
                <c:pt idx="19" formatCode="0">
                  <c:v>961.06666666666581</c:v>
                </c:pt>
                <c:pt idx="20" formatCode="0">
                  <c:v>971.07777777777653</c:v>
                </c:pt>
                <c:pt idx="21" formatCode="0">
                  <c:v>981.0888888888876</c:v>
                </c:pt>
                <c:pt idx="22" formatCode="0">
                  <c:v>991.95123549327707</c:v>
                </c:pt>
                <c:pt idx="23" formatCode="0">
                  <c:v>1002.9338470146279</c:v>
                </c:pt>
                <c:pt idx="24" formatCode="0">
                  <c:v>1014.0380549930554</c:v>
                </c:pt>
                <c:pt idx="25" formatCode="0">
                  <c:v>1025.2652057111216</c:v>
                </c:pt>
                <c:pt idx="26" formatCode="0">
                  <c:v>1036.6166603570584</c:v>
                </c:pt>
                <c:pt idx="27" formatCode="0">
                  <c:v>1048.0937951898006</c:v>
                </c:pt>
                <c:pt idx="28" formatCode="0">
                  <c:v>1059.6980017058434</c:v>
                </c:pt>
                <c:pt idx="29" formatCode="0">
                  <c:v>1071.4306868079489</c:v>
                </c:pt>
                <c:pt idx="30" formatCode="0">
                  <c:v>1083.2932729757197</c:v>
                </c:pt>
                <c:pt idx="31" formatCode="0">
                  <c:v>1095.2871984380622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77-4244-B5DF-FAC9E1A8D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4536528"/>
        <c:axId val="664537608"/>
      </c:lineChart>
      <c:lineChart>
        <c:grouping val="standard"/>
        <c:varyColors val="0"/>
        <c:ser>
          <c:idx val="0"/>
          <c:order val="0"/>
          <c:tx>
            <c:strRef>
              <c:f>Summary!$A$4</c:f>
              <c:strCache>
                <c:ptCount val="1"/>
                <c:pt idx="0">
                  <c:v>NEM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Summary!$E$7:$AJ$7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Summary!$E$13:$AJ$13</c:f>
              <c:numCache>
                <c:formatCode>General</c:formatCode>
                <c:ptCount val="32"/>
                <c:pt idx="5" formatCode="0">
                  <c:v>203475.12055599998</c:v>
                </c:pt>
                <c:pt idx="6" formatCode="0">
                  <c:v>205246.04785986332</c:v>
                </c:pt>
                <c:pt idx="7" formatCode="0">
                  <c:v>210308.89609374999</c:v>
                </c:pt>
                <c:pt idx="8" formatCode="0">
                  <c:v>216569.18478662104</c:v>
                </c:pt>
                <c:pt idx="9" formatCode="0">
                  <c:v>222051.40716772457</c:v>
                </c:pt>
                <c:pt idx="10" formatCode="0">
                  <c:v>227039.18582617192</c:v>
                </c:pt>
                <c:pt idx="11" formatCode="0">
                  <c:v>233853.46935156253</c:v>
                </c:pt>
                <c:pt idx="12" formatCode="0">
                  <c:v>241920.29097656248</c:v>
                </c:pt>
                <c:pt idx="13" formatCode="0">
                  <c:v>250937.67505468745</c:v>
                </c:pt>
                <c:pt idx="14" formatCode="0">
                  <c:v>261354.23847656246</c:v>
                </c:pt>
                <c:pt idx="15" formatCode="0">
                  <c:v>271017.68644531246</c:v>
                </c:pt>
                <c:pt idx="16" formatCode="0">
                  <c:v>277298.81121093751</c:v>
                </c:pt>
                <c:pt idx="17" formatCode="0">
                  <c:v>286155.05645312503</c:v>
                </c:pt>
                <c:pt idx="18" formatCode="0">
                  <c:v>295891.63253125001</c:v>
                </c:pt>
                <c:pt idx="19" formatCode="0">
                  <c:v>306178.85604687501</c:v>
                </c:pt>
                <c:pt idx="20" formatCode="0">
                  <c:v>312969.86909375002</c:v>
                </c:pt>
                <c:pt idx="21" formatCode="0">
                  <c:v>321911.41323437501</c:v>
                </c:pt>
                <c:pt idx="22" formatCode="0">
                  <c:v>329568.98473437497</c:v>
                </c:pt>
                <c:pt idx="23" formatCode="0">
                  <c:v>338548.40279687505</c:v>
                </c:pt>
                <c:pt idx="24" formatCode="0">
                  <c:v>346909.77103125001</c:v>
                </c:pt>
                <c:pt idx="25" formatCode="0">
                  <c:v>355762.61303124996</c:v>
                </c:pt>
                <c:pt idx="26" formatCode="0">
                  <c:v>364162.04104687501</c:v>
                </c:pt>
                <c:pt idx="27" formatCode="0">
                  <c:v>370533.21703125007</c:v>
                </c:pt>
                <c:pt idx="28" formatCode="0">
                  <c:v>376820.63765624998</c:v>
                </c:pt>
                <c:pt idx="29" formatCode="0">
                  <c:v>382944.97134375002</c:v>
                </c:pt>
                <c:pt idx="30" formatCode="0">
                  <c:v>391287.17290624999</c:v>
                </c:pt>
                <c:pt idx="31" formatCode="0">
                  <c:v>398993.70203125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08-483D-B758-D93AB2D202C9}"/>
            </c:ext>
          </c:extLst>
        </c:ser>
        <c:ser>
          <c:idx val="1"/>
          <c:order val="1"/>
          <c:tx>
            <c:strRef>
              <c:f>Summary!$A$25</c:f>
              <c:strCache>
                <c:ptCount val="1"/>
                <c:pt idx="0">
                  <c:v>WEM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Summary!$E$7:$AJ$7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Summary!$E$28:$AJ$28</c:f>
              <c:numCache>
                <c:formatCode>_-* #,##0_-;\-* #,##0_-;_-* "-"??_-;_-@_-</c:formatCode>
                <c:ptCount val="32"/>
                <c:pt idx="0">
                  <c:v>17471.629885639013</c:v>
                </c:pt>
                <c:pt idx="1">
                  <c:v>18107.076754693997</c:v>
                </c:pt>
                <c:pt idx="2">
                  <c:v>18558.214072789011</c:v>
                </c:pt>
                <c:pt idx="3">
                  <c:v>19340.245882417999</c:v>
                </c:pt>
                <c:pt idx="4">
                  <c:v>18934.792746488012</c:v>
                </c:pt>
                <c:pt idx="5">
                  <c:v>19931.189999999999</c:v>
                </c:pt>
                <c:pt idx="6">
                  <c:v>20616.53</c:v>
                </c:pt>
                <c:pt idx="7">
                  <c:v>21158.89</c:v>
                </c:pt>
                <c:pt idx="8">
                  <c:v>21830.34</c:v>
                </c:pt>
                <c:pt idx="9">
                  <c:v>22547.21</c:v>
                </c:pt>
                <c:pt idx="10">
                  <c:v>23649.4</c:v>
                </c:pt>
                <c:pt idx="11">
                  <c:v>25620.2</c:v>
                </c:pt>
                <c:pt idx="12">
                  <c:v>28010.49</c:v>
                </c:pt>
                <c:pt idx="13">
                  <c:v>30055.15</c:v>
                </c:pt>
                <c:pt idx="14">
                  <c:v>32111.200000000001</c:v>
                </c:pt>
                <c:pt idx="15">
                  <c:v>34241.82</c:v>
                </c:pt>
                <c:pt idx="16" formatCode="#,##0">
                  <c:v>35208.970028578573</c:v>
                </c:pt>
                <c:pt idx="17" formatCode="#,##0">
                  <c:v>36203.436922258923</c:v>
                </c:pt>
                <c:pt idx="18" formatCode="#,##0">
                  <c:v>37225.992237776765</c:v>
                </c:pt>
                <c:pt idx="19" formatCode="#,##0">
                  <c:v>38277.429324258483</c:v>
                </c:pt>
                <c:pt idx="20" formatCode="#,##0">
                  <c:v>39358.563938740735</c:v>
                </c:pt>
                <c:pt idx="21" formatCode="#,##0">
                  <c:v>40470.234879075229</c:v>
                </c:pt>
                <c:pt idx="22" formatCode="#,##0">
                  <c:v>41613.30463470969</c:v>
                </c:pt>
                <c:pt idx="23" formatCode="#,##0">
                  <c:v>42788.660055849927</c:v>
                </c:pt>
                <c:pt idx="24" formatCode="#,##0">
                  <c:v>43997.213041522242</c:v>
                </c:pt>
                <c:pt idx="25" formatCode="#,##0">
                  <c:v>45239.901247069894</c:v>
                </c:pt>
                <c:pt idx="26" formatCode="#,##0">
                  <c:v>46517.688811632623</c:v>
                </c:pt>
                <c:pt idx="27" formatCode="#,##0">
                  <c:v>47831.567106173614</c:v>
                </c:pt>
                <c:pt idx="28" formatCode="#,##0">
                  <c:v>49182.555502634248</c:v>
                </c:pt>
                <c:pt idx="29" formatCode="#,##0">
                  <c:v>50571.702164813418</c:v>
                </c:pt>
                <c:pt idx="30" formatCode="#,##0">
                  <c:v>52000.084861584975</c:v>
                </c:pt>
                <c:pt idx="31" formatCode="#,##0">
                  <c:v>53468.811803084289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08-483D-B758-D93AB2D20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1665464"/>
        <c:axId val="891667264"/>
      </c:lineChart>
      <c:catAx>
        <c:axId val="66453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37608"/>
        <c:crosses val="autoZero"/>
        <c:auto val="1"/>
        <c:lblAlgn val="ctr"/>
        <c:lblOffset val="100"/>
        <c:noMultiLvlLbl val="0"/>
      </c:catAx>
      <c:valAx>
        <c:axId val="66453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36528"/>
        <c:crosses val="autoZero"/>
        <c:crossBetween val="between"/>
      </c:valAx>
      <c:valAx>
        <c:axId val="89166726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665464"/>
        <c:crosses val="max"/>
        <c:crossBetween val="between"/>
      </c:valAx>
      <c:catAx>
        <c:axId val="8916654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916672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13144607924811633"/>
          <c:y val="0.14664984766729752"/>
          <c:w val="0.23712459170281991"/>
          <c:h val="0.205974541811428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Australia underlying demand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Summary!$J$53:$AJ$53</c:f>
              <c:strCache>
                <c:ptCount val="27"/>
                <c:pt idx="0">
                  <c:v>2024F</c:v>
                </c:pt>
                <c:pt idx="1">
                  <c:v>2025F</c:v>
                </c:pt>
                <c:pt idx="2">
                  <c:v>2026F</c:v>
                </c:pt>
                <c:pt idx="3">
                  <c:v>2027F</c:v>
                </c:pt>
                <c:pt idx="4">
                  <c:v>2028F</c:v>
                </c:pt>
                <c:pt idx="5">
                  <c:v>2029F</c:v>
                </c:pt>
                <c:pt idx="6">
                  <c:v>2030F</c:v>
                </c:pt>
                <c:pt idx="7">
                  <c:v>2031F</c:v>
                </c:pt>
                <c:pt idx="8">
                  <c:v>2032F</c:v>
                </c:pt>
                <c:pt idx="9">
                  <c:v>2033F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strCache>
            </c:strRef>
          </c:cat>
          <c:val>
            <c:numRef>
              <c:f>Summary!$J$67:$AJ$67</c:f>
              <c:numCache>
                <c:formatCode>_-* #,##0_-;\-* #,##0_-;_-* "-"??_-;_-@_-</c:formatCode>
                <c:ptCount val="27"/>
                <c:pt idx="0">
                  <c:v>230870.25173599998</c:v>
                </c:pt>
                <c:pt idx="1">
                  <c:v>233400.20238986332</c:v>
                </c:pt>
                <c:pt idx="2">
                  <c:v>238746.83627325177</c:v>
                </c:pt>
                <c:pt idx="3">
                  <c:v>245729.79078302166</c:v>
                </c:pt>
                <c:pt idx="4">
                  <c:v>251980.737171024</c:v>
                </c:pt>
                <c:pt idx="5">
                  <c:v>258122.45177637017</c:v>
                </c:pt>
                <c:pt idx="6">
                  <c:v>266959.78299865965</c:v>
                </c:pt>
                <c:pt idx="7">
                  <c:v>277469.61796055839</c:v>
                </c:pt>
                <c:pt idx="8">
                  <c:v>288584.7752355822</c:v>
                </c:pt>
                <c:pt idx="9">
                  <c:v>301120.30678546714</c:v>
                </c:pt>
                <c:pt idx="10">
                  <c:v>312998.4941861832</c:v>
                </c:pt>
                <c:pt idx="11">
                  <c:v>320330.88841235277</c:v>
                </c:pt>
                <c:pt idx="12">
                  <c:v>330265.71998018667</c:v>
                </c:pt>
                <c:pt idx="13">
                  <c:v>341108.9708057954</c:v>
                </c:pt>
                <c:pt idx="14">
                  <c:v>352531.75083986809</c:v>
                </c:pt>
                <c:pt idx="15">
                  <c:v>360488.01793319144</c:v>
                </c:pt>
                <c:pt idx="16">
                  <c:v>370625.35244611686</c:v>
                </c:pt>
                <c:pt idx="17">
                  <c:v>379517.26573100331</c:v>
                </c:pt>
                <c:pt idx="18">
                  <c:v>389764.32178272476</c:v>
                </c:pt>
                <c:pt idx="19">
                  <c:v>399427.54729809053</c:v>
                </c:pt>
                <c:pt idx="20">
                  <c:v>409617.41483847727</c:v>
                </c:pt>
                <c:pt idx="21">
                  <c:v>419390.01223055442</c:v>
                </c:pt>
                <c:pt idx="22">
                  <c:v>427171.50436257309</c:v>
                </c:pt>
                <c:pt idx="23">
                  <c:v>434907.41897054767</c:v>
                </c:pt>
                <c:pt idx="24">
                  <c:v>442519.48446180311</c:v>
                </c:pt>
                <c:pt idx="25">
                  <c:v>452389.74537025031</c:v>
                </c:pt>
                <c:pt idx="26">
                  <c:v>461665.7816783968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79-44F5-87E2-098CAB295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8773888"/>
        <c:axId val="1078772808"/>
      </c:lineChart>
      <c:catAx>
        <c:axId val="107877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772808"/>
        <c:crosses val="autoZero"/>
        <c:auto val="1"/>
        <c:lblAlgn val="ctr"/>
        <c:lblOffset val="100"/>
        <c:noMultiLvlLbl val="0"/>
      </c:catAx>
      <c:valAx>
        <c:axId val="1078772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773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Recreation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notes!$D$15:$X$15</c:f>
              <c:numCache>
                <c:formatCode>General</c:formatCode>
                <c:ptCount val="2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</c:numCache>
            </c:numRef>
          </c:cat>
          <c:val>
            <c:numRef>
              <c:f>notes!$D$16:$X$16</c:f>
              <c:numCache>
                <c:formatCode>_-* #,##0_-;\-* #,##0_-;_-* "-"??_-;_-@_-</c:formatCode>
                <c:ptCount val="21"/>
                <c:pt idx="0">
                  <c:v>115000</c:v>
                </c:pt>
                <c:pt idx="1">
                  <c:v>117000</c:v>
                </c:pt>
                <c:pt idx="2">
                  <c:v>120000</c:v>
                </c:pt>
                <c:pt idx="3">
                  <c:v>115000</c:v>
                </c:pt>
                <c:pt idx="4">
                  <c:v>128310.50228310502</c:v>
                </c:pt>
                <c:pt idx="5">
                  <c:v>128310.50228310502</c:v>
                </c:pt>
                <c:pt idx="6">
                  <c:v>120000</c:v>
                </c:pt>
                <c:pt idx="7">
                  <c:v>121428.57142857143</c:v>
                </c:pt>
                <c:pt idx="8">
                  <c:v>122857.14285714287</c:v>
                </c:pt>
                <c:pt idx="9">
                  <c:v>124285.7142857143</c:v>
                </c:pt>
                <c:pt idx="10">
                  <c:v>125714.28571428574</c:v>
                </c:pt>
                <c:pt idx="11">
                  <c:v>127142.85714285717</c:v>
                </c:pt>
                <c:pt idx="12">
                  <c:v>128571.42857142861</c:v>
                </c:pt>
                <c:pt idx="13">
                  <c:v>130000.00000000004</c:v>
                </c:pt>
                <c:pt idx="14">
                  <c:v>131428.57142857148</c:v>
                </c:pt>
                <c:pt idx="15">
                  <c:v>132857.1428571429</c:v>
                </c:pt>
                <c:pt idx="16">
                  <c:v>134285.71428571432</c:v>
                </c:pt>
                <c:pt idx="17">
                  <c:v>135714.28571428574</c:v>
                </c:pt>
                <c:pt idx="18">
                  <c:v>137142.85714285716</c:v>
                </c:pt>
                <c:pt idx="19">
                  <c:v>138571.42857142858</c:v>
                </c:pt>
                <c:pt idx="20">
                  <c:v>140000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D9-431C-9727-E6E623E47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2476584"/>
        <c:axId val="872477664"/>
      </c:lineChart>
      <c:catAx>
        <c:axId val="872476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477664"/>
        <c:crosses val="autoZero"/>
        <c:auto val="1"/>
        <c:lblAlgn val="ctr"/>
        <c:lblOffset val="100"/>
        <c:noMultiLvlLbl val="0"/>
      </c:catAx>
      <c:valAx>
        <c:axId val="87247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476584"/>
        <c:crosses val="autoZero"/>
        <c:crossBetween val="between"/>
        <c:majorUnit val="2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notes!$B$82</c:f>
              <c:strCache>
                <c:ptCount val="1"/>
                <c:pt idx="0">
                  <c:v>Techtopia senario (most like WA ESOO 2024)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notes!$G$66:$Z$66</c:f>
              <c:strCache>
                <c:ptCount val="2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2025F</c:v>
                </c:pt>
                <c:pt idx="5">
                  <c:v>2026F</c:v>
                </c:pt>
                <c:pt idx="6">
                  <c:v>2027F</c:v>
                </c:pt>
                <c:pt idx="7">
                  <c:v>2028F</c:v>
                </c:pt>
                <c:pt idx="8">
                  <c:v>2029F</c:v>
                </c:pt>
                <c:pt idx="9">
                  <c:v>2030F</c:v>
                </c:pt>
                <c:pt idx="10">
                  <c:v>2031F</c:v>
                </c:pt>
                <c:pt idx="11">
                  <c:v>2032F</c:v>
                </c:pt>
                <c:pt idx="12">
                  <c:v>2033F</c:v>
                </c:pt>
                <c:pt idx="13">
                  <c:v>2034F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</c:strCache>
            </c:strRef>
          </c:cat>
          <c:val>
            <c:numRef>
              <c:f>notes!$G$82:$Z$82</c:f>
              <c:numCache>
                <c:formatCode>General</c:formatCode>
                <c:ptCount val="20"/>
                <c:pt idx="0">
                  <c:v>21345.7</c:v>
                </c:pt>
                <c:pt idx="1">
                  <c:v>22485.609999999993</c:v>
                </c:pt>
                <c:pt idx="2">
                  <c:v>24023.139999999996</c:v>
                </c:pt>
                <c:pt idx="3">
                  <c:v>25954.790000000005</c:v>
                </c:pt>
                <c:pt idx="4">
                  <c:v>28056.430000000004</c:v>
                </c:pt>
                <c:pt idx="5">
                  <c:v>30399.339999999997</c:v>
                </c:pt>
                <c:pt idx="6">
                  <c:v>33552.650000000009</c:v>
                </c:pt>
                <c:pt idx="7">
                  <c:v>34887.410000000003</c:v>
                </c:pt>
                <c:pt idx="8">
                  <c:v>35750.010000000009</c:v>
                </c:pt>
                <c:pt idx="9">
                  <c:v>36450.529999999984</c:v>
                </c:pt>
                <c:pt idx="10">
                  <c:v>37679.160000000003</c:v>
                </c:pt>
                <c:pt idx="11">
                  <c:v>38719.62000000001</c:v>
                </c:pt>
                <c:pt idx="12">
                  <c:v>39453.329999999994</c:v>
                </c:pt>
                <c:pt idx="13">
                  <c:v>40362.760000000017</c:v>
                </c:pt>
                <c:pt idx="14">
                  <c:v>41201.14</c:v>
                </c:pt>
                <c:pt idx="15">
                  <c:v>42472.48000000001</c:v>
                </c:pt>
                <c:pt idx="16">
                  <c:v>43109.98</c:v>
                </c:pt>
                <c:pt idx="17">
                  <c:v>44401.670000000013</c:v>
                </c:pt>
                <c:pt idx="18">
                  <c:v>45390.520000000004</c:v>
                </c:pt>
                <c:pt idx="19">
                  <c:v>46876.330000000016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A1-47C9-ABFC-5A77EEDDF5FC}"/>
            </c:ext>
          </c:extLst>
        </c:ser>
        <c:ser>
          <c:idx val="2"/>
          <c:order val="1"/>
          <c:tx>
            <c:strRef>
              <c:f>notes!$B$84</c:f>
              <c:strCache>
                <c:ptCount val="1"/>
                <c:pt idx="0">
                  <c:v>SWIS forecast (ESOO plus extension)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notes!$G$66:$Z$66</c:f>
              <c:strCache>
                <c:ptCount val="2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2025F</c:v>
                </c:pt>
                <c:pt idx="5">
                  <c:v>2026F</c:v>
                </c:pt>
                <c:pt idx="6">
                  <c:v>2027F</c:v>
                </c:pt>
                <c:pt idx="7">
                  <c:v>2028F</c:v>
                </c:pt>
                <c:pt idx="8">
                  <c:v>2029F</c:v>
                </c:pt>
                <c:pt idx="9">
                  <c:v>2030F</c:v>
                </c:pt>
                <c:pt idx="10">
                  <c:v>2031F</c:v>
                </c:pt>
                <c:pt idx="11">
                  <c:v>2032F</c:v>
                </c:pt>
                <c:pt idx="12">
                  <c:v>2033F</c:v>
                </c:pt>
                <c:pt idx="13">
                  <c:v>2034F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</c:strCache>
            </c:strRef>
          </c:cat>
          <c:val>
            <c:numRef>
              <c:f>notes!$G$84:$Z$84</c:f>
              <c:numCache>
                <c:formatCode>General</c:formatCode>
                <c:ptCount val="20"/>
                <c:pt idx="0">
                  <c:v>18558.214072789011</c:v>
                </c:pt>
                <c:pt idx="1">
                  <c:v>19340.245882417999</c:v>
                </c:pt>
                <c:pt idx="2">
                  <c:v>18934.792746488012</c:v>
                </c:pt>
                <c:pt idx="3">
                  <c:v>19931.189999999999</c:v>
                </c:pt>
                <c:pt idx="4">
                  <c:v>20616.53</c:v>
                </c:pt>
                <c:pt idx="5">
                  <c:v>21158.89</c:v>
                </c:pt>
                <c:pt idx="6">
                  <c:v>21830.34</c:v>
                </c:pt>
                <c:pt idx="7">
                  <c:v>22547.21</c:v>
                </c:pt>
                <c:pt idx="8">
                  <c:v>23649.4</c:v>
                </c:pt>
                <c:pt idx="9">
                  <c:v>25620.2</c:v>
                </c:pt>
                <c:pt idx="10">
                  <c:v>28010.49</c:v>
                </c:pt>
                <c:pt idx="11">
                  <c:v>30055.15</c:v>
                </c:pt>
                <c:pt idx="12">
                  <c:v>32111.200000000001</c:v>
                </c:pt>
                <c:pt idx="13">
                  <c:v>34241.82</c:v>
                </c:pt>
                <c:pt idx="14">
                  <c:v>35208.970028578573</c:v>
                </c:pt>
                <c:pt idx="15">
                  <c:v>36203.436922258923</c:v>
                </c:pt>
                <c:pt idx="16">
                  <c:v>37225.992237776765</c:v>
                </c:pt>
                <c:pt idx="17">
                  <c:v>38277.429324258483</c:v>
                </c:pt>
                <c:pt idx="18">
                  <c:v>39358.563938740735</c:v>
                </c:pt>
                <c:pt idx="19">
                  <c:v>40470.234879075229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A1-47C9-ABFC-5A77EEDDF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8937952"/>
        <c:axId val="1078934712"/>
      </c:lineChart>
      <c:catAx>
        <c:axId val="107893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934712"/>
        <c:crosses val="autoZero"/>
        <c:auto val="1"/>
        <c:lblAlgn val="ctr"/>
        <c:lblOffset val="100"/>
        <c:noMultiLvlLbl val="0"/>
      </c:catAx>
      <c:valAx>
        <c:axId val="1078934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93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4.xml"/><Relationship Id="rId1" Type="http://schemas.openxmlformats.org/officeDocument/2006/relationships/image" Target="../media/image1.png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100264</xdr:colOff>
      <xdr:row>81</xdr:row>
      <xdr:rowOff>25733</xdr:rowOff>
    </xdr:from>
    <xdr:to>
      <xdr:col>16</xdr:col>
      <xdr:colOff>534738</xdr:colOff>
      <xdr:row>110</xdr:row>
      <xdr:rowOff>50132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6994B9-66C1-10F5-8914-22883953B1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163261</xdr:colOff>
      <xdr:row>81</xdr:row>
      <xdr:rowOff>39269</xdr:rowOff>
    </xdr:from>
    <xdr:to>
      <xdr:col>30</xdr:col>
      <xdr:colOff>100262</xdr:colOff>
      <xdr:row>110</xdr:row>
      <xdr:rowOff>63666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5969FB-AF63-B726-8B8F-F27852E43C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772025</xdr:colOff>
      <xdr:row>112</xdr:row>
      <xdr:rowOff>149057</xdr:rowOff>
    </xdr:from>
    <xdr:to>
      <xdr:col>16</xdr:col>
      <xdr:colOff>818816</xdr:colOff>
      <xdr:row>144</xdr:row>
      <xdr:rowOff>50132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D1DE37-BB92-7B12-0F79-23FEFCD1B8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999093</xdr:colOff>
      <xdr:row>3</xdr:row>
      <xdr:rowOff>23812</xdr:rowOff>
    </xdr:from>
    <xdr:to>
      <xdr:col>3</xdr:col>
      <xdr:colOff>485767</xdr:colOff>
      <xdr:row>14</xdr:row>
      <xdr:rowOff>119062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DDB0AF-5DC0-2E79-E00D-76C252DD5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093" y="595312"/>
          <a:ext cx="5535049" cy="2190750"/>
        </a:xfrm>
        <a:prstGeom prst="rect">
          <a:avLst/>
        </a:prstGeom>
      </xdr:spPr>
    </xdr:pic>
    <xdr:clientData/>
  </xdr:twoCellAnchor>
  <xdr:twoCellAnchor>
    <xdr:from>
      <xdr:col>4</xdr:col>
      <xdr:colOff>64386</xdr:colOff>
      <xdr:row>2</xdr:row>
      <xdr:rowOff>29670</xdr:rowOff>
    </xdr:from>
    <xdr:to>
      <xdr:col>8</xdr:col>
      <xdr:colOff>1028700</xdr:colOff>
      <xdr:row>13</xdr:row>
      <xdr:rowOff>16613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FFA67A-A4AF-0320-37DB-9B27769472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51955</xdr:colOff>
      <xdr:row>35</xdr:row>
      <xdr:rowOff>0</xdr:rowOff>
    </xdr:from>
    <xdr:to>
      <xdr:col>7</xdr:col>
      <xdr:colOff>257251</xdr:colOff>
      <xdr:row>58</xdr:row>
      <xdr:rowOff>87378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B616B2-FF98-92F5-42ED-00874CD82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80410" y="6061364"/>
          <a:ext cx="7077439" cy="4067384"/>
        </a:xfrm>
        <a:prstGeom prst="rect">
          <a:avLst/>
        </a:prstGeom>
      </xdr:spPr>
    </xdr:pic>
    <xdr:clientData/>
  </xdr:twoCellAnchor>
  <xdr:twoCellAnchor>
    <xdr:from>
      <xdr:col>9</xdr:col>
      <xdr:colOff>190499</xdr:colOff>
      <xdr:row>85</xdr:row>
      <xdr:rowOff>83129</xdr:rowOff>
    </xdr:from>
    <xdr:to>
      <xdr:col>20</xdr:col>
      <xdr:colOff>536862</xdr:colOff>
      <xdr:row>104</xdr:row>
      <xdr:rowOff>34637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743E6A-5FC6-8A72-1B8D-33AC960921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endlebury, Russell" id="{61BD6793-1CE4-43D7-9BE9-2D45240D1767}" userId="S::Russell.Pendlebury@jacobs.com::012c5790-ff69-4012-b289-a3377628aa08" providerId="AD"/>
</personList>
</file>

<file path=xl/theme/theme1.xml><?xml version="1.0" encoding="utf-8"?>
<a:theme xmlns:a="http://schemas.openxmlformats.org/drawingml/2006/main" name="Office Theme">
  <a:themeElements>
    <a:clrScheme name="Jacobs Accents Blue">
      <a:dk1>
        <a:srgbClr val="000000"/>
      </a:dk1>
      <a:lt1>
        <a:srgbClr val="FFFFFF"/>
      </a:lt1>
      <a:dk2>
        <a:srgbClr val="333333"/>
      </a:dk2>
      <a:lt2>
        <a:srgbClr val="E6E6E6"/>
      </a:lt2>
      <a:accent1>
        <a:srgbClr val="231EDC"/>
      </a:accent1>
      <a:accent2>
        <a:srgbClr val="0A7DFF"/>
      </a:accent2>
      <a:accent3>
        <a:srgbClr val="5AE6FF"/>
      </a:accent3>
      <a:accent4>
        <a:srgbClr val="001E55"/>
      </a:accent4>
      <a:accent5>
        <a:srgbClr val="A5A5A5"/>
      </a:accent5>
      <a:accent6>
        <a:srgbClr val="C8C8C8"/>
      </a:accent6>
      <a:hlink>
        <a:srgbClr val="231EDC"/>
      </a:hlink>
      <a:folHlink>
        <a:srgbClr val="E5E5E5"/>
      </a:folHlink>
    </a:clrScheme>
    <a:fontScheme name="JacobsChronos">
      <a:majorFont>
        <a:latin typeface="Jacobs Chronos"/>
        <a:ea typeface=""/>
        <a:cs typeface=""/>
      </a:majorFont>
      <a:minorFont>
        <a:latin typeface="Jacobs Chronos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6" dT="2025-05-19T06:14:43.21" personId="{61BD6793-1CE4-43D7-9BE9-2D45240D1767}" id="{08B1CC50-BF2B-4065-B6A2-BE78C3B0C87D}">
    <text>Set so Output matches FY2024 annual report amount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owerlink.com.au/planning-report/transmission-annual-planning-report-2024" TargetMode="External"/><Relationship Id="rId2" Type="http://schemas.openxmlformats.org/officeDocument/2006/relationships/hyperlink" Target="https://aemo.com.au/-/media/files/electricity/wem/planning_and_forecasting/esoo/2024/2024-wem-electricity-statement-of-opportunities.pdf?la=en" TargetMode="External"/><Relationship Id="rId1" Type="http://schemas.openxmlformats.org/officeDocument/2006/relationships/hyperlink" Target="https://utilicom.nt.gov.au/electricity/reporting/electricity-outlook-report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hyperlink" Target="https://www.powerlink.com.au/planning-report/transmission-annual-planning-report-2024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5BA7D-0E4D-422B-A0B0-E400C801E99B}">
  <dimension ref="A2:AO85"/>
  <sheetViews>
    <sheetView tabSelected="1" zoomScale="57" zoomScaleNormal="57" workbookViewId="0">
      <selection activeCell="B76" sqref="B76"/>
    </sheetView>
  </sheetViews>
  <sheetFormatPr defaultColWidth="8.75" defaultRowHeight="14"/>
  <cols>
    <col min="1" max="1" width="77.6640625" customWidth="1"/>
    <col min="3" max="4" width="9.58203125" bestFit="1" customWidth="1"/>
    <col min="5" max="9" width="10" bestFit="1" customWidth="1"/>
    <col min="10" max="10" width="11" bestFit="1" customWidth="1"/>
    <col min="11" max="20" width="10.33203125" bestFit="1" customWidth="1"/>
    <col min="21" max="41" width="10.25" bestFit="1" customWidth="1"/>
  </cols>
  <sheetData>
    <row r="2" spans="1:41">
      <c r="A2" s="38" t="s">
        <v>59</v>
      </c>
    </row>
    <row r="4" spans="1:41" ht="25">
      <c r="A4" s="52" t="s">
        <v>7</v>
      </c>
    </row>
    <row r="5" spans="1:41">
      <c r="A5" s="26" t="s">
        <v>11</v>
      </c>
      <c r="B5" t="s">
        <v>38</v>
      </c>
    </row>
    <row r="6" spans="1:41" ht="23.5" thickBot="1">
      <c r="A6" s="1" t="s">
        <v>8</v>
      </c>
    </row>
    <row r="7" spans="1:41">
      <c r="A7" s="2" t="s">
        <v>0</v>
      </c>
      <c r="B7" s="3"/>
      <c r="C7" s="4">
        <v>2017</v>
      </c>
      <c r="D7" s="4">
        <v>2018</v>
      </c>
      <c r="E7" s="4">
        <v>2019</v>
      </c>
      <c r="F7" s="4">
        <v>2020</v>
      </c>
      <c r="G7" s="4">
        <v>2021</v>
      </c>
      <c r="H7" s="4">
        <v>2022</v>
      </c>
      <c r="I7" s="4">
        <v>2023</v>
      </c>
      <c r="J7" s="4">
        <v>2024</v>
      </c>
      <c r="K7" s="4">
        <v>2025</v>
      </c>
      <c r="L7" s="4">
        <v>2026</v>
      </c>
      <c r="M7" s="4">
        <v>2027</v>
      </c>
      <c r="N7" s="4">
        <v>2028</v>
      </c>
      <c r="O7" s="4">
        <v>2029</v>
      </c>
      <c r="P7" s="4">
        <v>2030</v>
      </c>
      <c r="Q7" s="4">
        <v>2031</v>
      </c>
      <c r="R7" s="4">
        <v>2032</v>
      </c>
      <c r="S7" s="4">
        <v>2033</v>
      </c>
      <c r="T7" s="4">
        <v>2034</v>
      </c>
      <c r="U7" s="4">
        <v>2035</v>
      </c>
      <c r="V7" s="4">
        <v>2036</v>
      </c>
      <c r="W7" s="4">
        <v>2037</v>
      </c>
      <c r="X7" s="4">
        <v>2038</v>
      </c>
      <c r="Y7" s="4">
        <v>2039</v>
      </c>
      <c r="Z7" s="4">
        <v>2040</v>
      </c>
      <c r="AA7" s="4">
        <v>2041</v>
      </c>
      <c r="AB7" s="4">
        <v>2042</v>
      </c>
      <c r="AC7" s="4">
        <v>2043</v>
      </c>
      <c r="AD7" s="4">
        <v>2044</v>
      </c>
      <c r="AE7" s="4">
        <v>2045</v>
      </c>
      <c r="AF7" s="4">
        <v>2046</v>
      </c>
      <c r="AG7" s="4">
        <v>2047</v>
      </c>
      <c r="AH7" s="4">
        <v>2048</v>
      </c>
      <c r="AI7" s="4">
        <v>2049</v>
      </c>
      <c r="AJ7" s="4">
        <v>2050</v>
      </c>
      <c r="AK7" s="4">
        <v>2051</v>
      </c>
      <c r="AL7" s="4">
        <v>2052</v>
      </c>
      <c r="AM7" s="4">
        <v>2053</v>
      </c>
      <c r="AN7" s="4">
        <v>2054</v>
      </c>
      <c r="AO7" s="5">
        <v>2055</v>
      </c>
    </row>
    <row r="8" spans="1:41">
      <c r="A8" s="6" t="s">
        <v>1</v>
      </c>
      <c r="B8" s="7" t="s">
        <v>2</v>
      </c>
      <c r="J8" s="8">
        <v>60484.598721999995</v>
      </c>
      <c r="K8" s="8">
        <v>59012.792376953104</v>
      </c>
      <c r="L8" s="8">
        <v>60594.014406250004</v>
      </c>
      <c r="M8" s="8">
        <v>62183.406093749989</v>
      </c>
      <c r="N8" s="8">
        <v>63665.871609374997</v>
      </c>
      <c r="O8" s="8">
        <v>65089.228500000005</v>
      </c>
      <c r="P8" s="8">
        <v>67723.316500000001</v>
      </c>
      <c r="Q8" s="8">
        <v>70417.210374999995</v>
      </c>
      <c r="R8" s="8">
        <v>74080.220874999985</v>
      </c>
      <c r="S8" s="8">
        <v>77964.883249999984</v>
      </c>
      <c r="T8" s="8">
        <v>80548.006999999998</v>
      </c>
      <c r="U8" s="8">
        <v>83909.118875</v>
      </c>
      <c r="V8" s="8">
        <v>87700.664000000004</v>
      </c>
      <c r="W8" s="8">
        <v>90539.828750000001</v>
      </c>
      <c r="X8" s="8">
        <v>93123.792249999999</v>
      </c>
      <c r="Y8" s="8">
        <v>95901.400999999983</v>
      </c>
      <c r="Z8" s="8">
        <v>100068.943</v>
      </c>
      <c r="AA8" s="8">
        <v>101788.58199999999</v>
      </c>
      <c r="AB8" s="8">
        <v>106254.00475000001</v>
      </c>
      <c r="AC8" s="8">
        <v>108802.6825</v>
      </c>
      <c r="AD8" s="8">
        <v>112345.43900000001</v>
      </c>
      <c r="AE8" s="8">
        <v>115117.25750000002</v>
      </c>
      <c r="AF8" s="8">
        <v>118663.26775</v>
      </c>
      <c r="AG8" s="8">
        <v>121013.81625</v>
      </c>
      <c r="AH8" s="8">
        <v>121929.72675</v>
      </c>
      <c r="AI8" s="8">
        <v>125665.06999999999</v>
      </c>
      <c r="AJ8" s="8">
        <v>127669.97350000001</v>
      </c>
      <c r="AK8" s="8">
        <v>130991.8965</v>
      </c>
      <c r="AL8" s="8">
        <v>135260.9975</v>
      </c>
      <c r="AM8" s="8">
        <v>139521.9295</v>
      </c>
      <c r="AN8" s="8">
        <v>142567.274</v>
      </c>
      <c r="AO8" s="9">
        <v>145612.61849999984</v>
      </c>
    </row>
    <row r="9" spans="1:41">
      <c r="A9" s="6" t="s">
        <v>3</v>
      </c>
      <c r="B9" s="7" t="s">
        <v>2</v>
      </c>
      <c r="J9" s="8">
        <v>72510.876332</v>
      </c>
      <c r="K9" s="8">
        <v>73152.272202148408</v>
      </c>
      <c r="L9" s="8">
        <v>74513.830716796889</v>
      </c>
      <c r="M9" s="8">
        <v>76266.998140624986</v>
      </c>
      <c r="N9" s="8">
        <v>78112.381281249996</v>
      </c>
      <c r="O9" s="8">
        <v>79958.650750000001</v>
      </c>
      <c r="P9" s="8">
        <v>81799.233250000005</v>
      </c>
      <c r="Q9" s="8">
        <v>84002.130499999999</v>
      </c>
      <c r="R9" s="8">
        <v>85540.921000000002</v>
      </c>
      <c r="S9" s="8">
        <v>86295.132499999992</v>
      </c>
      <c r="T9" s="8">
        <v>88264.032999999996</v>
      </c>
      <c r="U9" s="8">
        <v>89587.659750000006</v>
      </c>
      <c r="V9" s="8">
        <v>91655.359500000006</v>
      </c>
      <c r="W9" s="8">
        <v>94130.31700000001</v>
      </c>
      <c r="X9" s="8">
        <v>96656.834000000003</v>
      </c>
      <c r="Y9" s="8">
        <v>98610.642750000014</v>
      </c>
      <c r="Z9" s="8">
        <v>100982.77824999999</v>
      </c>
      <c r="AA9" s="8">
        <v>103374.36425</v>
      </c>
      <c r="AB9" s="8">
        <v>106413.22799999999</v>
      </c>
      <c r="AC9" s="8">
        <v>108742.59999999999</v>
      </c>
      <c r="AD9" s="8">
        <v>111010.93149999999</v>
      </c>
      <c r="AE9" s="8">
        <v>113595.02900000001</v>
      </c>
      <c r="AF9" s="8">
        <v>115211.50900000001</v>
      </c>
      <c r="AG9" s="8">
        <v>116978.3805</v>
      </c>
      <c r="AH9" s="8">
        <v>119035.68549999999</v>
      </c>
      <c r="AI9" s="8">
        <v>121976.255</v>
      </c>
      <c r="AJ9" s="8">
        <v>124344.845</v>
      </c>
      <c r="AK9" s="8">
        <v>126869.93900000001</v>
      </c>
      <c r="AL9" s="8">
        <v>129498.3465</v>
      </c>
      <c r="AM9" s="8">
        <v>134714.40099999998</v>
      </c>
      <c r="AN9" s="8">
        <v>137256.47750000001</v>
      </c>
      <c r="AO9" s="9">
        <v>139846.43442538608</v>
      </c>
    </row>
    <row r="10" spans="1:41">
      <c r="A10" s="6" t="s">
        <v>4</v>
      </c>
      <c r="B10" s="7" t="s">
        <v>2</v>
      </c>
      <c r="J10" s="8">
        <v>45313.113116</v>
      </c>
      <c r="K10" s="8">
        <v>46774.708871093797</v>
      </c>
      <c r="L10" s="8">
        <v>48051.742578124991</v>
      </c>
      <c r="M10" s="8">
        <v>49702.200242187493</v>
      </c>
      <c r="N10" s="8">
        <v>51228.647218749997</v>
      </c>
      <c r="O10" s="8">
        <v>52583.467093750005</v>
      </c>
      <c r="P10" s="8">
        <v>54059.322328125003</v>
      </c>
      <c r="Q10" s="8">
        <v>55593.982499999991</v>
      </c>
      <c r="R10" s="8">
        <v>58538.566999999995</v>
      </c>
      <c r="S10" s="8">
        <v>62647.21675</v>
      </c>
      <c r="T10" s="8">
        <v>65455.936999999998</v>
      </c>
      <c r="U10" s="8">
        <v>67722.117249999996</v>
      </c>
      <c r="V10" s="8">
        <v>69870.357250000001</v>
      </c>
      <c r="W10" s="8">
        <v>72282.802249999993</v>
      </c>
      <c r="X10" s="8">
        <v>74560.79250000001</v>
      </c>
      <c r="Y10" s="8">
        <v>76593.354749999999</v>
      </c>
      <c r="Z10" s="8">
        <v>78479.69249999999</v>
      </c>
      <c r="AA10" s="8">
        <v>80174.637749999994</v>
      </c>
      <c r="AB10" s="8">
        <v>82197.409500000009</v>
      </c>
      <c r="AC10" s="8">
        <v>83970.338250000001</v>
      </c>
      <c r="AD10" s="8">
        <v>86083.604499999987</v>
      </c>
      <c r="AE10" s="8">
        <v>88674.01</v>
      </c>
      <c r="AF10" s="8">
        <v>90197.063999999998</v>
      </c>
      <c r="AG10" s="8">
        <v>91447.247000000003</v>
      </c>
      <c r="AH10" s="8">
        <v>93038.982499999998</v>
      </c>
      <c r="AI10" s="8">
        <v>94783.521000000008</v>
      </c>
      <c r="AJ10" s="8">
        <v>96559.202499999999</v>
      </c>
      <c r="AK10" s="8">
        <v>98059.326499999996</v>
      </c>
      <c r="AL10" s="8">
        <v>99414.367499999993</v>
      </c>
      <c r="AM10" s="8">
        <v>100811.88999999998</v>
      </c>
      <c r="AN10" s="8">
        <v>101944.57800000001</v>
      </c>
      <c r="AO10" s="9">
        <v>103089.99249590586</v>
      </c>
    </row>
    <row r="11" spans="1:41">
      <c r="A11" s="6" t="s">
        <v>5</v>
      </c>
      <c r="B11" s="7" t="s">
        <v>2</v>
      </c>
      <c r="J11" s="8">
        <v>14598.809792</v>
      </c>
      <c r="K11" s="8">
        <v>15466.0280078125</v>
      </c>
      <c r="L11" s="8">
        <v>16221.981781249999</v>
      </c>
      <c r="M11" s="8">
        <v>17324.929250000001</v>
      </c>
      <c r="N11" s="8">
        <v>17975.474750000001</v>
      </c>
      <c r="O11" s="8">
        <v>18297.229687499999</v>
      </c>
      <c r="P11" s="8">
        <v>18532.819062499999</v>
      </c>
      <c r="Q11" s="8">
        <v>18995.457062499998</v>
      </c>
      <c r="R11" s="8">
        <v>19349.873812500002</v>
      </c>
      <c r="S11" s="8">
        <v>19688.7218125</v>
      </c>
      <c r="T11" s="8">
        <v>20509.577843749998</v>
      </c>
      <c r="U11" s="8">
        <v>20839.315781249999</v>
      </c>
      <c r="V11" s="8">
        <v>21540.694281250002</v>
      </c>
      <c r="W11" s="8">
        <v>22368.1593125</v>
      </c>
      <c r="X11" s="8">
        <v>23441.109968749999</v>
      </c>
      <c r="Y11" s="8">
        <v>24065.358468750001</v>
      </c>
      <c r="Z11" s="8">
        <v>24691.914843749997</v>
      </c>
      <c r="AA11" s="8">
        <v>25239.91221875</v>
      </c>
      <c r="AB11" s="8">
        <v>25917.427500000002</v>
      </c>
      <c r="AC11" s="8">
        <v>26642.060375000001</v>
      </c>
      <c r="AD11" s="8">
        <v>27619.614874999999</v>
      </c>
      <c r="AE11" s="8">
        <v>28351.054187500002</v>
      </c>
      <c r="AF11" s="8">
        <v>28593.991625000002</v>
      </c>
      <c r="AG11" s="8">
        <v>29209.112250000002</v>
      </c>
      <c r="AH11" s="8">
        <v>29368.080750000001</v>
      </c>
      <c r="AI11" s="8">
        <v>30049.741125</v>
      </c>
      <c r="AJ11" s="8">
        <v>30721.31925</v>
      </c>
      <c r="AK11" s="8">
        <v>30890.926249999997</v>
      </c>
      <c r="AL11" s="8">
        <v>31171.669124999997</v>
      </c>
      <c r="AM11" s="8">
        <v>32543.640749999999</v>
      </c>
      <c r="AN11" s="8">
        <v>32989.270375</v>
      </c>
      <c r="AO11" s="9">
        <v>33441.002137256342</v>
      </c>
    </row>
    <row r="12" spans="1:41">
      <c r="A12" s="6" t="s">
        <v>6</v>
      </c>
      <c r="B12" s="7" t="s">
        <v>2</v>
      </c>
      <c r="J12" s="8">
        <v>10567.722593999999</v>
      </c>
      <c r="K12" s="8">
        <v>10840.246401855477</v>
      </c>
      <c r="L12" s="8">
        <v>10927.326611328101</v>
      </c>
      <c r="M12" s="8">
        <v>11091.651060058599</v>
      </c>
      <c r="N12" s="8">
        <v>11069.0323083496</v>
      </c>
      <c r="O12" s="8">
        <v>11110.6097949219</v>
      </c>
      <c r="P12" s="8">
        <v>11738.7782109375</v>
      </c>
      <c r="Q12" s="8">
        <v>12911.510539062499</v>
      </c>
      <c r="R12" s="8">
        <v>13428.092367187501</v>
      </c>
      <c r="S12" s="8">
        <v>14758.284164062499</v>
      </c>
      <c r="T12" s="8">
        <v>16240.131601562502</v>
      </c>
      <c r="U12" s="8">
        <v>15240.5995546875</v>
      </c>
      <c r="V12" s="8">
        <v>15387.981421874998</v>
      </c>
      <c r="W12" s="8">
        <v>16570.525218750001</v>
      </c>
      <c r="X12" s="8">
        <v>18396.327328125004</v>
      </c>
      <c r="Y12" s="8">
        <v>17799.112125</v>
      </c>
      <c r="Z12" s="8">
        <v>17688.084640624998</v>
      </c>
      <c r="AA12" s="8">
        <v>18991.488515624998</v>
      </c>
      <c r="AB12" s="8">
        <v>17766.333046874999</v>
      </c>
      <c r="AC12" s="8">
        <v>18752.089906249999</v>
      </c>
      <c r="AD12" s="8">
        <v>18703.023156250001</v>
      </c>
      <c r="AE12" s="8">
        <v>18424.690359374999</v>
      </c>
      <c r="AF12" s="8">
        <v>17867.384656250004</v>
      </c>
      <c r="AG12" s="8">
        <v>18172.08165625</v>
      </c>
      <c r="AH12" s="8">
        <v>19572.495843749999</v>
      </c>
      <c r="AI12" s="8">
        <v>18812.58578125</v>
      </c>
      <c r="AJ12" s="8">
        <v>19698.361781249998</v>
      </c>
      <c r="AK12" s="8">
        <v>19668.635750000001</v>
      </c>
      <c r="AL12" s="8">
        <v>19526.1100625</v>
      </c>
      <c r="AM12" s="8">
        <v>19322.886374999998</v>
      </c>
      <c r="AN12" s="8">
        <v>19205.63434375</v>
      </c>
      <c r="AO12" s="9">
        <v>19865.798182291677</v>
      </c>
    </row>
    <row r="13" spans="1:41" s="36" customFormat="1" ht="14.5" thickBot="1">
      <c r="A13" s="31" t="s">
        <v>7</v>
      </c>
      <c r="B13" s="32" t="s">
        <v>2</v>
      </c>
      <c r="C13" s="33"/>
      <c r="D13" s="33"/>
      <c r="E13" s="33"/>
      <c r="F13" s="33"/>
      <c r="G13" s="33"/>
      <c r="H13" s="33"/>
      <c r="I13" s="33"/>
      <c r="J13" s="34">
        <v>203475.12055599998</v>
      </c>
      <c r="K13" s="34">
        <v>205246.04785986332</v>
      </c>
      <c r="L13" s="34">
        <v>210308.89609374999</v>
      </c>
      <c r="M13" s="34">
        <v>216569.18478662104</v>
      </c>
      <c r="N13" s="34">
        <v>222051.40716772457</v>
      </c>
      <c r="O13" s="34">
        <v>227039.18582617192</v>
      </c>
      <c r="P13" s="34">
        <v>233853.46935156253</v>
      </c>
      <c r="Q13" s="34">
        <v>241920.29097656248</v>
      </c>
      <c r="R13" s="34">
        <v>250937.67505468745</v>
      </c>
      <c r="S13" s="34">
        <v>261354.23847656246</v>
      </c>
      <c r="T13" s="34">
        <v>271017.68644531246</v>
      </c>
      <c r="U13" s="34">
        <v>277298.81121093751</v>
      </c>
      <c r="V13" s="34">
        <v>286155.05645312503</v>
      </c>
      <c r="W13" s="34">
        <v>295891.63253125001</v>
      </c>
      <c r="X13" s="34">
        <v>306178.85604687501</v>
      </c>
      <c r="Y13" s="34">
        <v>312969.86909375002</v>
      </c>
      <c r="Z13" s="34">
        <v>321911.41323437501</v>
      </c>
      <c r="AA13" s="34">
        <v>329568.98473437497</v>
      </c>
      <c r="AB13" s="34">
        <v>338548.40279687505</v>
      </c>
      <c r="AC13" s="34">
        <v>346909.77103125001</v>
      </c>
      <c r="AD13" s="34">
        <v>355762.61303124996</v>
      </c>
      <c r="AE13" s="34">
        <v>364162.04104687501</v>
      </c>
      <c r="AF13" s="34">
        <v>370533.21703125007</v>
      </c>
      <c r="AG13" s="34">
        <v>376820.63765624998</v>
      </c>
      <c r="AH13" s="34">
        <v>382944.97134375002</v>
      </c>
      <c r="AI13" s="34">
        <v>391287.17290624999</v>
      </c>
      <c r="AJ13" s="34">
        <v>398993.70203125</v>
      </c>
      <c r="AK13" s="34">
        <v>406480.72400000005</v>
      </c>
      <c r="AL13" s="34">
        <v>414871.49068749999</v>
      </c>
      <c r="AM13" s="34">
        <v>426914.74762499996</v>
      </c>
      <c r="AN13" s="34">
        <v>433963.23421875003</v>
      </c>
      <c r="AO13" s="35">
        <v>441855.84574083972</v>
      </c>
    </row>
    <row r="15" spans="1:41" ht="23.5" thickBot="1">
      <c r="A15" s="1" t="s">
        <v>9</v>
      </c>
    </row>
    <row r="16" spans="1:41">
      <c r="A16" s="2" t="s">
        <v>0</v>
      </c>
      <c r="B16" s="3"/>
      <c r="C16" s="4">
        <v>2017</v>
      </c>
      <c r="D16" s="4">
        <v>2018</v>
      </c>
      <c r="E16" s="4">
        <v>2019</v>
      </c>
      <c r="F16" s="4">
        <v>2020</v>
      </c>
      <c r="G16" s="4">
        <v>2021</v>
      </c>
      <c r="H16" s="4">
        <v>2022</v>
      </c>
      <c r="I16" s="4">
        <v>2023</v>
      </c>
      <c r="J16" s="4">
        <v>2024</v>
      </c>
      <c r="K16" s="4">
        <v>2025</v>
      </c>
      <c r="L16" s="4">
        <v>2026</v>
      </c>
      <c r="M16" s="4">
        <v>2027</v>
      </c>
      <c r="N16" s="4">
        <v>2028</v>
      </c>
      <c r="O16" s="4">
        <v>2029</v>
      </c>
      <c r="P16" s="4">
        <v>2030</v>
      </c>
      <c r="Q16" s="4">
        <v>2031</v>
      </c>
      <c r="R16" s="4">
        <v>2032</v>
      </c>
      <c r="S16" s="4">
        <v>2033</v>
      </c>
      <c r="T16" s="4">
        <v>2034</v>
      </c>
      <c r="U16" s="4">
        <v>2035</v>
      </c>
      <c r="V16" s="4">
        <v>2036</v>
      </c>
      <c r="W16" s="4">
        <v>2037</v>
      </c>
      <c r="X16" s="4">
        <v>2038</v>
      </c>
      <c r="Y16" s="4">
        <v>2039</v>
      </c>
      <c r="Z16" s="4">
        <v>2040</v>
      </c>
      <c r="AA16" s="4">
        <v>2041</v>
      </c>
      <c r="AB16" s="4">
        <v>2042</v>
      </c>
      <c r="AC16" s="4">
        <v>2043</v>
      </c>
      <c r="AD16" s="4">
        <v>2044</v>
      </c>
      <c r="AE16" s="4">
        <v>2045</v>
      </c>
      <c r="AF16" s="4">
        <v>2046</v>
      </c>
      <c r="AG16" s="4">
        <v>2047</v>
      </c>
      <c r="AH16" s="4">
        <v>2048</v>
      </c>
      <c r="AI16" s="4">
        <v>2049</v>
      </c>
      <c r="AJ16" s="4">
        <v>2050</v>
      </c>
      <c r="AK16" s="4">
        <v>2051</v>
      </c>
      <c r="AL16" s="4">
        <v>2052</v>
      </c>
      <c r="AM16" s="4">
        <v>2053</v>
      </c>
      <c r="AN16" s="4">
        <v>2054</v>
      </c>
      <c r="AO16" s="5">
        <v>2055</v>
      </c>
    </row>
    <row r="17" spans="1:41">
      <c r="A17" s="6" t="s">
        <v>1</v>
      </c>
      <c r="B17" s="7" t="s">
        <v>2</v>
      </c>
      <c r="J17" s="8">
        <v>52829.586885050769</v>
      </c>
      <c r="K17" s="8">
        <v>50412.794027509466</v>
      </c>
      <c r="L17" s="8">
        <v>51302.404489191584</v>
      </c>
      <c r="M17" s="8">
        <v>52289.6702545062</v>
      </c>
      <c r="N17" s="8">
        <v>52895.064990118633</v>
      </c>
      <c r="O17" s="8">
        <v>53636.192259478637</v>
      </c>
      <c r="P17" s="8">
        <v>55282.847831762003</v>
      </c>
      <c r="Q17" s="8">
        <v>57092.341815436754</v>
      </c>
      <c r="R17" s="8">
        <v>59374.496336894175</v>
      </c>
      <c r="S17" s="8">
        <v>62309.486514912744</v>
      </c>
      <c r="T17" s="8">
        <v>64057.187145144679</v>
      </c>
      <c r="U17" s="8">
        <v>66630.567103463938</v>
      </c>
      <c r="V17" s="8">
        <v>69517.034112944297</v>
      </c>
      <c r="W17" s="8">
        <v>71530.6383806659</v>
      </c>
      <c r="X17" s="8">
        <v>73355.246284602676</v>
      </c>
      <c r="Y17" s="8">
        <v>75313.661353820673</v>
      </c>
      <c r="Z17" s="8">
        <v>78794.335029678317</v>
      </c>
      <c r="AA17" s="8">
        <v>80084.880343080877</v>
      </c>
      <c r="AB17" s="8">
        <v>83608.216298875908</v>
      </c>
      <c r="AC17" s="8">
        <v>85471.360985878971</v>
      </c>
      <c r="AD17" s="8">
        <v>88095.648924540932</v>
      </c>
      <c r="AE17" s="8">
        <v>89619.753050910658</v>
      </c>
      <c r="AF17" s="8">
        <v>92284.699132253707</v>
      </c>
      <c r="AG17" s="8">
        <v>93735.260596162116</v>
      </c>
      <c r="AH17" s="8">
        <v>93644.805053360367</v>
      </c>
      <c r="AI17" s="8">
        <v>96370.660215380543</v>
      </c>
      <c r="AJ17" s="8">
        <v>97283.53000836444</v>
      </c>
      <c r="AK17" s="8">
        <v>99874.365875136806</v>
      </c>
      <c r="AL17" s="8">
        <v>103218.8773820987</v>
      </c>
      <c r="AM17" s="8">
        <v>106518.91441701769</v>
      </c>
      <c r="AN17" s="8">
        <v>108591.75951364811</v>
      </c>
      <c r="AO17" s="9">
        <v>110773.76476486349</v>
      </c>
    </row>
    <row r="18" spans="1:41">
      <c r="A18" s="6" t="s">
        <v>3</v>
      </c>
      <c r="B18" s="7" t="s">
        <v>2</v>
      </c>
      <c r="J18" s="8">
        <v>64562.614830598526</v>
      </c>
      <c r="K18" s="8">
        <v>63975.494516149134</v>
      </c>
      <c r="L18" s="8">
        <v>64466.319966909192</v>
      </c>
      <c r="M18" s="8">
        <v>65331.175856590242</v>
      </c>
      <c r="N18" s="8">
        <v>66072.185070264255</v>
      </c>
      <c r="O18" s="8">
        <v>66965.010790660512</v>
      </c>
      <c r="P18" s="8">
        <v>67471.906718708895</v>
      </c>
      <c r="Q18" s="8">
        <v>68386.10994557607</v>
      </c>
      <c r="R18" s="8">
        <v>68630.966939523511</v>
      </c>
      <c r="S18" s="8">
        <v>68246.339694277078</v>
      </c>
      <c r="T18" s="8">
        <v>69171.50475115345</v>
      </c>
      <c r="U18" s="8">
        <v>69431.367012154747</v>
      </c>
      <c r="V18" s="8">
        <v>70344.704937568458</v>
      </c>
      <c r="W18" s="8">
        <v>71785.884464804898</v>
      </c>
      <c r="X18" s="8">
        <v>73316.938991511677</v>
      </c>
      <c r="Y18" s="8">
        <v>74260.288193570537</v>
      </c>
      <c r="Z18" s="8">
        <v>75645.618598831599</v>
      </c>
      <c r="AA18" s="8">
        <v>77139.116363930953</v>
      </c>
      <c r="AB18" s="8">
        <v>79179.030859896069</v>
      </c>
      <c r="AC18" s="8">
        <v>80414.287406504445</v>
      </c>
      <c r="AD18" s="8">
        <v>81649.795978430047</v>
      </c>
      <c r="AE18" s="8">
        <v>83057.038079023856</v>
      </c>
      <c r="AF18" s="8">
        <v>83654.042281914066</v>
      </c>
      <c r="AG18" s="8">
        <v>84311.767031991971</v>
      </c>
      <c r="AH18" s="8">
        <v>85031.961099561464</v>
      </c>
      <c r="AI18" s="8">
        <v>86700.630746991257</v>
      </c>
      <c r="AJ18" s="8">
        <v>87867.144807547651</v>
      </c>
      <c r="AK18" s="8">
        <v>89407.982326848723</v>
      </c>
      <c r="AL18" s="8">
        <v>91007.927406907431</v>
      </c>
      <c r="AM18" s="8">
        <v>95004.049071719259</v>
      </c>
      <c r="AN18" s="8">
        <v>96419.059934305755</v>
      </c>
      <c r="AO18" s="9">
        <v>97840.477203251619</v>
      </c>
    </row>
    <row r="19" spans="1:41">
      <c r="A19" s="6" t="s">
        <v>4</v>
      </c>
      <c r="B19" s="7" t="s">
        <v>2</v>
      </c>
      <c r="J19" s="8">
        <v>40608.914194608886</v>
      </c>
      <c r="K19" s="8">
        <v>40796.629398400626</v>
      </c>
      <c r="L19" s="8">
        <v>41468.839805692543</v>
      </c>
      <c r="M19" s="8">
        <v>42401.574402822844</v>
      </c>
      <c r="N19" s="8">
        <v>43283.853246147111</v>
      </c>
      <c r="O19" s="8">
        <v>43299.376093520958</v>
      </c>
      <c r="P19" s="8">
        <v>44043.714693665563</v>
      </c>
      <c r="Q19" s="8">
        <v>44453.717886213308</v>
      </c>
      <c r="R19" s="8">
        <v>46727.69122767009</v>
      </c>
      <c r="S19" s="8">
        <v>49947.681623875535</v>
      </c>
      <c r="T19" s="8">
        <v>51996.89240986183</v>
      </c>
      <c r="U19" s="8">
        <v>53532.000423910082</v>
      </c>
      <c r="V19" s="8">
        <v>54880.841166389087</v>
      </c>
      <c r="W19" s="8">
        <v>56573.343302067413</v>
      </c>
      <c r="X19" s="8">
        <v>58197.086756639037</v>
      </c>
      <c r="Y19" s="8">
        <v>59488.958058188538</v>
      </c>
      <c r="Z19" s="8">
        <v>60718.968484374869</v>
      </c>
      <c r="AA19" s="8">
        <v>61555.04609347957</v>
      </c>
      <c r="AB19" s="8">
        <v>62736.453298120759</v>
      </c>
      <c r="AC19" s="8">
        <v>63650.066680894532</v>
      </c>
      <c r="AD19" s="8">
        <v>64896.907043825704</v>
      </c>
      <c r="AE19" s="8">
        <v>66424.179573188565</v>
      </c>
      <c r="AF19" s="8">
        <v>67133.591098911333</v>
      </c>
      <c r="AG19" s="8">
        <v>67430.096275285279</v>
      </c>
      <c r="AH19" s="8">
        <v>67924.295038493001</v>
      </c>
      <c r="AI19" s="8">
        <v>68648.592756149548</v>
      </c>
      <c r="AJ19" s="8">
        <v>69494.207120990686</v>
      </c>
      <c r="AK19" s="8">
        <v>70307.728607709723</v>
      </c>
      <c r="AL19" s="8">
        <v>70693.06314670344</v>
      </c>
      <c r="AM19" s="8">
        <v>71117.376811648501</v>
      </c>
      <c r="AN19" s="8">
        <v>71390.023419353514</v>
      </c>
      <c r="AO19" s="9">
        <v>71598.309325548151</v>
      </c>
    </row>
    <row r="20" spans="1:41">
      <c r="A20" s="6" t="s">
        <v>5</v>
      </c>
      <c r="B20" s="7" t="s">
        <v>2</v>
      </c>
      <c r="J20" s="8">
        <v>11733.538179372776</v>
      </c>
      <c r="K20" s="8">
        <v>12066.220759205742</v>
      </c>
      <c r="L20" s="8">
        <v>12525.737880902137</v>
      </c>
      <c r="M20" s="8">
        <v>13361.151720807757</v>
      </c>
      <c r="N20" s="8">
        <v>13722.105511052587</v>
      </c>
      <c r="O20" s="8">
        <v>13761.427418061819</v>
      </c>
      <c r="P20" s="8">
        <v>13737.011633995655</v>
      </c>
      <c r="Q20" s="8">
        <v>13791.45395810761</v>
      </c>
      <c r="R20" s="8">
        <v>13832.419017097516</v>
      </c>
      <c r="S20" s="8">
        <v>13790.389703655987</v>
      </c>
      <c r="T20" s="8">
        <v>14294.100981048839</v>
      </c>
      <c r="U20" s="8">
        <v>14305.117319240137</v>
      </c>
      <c r="V20" s="8">
        <v>14676.492257161946</v>
      </c>
      <c r="W20" s="8">
        <v>15218.564393741992</v>
      </c>
      <c r="X20" s="8">
        <v>16034.733842714324</v>
      </c>
      <c r="Y20" s="8">
        <v>16363.408895642198</v>
      </c>
      <c r="Z20" s="8">
        <v>16710.410494147538</v>
      </c>
      <c r="AA20" s="8">
        <v>16966.068217234693</v>
      </c>
      <c r="AB20" s="8">
        <v>17392.6016907878</v>
      </c>
      <c r="AC20" s="8">
        <v>17931.839211400969</v>
      </c>
      <c r="AD20" s="8">
        <v>18705.249139987714</v>
      </c>
      <c r="AE20" s="8">
        <v>19126.771836933363</v>
      </c>
      <c r="AF20" s="8">
        <v>19187.605558279349</v>
      </c>
      <c r="AG20" s="8">
        <v>19547.642066533892</v>
      </c>
      <c r="AH20" s="8">
        <v>19345.080928743184</v>
      </c>
      <c r="AI20" s="8">
        <v>19774.859047415579</v>
      </c>
      <c r="AJ20" s="8">
        <v>20120.588200718616</v>
      </c>
      <c r="AK20" s="8">
        <v>20074.072360979597</v>
      </c>
      <c r="AL20" s="8">
        <v>20135.822162436907</v>
      </c>
      <c r="AM20" s="8">
        <v>21064.671131524017</v>
      </c>
      <c r="AN20" s="8">
        <v>21357.978250762135</v>
      </c>
      <c r="AO20" s="9">
        <v>21463.740900058699</v>
      </c>
    </row>
    <row r="21" spans="1:41">
      <c r="A21" s="6" t="s">
        <v>6</v>
      </c>
      <c r="B21" s="7" t="s">
        <v>2</v>
      </c>
      <c r="J21" s="8">
        <v>10275.54486009416</v>
      </c>
      <c r="K21" s="8">
        <v>10490.880948552263</v>
      </c>
      <c r="L21" s="8">
        <v>10551.542572420351</v>
      </c>
      <c r="M21" s="8">
        <v>10659.042649769861</v>
      </c>
      <c r="N21" s="8">
        <v>10580.891070200545</v>
      </c>
      <c r="O21" s="8">
        <v>10560.210375716042</v>
      </c>
      <c r="P21" s="8">
        <v>11136.357440515081</v>
      </c>
      <c r="Q21" s="8">
        <v>12232.157515363986</v>
      </c>
      <c r="R21" s="8">
        <v>12694.359271445357</v>
      </c>
      <c r="S21" s="8">
        <v>13965.169241424561</v>
      </c>
      <c r="T21" s="8">
        <v>15391.413249579015</v>
      </c>
      <c r="U21" s="8">
        <v>14337.469929012781</v>
      </c>
      <c r="V21" s="8">
        <v>14427.81250887943</v>
      </c>
      <c r="W21" s="8">
        <v>15551.028314758303</v>
      </c>
      <c r="X21" s="8">
        <v>17315.204983764652</v>
      </c>
      <c r="Y21" s="8">
        <v>16650.927311157226</v>
      </c>
      <c r="Z21" s="8">
        <v>16467.958576477056</v>
      </c>
      <c r="AA21" s="8">
        <v>17704.704193115238</v>
      </c>
      <c r="AB21" s="8">
        <v>16416.328406372078</v>
      </c>
      <c r="AC21" s="8">
        <v>17338.298504882812</v>
      </c>
      <c r="AD21" s="8">
        <v>17227.204346435548</v>
      </c>
      <c r="AE21" s="8">
        <v>16888.512246582039</v>
      </c>
      <c r="AF21" s="8">
        <v>16269.182514526376</v>
      </c>
      <c r="AG21" s="8">
        <v>16507.080258544924</v>
      </c>
      <c r="AH21" s="8">
        <v>17837.040407348635</v>
      </c>
      <c r="AI21" s="8">
        <v>17009.302160644533</v>
      </c>
      <c r="AJ21" s="8">
        <v>17830.650906616211</v>
      </c>
      <c r="AK21" s="8">
        <v>17740.773214274086</v>
      </c>
      <c r="AL21" s="8">
        <v>17532.775410351551</v>
      </c>
      <c r="AM21" s="8">
        <v>17263.770555942898</v>
      </c>
      <c r="AN21" s="8">
        <v>17080.303755566692</v>
      </c>
      <c r="AO21" s="9">
        <v>17674.247902925068</v>
      </c>
    </row>
    <row r="22" spans="1:41" ht="14.5" thickBot="1">
      <c r="A22" s="11" t="s">
        <v>7</v>
      </c>
      <c r="B22" s="10" t="s">
        <v>2</v>
      </c>
      <c r="C22" s="16"/>
      <c r="D22" s="16"/>
      <c r="E22" s="16"/>
      <c r="F22" s="16"/>
      <c r="G22" s="16"/>
      <c r="H22" s="16"/>
      <c r="I22" s="16"/>
      <c r="J22" s="14">
        <v>180010.19894972513</v>
      </c>
      <c r="K22" s="14">
        <v>177742.01964981723</v>
      </c>
      <c r="L22" s="14">
        <v>180314.84471511582</v>
      </c>
      <c r="M22" s="14">
        <v>184042.6148844969</v>
      </c>
      <c r="N22" s="14">
        <v>186554.09988778312</v>
      </c>
      <c r="O22" s="14">
        <v>188222.21693743797</v>
      </c>
      <c r="P22" s="14">
        <v>191671.83831864721</v>
      </c>
      <c r="Q22" s="14">
        <v>195955.78112069773</v>
      </c>
      <c r="R22" s="14">
        <v>201259.93279263066</v>
      </c>
      <c r="S22" s="14">
        <v>208259.06677814591</v>
      </c>
      <c r="T22" s="14">
        <v>214911.09853678785</v>
      </c>
      <c r="U22" s="14">
        <v>218236.52178778173</v>
      </c>
      <c r="V22" s="14">
        <v>223846.88498294321</v>
      </c>
      <c r="W22" s="14">
        <v>230659.45885603852</v>
      </c>
      <c r="X22" s="14">
        <v>238219.21085923235</v>
      </c>
      <c r="Y22" s="14">
        <v>242077.24381237919</v>
      </c>
      <c r="Z22" s="14">
        <v>248337.29118350937</v>
      </c>
      <c r="AA22" s="14">
        <v>253449.81521084131</v>
      </c>
      <c r="AB22" s="14">
        <v>259332.63055405259</v>
      </c>
      <c r="AC22" s="14">
        <v>264805.85278956173</v>
      </c>
      <c r="AD22" s="14">
        <v>270574.80543321994</v>
      </c>
      <c r="AE22" s="14">
        <v>275116.25478663848</v>
      </c>
      <c r="AF22" s="14">
        <v>278529.12058588484</v>
      </c>
      <c r="AG22" s="14">
        <v>281531.84622851823</v>
      </c>
      <c r="AH22" s="14">
        <v>283783.18252750667</v>
      </c>
      <c r="AI22" s="14">
        <v>288504.04492658144</v>
      </c>
      <c r="AJ22" s="14">
        <v>292596.12104423763</v>
      </c>
      <c r="AK22" s="14">
        <v>297404.92238494894</v>
      </c>
      <c r="AL22" s="14">
        <v>302588.46550849802</v>
      </c>
      <c r="AM22" s="14">
        <v>310968.78198785236</v>
      </c>
      <c r="AN22" s="14">
        <v>314839.12487363623</v>
      </c>
      <c r="AO22" s="18">
        <v>319350.54009664699</v>
      </c>
    </row>
    <row r="23" spans="1:41"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</row>
    <row r="24" spans="1:41"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</row>
    <row r="25" spans="1:41" ht="25">
      <c r="A25" s="52" t="s">
        <v>10</v>
      </c>
      <c r="B25" t="s">
        <v>28</v>
      </c>
    </row>
    <row r="26" spans="1:41" ht="14.5" thickBot="1">
      <c r="A26" s="26" t="s">
        <v>11</v>
      </c>
      <c r="B26" s="17" t="s">
        <v>27</v>
      </c>
    </row>
    <row r="27" spans="1:41">
      <c r="A27" s="2"/>
      <c r="B27" s="3"/>
      <c r="C27" s="4"/>
      <c r="D27" s="4"/>
      <c r="E27" s="4">
        <f>E7</f>
        <v>2019</v>
      </c>
      <c r="F27" s="4">
        <f>F7</f>
        <v>2020</v>
      </c>
      <c r="G27" s="4">
        <f>G7</f>
        <v>2021</v>
      </c>
      <c r="H27" s="4">
        <f>H7</f>
        <v>2022</v>
      </c>
      <c r="I27" s="4">
        <f>I7</f>
        <v>2023</v>
      </c>
      <c r="J27" s="4" t="str">
        <f>J7&amp;"F"</f>
        <v>2024F</v>
      </c>
      <c r="K27" s="4" t="str">
        <f t="shared" ref="K27:T27" si="0">K7&amp;"F"</f>
        <v>2025F</v>
      </c>
      <c r="L27" s="4" t="str">
        <f t="shared" si="0"/>
        <v>2026F</v>
      </c>
      <c r="M27" s="4" t="str">
        <f t="shared" si="0"/>
        <v>2027F</v>
      </c>
      <c r="N27" s="4" t="str">
        <f t="shared" si="0"/>
        <v>2028F</v>
      </c>
      <c r="O27" s="4" t="str">
        <f t="shared" si="0"/>
        <v>2029F</v>
      </c>
      <c r="P27" s="4" t="str">
        <f t="shared" si="0"/>
        <v>2030F</v>
      </c>
      <c r="Q27" s="4" t="str">
        <f t="shared" si="0"/>
        <v>2031F</v>
      </c>
      <c r="R27" s="4" t="str">
        <f t="shared" si="0"/>
        <v>2032F</v>
      </c>
      <c r="S27" s="4" t="str">
        <f t="shared" si="0"/>
        <v>2033F</v>
      </c>
      <c r="T27" s="4" t="str">
        <f t="shared" si="0"/>
        <v>2034F</v>
      </c>
      <c r="U27" s="4">
        <f>U7</f>
        <v>2035</v>
      </c>
      <c r="V27" s="4">
        <f t="shared" ref="V27:AJ27" si="1">V7</f>
        <v>2036</v>
      </c>
      <c r="W27" s="4">
        <f t="shared" si="1"/>
        <v>2037</v>
      </c>
      <c r="X27" s="4">
        <f t="shared" si="1"/>
        <v>2038</v>
      </c>
      <c r="Y27" s="4">
        <f t="shared" si="1"/>
        <v>2039</v>
      </c>
      <c r="Z27" s="4">
        <f t="shared" si="1"/>
        <v>2040</v>
      </c>
      <c r="AA27" s="4">
        <f t="shared" si="1"/>
        <v>2041</v>
      </c>
      <c r="AB27" s="4">
        <f t="shared" si="1"/>
        <v>2042</v>
      </c>
      <c r="AC27" s="4">
        <f t="shared" si="1"/>
        <v>2043</v>
      </c>
      <c r="AD27" s="4">
        <f t="shared" si="1"/>
        <v>2044</v>
      </c>
      <c r="AE27" s="4">
        <f t="shared" si="1"/>
        <v>2045</v>
      </c>
      <c r="AF27" s="4">
        <f t="shared" si="1"/>
        <v>2046</v>
      </c>
      <c r="AG27" s="4">
        <f t="shared" si="1"/>
        <v>2047</v>
      </c>
      <c r="AH27" s="4">
        <f t="shared" si="1"/>
        <v>2048</v>
      </c>
      <c r="AI27" s="4">
        <f t="shared" si="1"/>
        <v>2049</v>
      </c>
      <c r="AJ27" s="4">
        <f t="shared" si="1"/>
        <v>2050</v>
      </c>
      <c r="AK27" s="4"/>
      <c r="AL27" s="4"/>
      <c r="AM27" s="4"/>
      <c r="AN27" s="4"/>
      <c r="AO27" s="5"/>
    </row>
    <row r="28" spans="1:41" s="38" customFormat="1">
      <c r="A28" s="37" t="s">
        <v>30</v>
      </c>
      <c r="B28" s="39" t="s">
        <v>2</v>
      </c>
      <c r="E28" s="40">
        <v>17471.629885639013</v>
      </c>
      <c r="F28" s="40">
        <v>18107.076754693997</v>
      </c>
      <c r="G28" s="40">
        <v>18558.214072789011</v>
      </c>
      <c r="H28" s="40">
        <v>19340.245882417999</v>
      </c>
      <c r="I28" s="40">
        <v>18934.792746488012</v>
      </c>
      <c r="J28" s="41">
        <v>19931.189999999999</v>
      </c>
      <c r="K28" s="41">
        <v>20616.53</v>
      </c>
      <c r="L28" s="41">
        <v>21158.89</v>
      </c>
      <c r="M28" s="41">
        <v>21830.34</v>
      </c>
      <c r="N28" s="41">
        <v>22547.21</v>
      </c>
      <c r="O28" s="41">
        <v>23649.4</v>
      </c>
      <c r="P28" s="41">
        <v>25620.2</v>
      </c>
      <c r="Q28" s="41">
        <v>28010.49</v>
      </c>
      <c r="R28" s="41">
        <v>30055.15</v>
      </c>
      <c r="S28" s="41">
        <v>32111.200000000001</v>
      </c>
      <c r="T28" s="41">
        <v>34241.82</v>
      </c>
      <c r="U28" s="60">
        <f t="shared" ref="U28:AJ28" si="2">T28*(1+U76)</f>
        <v>35208.970028578573</v>
      </c>
      <c r="V28" s="60">
        <f t="shared" si="2"/>
        <v>36203.436922258923</v>
      </c>
      <c r="W28" s="60">
        <f t="shared" si="2"/>
        <v>37225.992237776765</v>
      </c>
      <c r="X28" s="60">
        <f t="shared" si="2"/>
        <v>38277.429324258483</v>
      </c>
      <c r="Y28" s="60">
        <f t="shared" si="2"/>
        <v>39358.563938740735</v>
      </c>
      <c r="Z28" s="60">
        <f t="shared" si="2"/>
        <v>40470.234879075229</v>
      </c>
      <c r="AA28" s="60">
        <f t="shared" si="2"/>
        <v>41613.30463470969</v>
      </c>
      <c r="AB28" s="60">
        <f t="shared" si="2"/>
        <v>42788.660055849927</v>
      </c>
      <c r="AC28" s="60">
        <f t="shared" si="2"/>
        <v>43997.213041522242</v>
      </c>
      <c r="AD28" s="60">
        <f t="shared" si="2"/>
        <v>45239.901247069894</v>
      </c>
      <c r="AE28" s="60">
        <f t="shared" si="2"/>
        <v>46517.688811632623</v>
      </c>
      <c r="AF28" s="60">
        <f t="shared" si="2"/>
        <v>47831.567106173614</v>
      </c>
      <c r="AG28" s="60">
        <f t="shared" si="2"/>
        <v>49182.555502634248</v>
      </c>
      <c r="AH28" s="60">
        <f t="shared" si="2"/>
        <v>50571.702164813418</v>
      </c>
      <c r="AI28" s="60">
        <f t="shared" si="2"/>
        <v>52000.084861584975</v>
      </c>
      <c r="AJ28" s="60">
        <f t="shared" si="2"/>
        <v>53468.811803084289</v>
      </c>
      <c r="AK28" s="42"/>
      <c r="AL28" s="42"/>
      <c r="AM28" s="42"/>
      <c r="AN28" s="42"/>
      <c r="AO28" s="43"/>
    </row>
    <row r="29" spans="1:41" ht="6" customHeight="1">
      <c r="E29" s="23"/>
      <c r="F29" s="23"/>
      <c r="G29" s="23"/>
      <c r="H29" s="23"/>
      <c r="I29" s="23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spans="1:41">
      <c r="A30" s="6" t="s">
        <v>29</v>
      </c>
      <c r="B30" s="7" t="s">
        <v>2</v>
      </c>
      <c r="E30" s="19">
        <v>17262.900244242985</v>
      </c>
      <c r="F30" s="19">
        <v>17621.78683963</v>
      </c>
      <c r="G30" s="19">
        <v>17653.125318492992</v>
      </c>
      <c r="H30" s="19">
        <v>17932.484497244001</v>
      </c>
      <c r="I30" s="19">
        <v>17203.165166570005</v>
      </c>
      <c r="J30" s="20">
        <v>17800.189999999999</v>
      </c>
      <c r="K30" s="20">
        <v>18018.23</v>
      </c>
      <c r="L30" s="20">
        <v>18082.419999999998</v>
      </c>
      <c r="M30" s="20">
        <v>18287.25</v>
      </c>
      <c r="N30" s="20">
        <v>18530.04</v>
      </c>
      <c r="O30" s="20">
        <v>19188.22</v>
      </c>
      <c r="P30" s="20">
        <v>20799.68</v>
      </c>
      <c r="Q30" s="20">
        <v>22832.89</v>
      </c>
      <c r="R30" s="20">
        <v>24464.77</v>
      </c>
      <c r="S30" s="20">
        <v>26117.93</v>
      </c>
      <c r="T30" s="20">
        <v>27867.57</v>
      </c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9"/>
    </row>
    <row r="32" spans="1:41"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4" spans="1:41" ht="25">
      <c r="A34" s="52" t="s">
        <v>12</v>
      </c>
    </row>
    <row r="35" spans="1:41">
      <c r="A35" s="26" t="s">
        <v>11</v>
      </c>
      <c r="B35" t="s">
        <v>44</v>
      </c>
    </row>
    <row r="36" spans="1:41">
      <c r="A36" s="15"/>
      <c r="B36" t="s">
        <v>45</v>
      </c>
    </row>
    <row r="37" spans="1:41" ht="14.5" thickBot="1">
      <c r="B37" t="s">
        <v>40</v>
      </c>
      <c r="J37" s="28"/>
    </row>
    <row r="38" spans="1:41">
      <c r="A38" s="2"/>
      <c r="B38" s="3"/>
      <c r="C38" s="4"/>
      <c r="D38" s="4"/>
      <c r="E38" s="4"/>
      <c r="F38" s="4">
        <f t="shared" ref="F38:I38" si="3">F16</f>
        <v>2020</v>
      </c>
      <c r="G38" s="4">
        <f t="shared" si="3"/>
        <v>2021</v>
      </c>
      <c r="H38" s="4">
        <f t="shared" si="3"/>
        <v>2022</v>
      </c>
      <c r="I38" s="4">
        <f t="shared" si="3"/>
        <v>2023</v>
      </c>
      <c r="J38" s="4">
        <f t="shared" ref="J38:Y38" si="4">J16</f>
        <v>2024</v>
      </c>
      <c r="K38" s="4">
        <f t="shared" si="4"/>
        <v>2025</v>
      </c>
      <c r="L38" s="4">
        <f t="shared" si="4"/>
        <v>2026</v>
      </c>
      <c r="M38" s="4">
        <f t="shared" si="4"/>
        <v>2027</v>
      </c>
      <c r="N38" s="4">
        <f t="shared" si="4"/>
        <v>2028</v>
      </c>
      <c r="O38" s="4">
        <f t="shared" si="4"/>
        <v>2029</v>
      </c>
      <c r="P38" s="4">
        <f t="shared" si="4"/>
        <v>2030</v>
      </c>
      <c r="Q38" s="4">
        <f t="shared" si="4"/>
        <v>2031</v>
      </c>
      <c r="R38" s="4">
        <f t="shared" si="4"/>
        <v>2032</v>
      </c>
      <c r="S38" s="4">
        <f t="shared" si="4"/>
        <v>2033</v>
      </c>
      <c r="T38" s="4">
        <f t="shared" si="4"/>
        <v>2034</v>
      </c>
      <c r="U38" s="4">
        <f t="shared" si="4"/>
        <v>2035</v>
      </c>
      <c r="V38" s="4">
        <f t="shared" si="4"/>
        <v>2036</v>
      </c>
      <c r="W38" s="4">
        <f t="shared" si="4"/>
        <v>2037</v>
      </c>
      <c r="X38" s="4">
        <f t="shared" si="4"/>
        <v>2038</v>
      </c>
      <c r="Y38" s="4">
        <f t="shared" si="4"/>
        <v>2039</v>
      </c>
      <c r="Z38" s="4">
        <f>Z16</f>
        <v>2040</v>
      </c>
      <c r="AA38" s="4">
        <f>AA27</f>
        <v>2041</v>
      </c>
      <c r="AB38" s="4">
        <f t="shared" ref="AB38:AJ38" si="5">AB27</f>
        <v>2042</v>
      </c>
      <c r="AC38" s="4">
        <f t="shared" si="5"/>
        <v>2043</v>
      </c>
      <c r="AD38" s="4">
        <f t="shared" si="5"/>
        <v>2044</v>
      </c>
      <c r="AE38" s="4">
        <f t="shared" si="5"/>
        <v>2045</v>
      </c>
      <c r="AF38" s="4">
        <f t="shared" si="5"/>
        <v>2046</v>
      </c>
      <c r="AG38" s="4">
        <f t="shared" si="5"/>
        <v>2047</v>
      </c>
      <c r="AH38" s="4">
        <f t="shared" si="5"/>
        <v>2048</v>
      </c>
      <c r="AI38" s="4">
        <f t="shared" si="5"/>
        <v>2049</v>
      </c>
      <c r="AJ38" s="4">
        <f t="shared" si="5"/>
        <v>2050</v>
      </c>
      <c r="AK38" s="4"/>
      <c r="AL38" s="4"/>
      <c r="AM38" s="4"/>
      <c r="AN38" s="4"/>
      <c r="AO38" s="5"/>
    </row>
    <row r="39" spans="1:41" s="38" customFormat="1">
      <c r="A39" s="38" t="s">
        <v>57</v>
      </c>
      <c r="B39" s="39" t="s">
        <v>2</v>
      </c>
      <c r="F39" s="44">
        <f>G39*notes!D19/notes!E19</f>
        <v>4362.7375003558718</v>
      </c>
      <c r="G39" s="44">
        <f>H39*notes!E19/notes!F19</f>
        <v>4438.6111960142352</v>
      </c>
      <c r="H39" s="44">
        <f>I39*notes!F19/notes!G19</f>
        <v>4552.4217395017795</v>
      </c>
      <c r="I39" s="44">
        <f>J39*notes!G19/notes!H19</f>
        <v>4362.7375003558718</v>
      </c>
      <c r="J39" s="45">
        <v>4867.6959999999999</v>
      </c>
      <c r="K39" s="44">
        <f>J39*notes!I19/notes!H19</f>
        <v>4867.6959999999999</v>
      </c>
      <c r="L39" s="44">
        <f>K39*notes!J19/notes!I19</f>
        <v>4552.4217395017795</v>
      </c>
      <c r="M39" s="44">
        <f>L39*notes!K19/notes!J19</f>
        <v>4606.6172364006097</v>
      </c>
      <c r="N39" s="44">
        <f>M39*notes!L19/notes!K19</f>
        <v>4660.8127332994409</v>
      </c>
      <c r="O39" s="44">
        <f>N39*notes!M19/notes!L19</f>
        <v>4715.008230198272</v>
      </c>
      <c r="P39" s="44">
        <f>O39*notes!N19/notes!M19</f>
        <v>4769.2037270971032</v>
      </c>
      <c r="Q39" s="44">
        <f>P39*notes!O19/notes!N19</f>
        <v>4823.3992239959325</v>
      </c>
      <c r="R39" s="44">
        <f>Q39*notes!P19/notes!O19</f>
        <v>4877.5947208947646</v>
      </c>
      <c r="S39" s="44">
        <f>R39*notes!Q19/notes!P19</f>
        <v>4931.7902177935948</v>
      </c>
      <c r="T39" s="44">
        <f>S39*notes!R19/notes!Q19</f>
        <v>4985.9857146924251</v>
      </c>
      <c r="U39" s="44">
        <f>T39*notes!S19/notes!R19</f>
        <v>5040.1812115912553</v>
      </c>
      <c r="V39" s="44">
        <f>U39*notes!T19/notes!S19</f>
        <v>5094.3767084900865</v>
      </c>
      <c r="W39" s="44">
        <f>V39*notes!U19/notes!T19</f>
        <v>5148.5722053889158</v>
      </c>
      <c r="X39" s="44">
        <f>W39*notes!V19/notes!U19</f>
        <v>5202.767702287746</v>
      </c>
      <c r="Y39" s="44">
        <f>X39*notes!W19/notes!V19</f>
        <v>5256.9631991865754</v>
      </c>
      <c r="Z39" s="44">
        <f>Y39*notes!X19/notes!W19</f>
        <v>5311.1586960854056</v>
      </c>
      <c r="AA39" s="59">
        <f>Z39*(1+AA77)</f>
        <v>5369.9623858235846</v>
      </c>
      <c r="AB39" s="59">
        <f t="shared" ref="AB39:AJ39" si="6">AA39*(1+AB77)</f>
        <v>5429.4171338570795</v>
      </c>
      <c r="AC39" s="59">
        <f t="shared" si="6"/>
        <v>5489.5301485244445</v>
      </c>
      <c r="AD39" s="59">
        <f t="shared" si="6"/>
        <v>5550.3087179729782</v>
      </c>
      <c r="AE39" s="59">
        <f t="shared" si="6"/>
        <v>5611.7602110423441</v>
      </c>
      <c r="AF39" s="59">
        <f t="shared" si="6"/>
        <v>5673.8920781579727</v>
      </c>
      <c r="AG39" s="59">
        <f t="shared" si="6"/>
        <v>5736.711852234358</v>
      </c>
      <c r="AH39" s="59">
        <f t="shared" si="6"/>
        <v>5800.2271495883533</v>
      </c>
      <c r="AI39" s="59">
        <f t="shared" si="6"/>
        <v>5864.4456708625803</v>
      </c>
      <c r="AJ39" s="59">
        <f t="shared" si="6"/>
        <v>5929.3752019590593</v>
      </c>
    </row>
    <row r="40" spans="1:41">
      <c r="A40" t="s">
        <v>58</v>
      </c>
    </row>
    <row r="42" spans="1:41" ht="25">
      <c r="A42" s="52" t="s">
        <v>13</v>
      </c>
      <c r="B42" t="s">
        <v>26</v>
      </c>
    </row>
    <row r="43" spans="1:41">
      <c r="A43" s="26" t="s">
        <v>11</v>
      </c>
      <c r="B43" s="17" t="s">
        <v>14</v>
      </c>
    </row>
    <row r="44" spans="1:41">
      <c r="A44" s="15"/>
      <c r="B44" s="17" t="s">
        <v>20</v>
      </c>
    </row>
    <row r="45" spans="1:41" ht="6.75" customHeight="1" thickBot="1">
      <c r="A45" s="15"/>
    </row>
    <row r="46" spans="1:41">
      <c r="A46" s="2" t="s">
        <v>24</v>
      </c>
      <c r="B46" s="3"/>
      <c r="C46" s="4">
        <f t="shared" ref="C46:I46" si="7">C16</f>
        <v>2017</v>
      </c>
      <c r="D46" s="4">
        <f t="shared" si="7"/>
        <v>2018</v>
      </c>
      <c r="E46" s="4">
        <f t="shared" si="7"/>
        <v>2019</v>
      </c>
      <c r="F46" s="4">
        <f t="shared" si="7"/>
        <v>2020</v>
      </c>
      <c r="G46" s="4">
        <f t="shared" si="7"/>
        <v>2021</v>
      </c>
      <c r="H46" s="4">
        <f t="shared" si="7"/>
        <v>2022</v>
      </c>
      <c r="I46" s="4">
        <f t="shared" si="7"/>
        <v>2023</v>
      </c>
      <c r="J46" s="4" t="str">
        <f t="shared" ref="J46:S46" si="8">J16 &amp; "F"</f>
        <v>2024F</v>
      </c>
      <c r="K46" s="4" t="str">
        <f t="shared" si="8"/>
        <v>2025F</v>
      </c>
      <c r="L46" s="4" t="str">
        <f t="shared" si="8"/>
        <v>2026F</v>
      </c>
      <c r="M46" s="4" t="str">
        <f t="shared" si="8"/>
        <v>2027F</v>
      </c>
      <c r="N46" s="4" t="str">
        <f t="shared" si="8"/>
        <v>2028F</v>
      </c>
      <c r="O46" s="4" t="str">
        <f t="shared" si="8"/>
        <v>2029F</v>
      </c>
      <c r="P46" s="4" t="str">
        <f t="shared" si="8"/>
        <v>2030F</v>
      </c>
      <c r="Q46" s="4" t="str">
        <f t="shared" si="8"/>
        <v>2031F</v>
      </c>
      <c r="R46" s="4" t="str">
        <f t="shared" si="8"/>
        <v>2032F</v>
      </c>
      <c r="S46" s="4" t="str">
        <f t="shared" si="8"/>
        <v>2033F</v>
      </c>
      <c r="T46" s="4">
        <f>T38</f>
        <v>2034</v>
      </c>
      <c r="U46" s="4">
        <f t="shared" ref="U46:AJ46" si="9">U38</f>
        <v>2035</v>
      </c>
      <c r="V46" s="4">
        <f t="shared" si="9"/>
        <v>2036</v>
      </c>
      <c r="W46" s="4">
        <f t="shared" si="9"/>
        <v>2037</v>
      </c>
      <c r="X46" s="4">
        <f t="shared" si="9"/>
        <v>2038</v>
      </c>
      <c r="Y46" s="4">
        <f t="shared" si="9"/>
        <v>2039</v>
      </c>
      <c r="Z46" s="4">
        <f t="shared" si="9"/>
        <v>2040</v>
      </c>
      <c r="AA46" s="4">
        <f t="shared" si="9"/>
        <v>2041</v>
      </c>
      <c r="AB46" s="4">
        <f t="shared" si="9"/>
        <v>2042</v>
      </c>
      <c r="AC46" s="4">
        <f t="shared" si="9"/>
        <v>2043</v>
      </c>
      <c r="AD46" s="4">
        <f t="shared" si="9"/>
        <v>2044</v>
      </c>
      <c r="AE46" s="4">
        <f t="shared" si="9"/>
        <v>2045</v>
      </c>
      <c r="AF46" s="4">
        <f t="shared" si="9"/>
        <v>2046</v>
      </c>
      <c r="AG46" s="4">
        <f t="shared" si="9"/>
        <v>2047</v>
      </c>
      <c r="AH46" s="4">
        <f t="shared" si="9"/>
        <v>2048</v>
      </c>
      <c r="AI46" s="4">
        <f t="shared" si="9"/>
        <v>2049</v>
      </c>
      <c r="AJ46" s="4">
        <f t="shared" si="9"/>
        <v>2050</v>
      </c>
      <c r="AK46" s="4"/>
      <c r="AL46" s="4"/>
      <c r="AM46" s="4"/>
      <c r="AN46" s="4"/>
      <c r="AO46" s="5"/>
    </row>
    <row r="47" spans="1:41">
      <c r="A47" s="6" t="s">
        <v>17</v>
      </c>
      <c r="B47" s="7" t="s">
        <v>2</v>
      </c>
      <c r="C47" s="19">
        <v>1445.66541921</v>
      </c>
      <c r="D47" s="19">
        <v>1456.4342690000001</v>
      </c>
      <c r="E47" s="19">
        <v>1396.4833603249999</v>
      </c>
      <c r="F47" s="19">
        <v>1329.7052995900001</v>
      </c>
      <c r="G47" s="19">
        <v>1318.8527669939699</v>
      </c>
      <c r="H47" s="19">
        <v>1392.6505685714301</v>
      </c>
      <c r="I47" s="19">
        <v>1310.8520000000001</v>
      </c>
      <c r="J47" s="20">
        <v>1303.864</v>
      </c>
      <c r="K47" s="20">
        <v>1340.528</v>
      </c>
      <c r="L47" s="20">
        <v>1341.943</v>
      </c>
      <c r="M47" s="20">
        <v>1339.164</v>
      </c>
      <c r="N47" s="20">
        <v>1336.816</v>
      </c>
      <c r="O47" s="20">
        <v>1334.53</v>
      </c>
      <c r="P47" s="20">
        <v>1332.64</v>
      </c>
      <c r="Q47" s="20">
        <v>1330.9380000000001</v>
      </c>
      <c r="R47" s="20">
        <v>1329.7850000000001</v>
      </c>
      <c r="S47" s="20">
        <v>1328.442</v>
      </c>
      <c r="T47" s="63">
        <f t="shared" ref="T47:AJ47" si="10">S47*(1+T$77)</f>
        <v>1343.0402637362638</v>
      </c>
      <c r="U47" s="63">
        <f t="shared" si="10"/>
        <v>1357.6385274725274</v>
      </c>
      <c r="V47" s="63">
        <f t="shared" si="10"/>
        <v>1372.2367912087911</v>
      </c>
      <c r="W47" s="63">
        <f t="shared" si="10"/>
        <v>1386.8350549450545</v>
      </c>
      <c r="X47" s="63">
        <f t="shared" si="10"/>
        <v>1401.433318681318</v>
      </c>
      <c r="Y47" s="63">
        <f t="shared" si="10"/>
        <v>1416.0315824175811</v>
      </c>
      <c r="Z47" s="63">
        <f t="shared" si="10"/>
        <v>1430.6298461538447</v>
      </c>
      <c r="AA47" s="63">
        <f t="shared" si="10"/>
        <v>1446.4693867168889</v>
      </c>
      <c r="AB47" s="63">
        <f t="shared" si="10"/>
        <v>1462.4842983208232</v>
      </c>
      <c r="AC47" s="63">
        <f t="shared" si="10"/>
        <v>1478.6765226256255</v>
      </c>
      <c r="AD47" s="63">
        <f t="shared" si="10"/>
        <v>1495.0480227887997</v>
      </c>
      <c r="AE47" s="63">
        <f t="shared" si="10"/>
        <v>1511.6007837033903</v>
      </c>
      <c r="AF47" s="63">
        <f t="shared" si="10"/>
        <v>1528.3368122386321</v>
      </c>
      <c r="AG47" s="63">
        <f t="shared" si="10"/>
        <v>1545.2581374832644</v>
      </c>
      <c r="AH47" s="63">
        <f t="shared" si="10"/>
        <v>1562.3668109915398</v>
      </c>
      <c r="AI47" s="63">
        <f t="shared" si="10"/>
        <v>1579.6649070319556</v>
      </c>
      <c r="AJ47" s="63">
        <f t="shared" si="10"/>
        <v>1597.1545228387401</v>
      </c>
      <c r="AK47" s="8"/>
      <c r="AL47" s="8"/>
      <c r="AM47" s="8"/>
      <c r="AN47" s="8"/>
      <c r="AO47" s="9"/>
    </row>
    <row r="48" spans="1:41">
      <c r="A48" s="6" t="s">
        <v>18</v>
      </c>
      <c r="B48" s="7" t="s">
        <v>2</v>
      </c>
      <c r="C48" s="19">
        <v>74.758972786843998</v>
      </c>
      <c r="D48" s="19">
        <v>40.859812857900401</v>
      </c>
      <c r="E48" s="19">
        <v>47.046202699937801</v>
      </c>
      <c r="F48" s="19">
        <v>46.667705709919602</v>
      </c>
      <c r="G48" s="19">
        <v>22.082425864347801</v>
      </c>
      <c r="H48" s="19">
        <v>20.821712142857098</v>
      </c>
      <c r="I48" s="19">
        <v>22.73555</v>
      </c>
      <c r="J48" s="20">
        <v>21.798480000000001</v>
      </c>
      <c r="K48" s="20">
        <v>27.973030000000001</v>
      </c>
      <c r="L48" s="20">
        <v>29.976939999999999</v>
      </c>
      <c r="M48" s="20">
        <v>29.91986</v>
      </c>
      <c r="N48" s="20">
        <v>29.91967</v>
      </c>
      <c r="O48" s="20">
        <v>29.95682</v>
      </c>
      <c r="P48" s="20">
        <v>29.95682</v>
      </c>
      <c r="Q48" s="20">
        <v>30.01596</v>
      </c>
      <c r="R48" s="20">
        <v>30.112660000000002</v>
      </c>
      <c r="S48" s="20">
        <v>30.167179999999998</v>
      </c>
      <c r="T48" s="63">
        <f t="shared" ref="T48:AJ48" si="11">S48*(1+T$77)</f>
        <v>30.498687472527468</v>
      </c>
      <c r="U48" s="63">
        <f t="shared" si="11"/>
        <v>30.830194945054934</v>
      </c>
      <c r="V48" s="63">
        <f t="shared" si="11"/>
        <v>31.161702417582408</v>
      </c>
      <c r="W48" s="63">
        <f t="shared" si="11"/>
        <v>31.493209890109867</v>
      </c>
      <c r="X48" s="63">
        <f t="shared" si="11"/>
        <v>31.824717362637333</v>
      </c>
      <c r="Y48" s="63">
        <f t="shared" si="11"/>
        <v>32.156224835164792</v>
      </c>
      <c r="Z48" s="63">
        <f t="shared" si="11"/>
        <v>32.487732307692262</v>
      </c>
      <c r="AA48" s="63">
        <f t="shared" si="11"/>
        <v>32.847427553162262</v>
      </c>
      <c r="AB48" s="63">
        <f t="shared" si="11"/>
        <v>33.211105245556787</v>
      </c>
      <c r="AC48" s="63">
        <f t="shared" si="11"/>
        <v>33.578809477433936</v>
      </c>
      <c r="AD48" s="63">
        <f t="shared" si="11"/>
        <v>33.950584829532488</v>
      </c>
      <c r="AE48" s="63">
        <f t="shared" si="11"/>
        <v>34.32647637617692</v>
      </c>
      <c r="AF48" s="63">
        <f t="shared" si="11"/>
        <v>34.706529690742236</v>
      </c>
      <c r="AG48" s="63">
        <f t="shared" si="11"/>
        <v>35.090790851179321</v>
      </c>
      <c r="AH48" s="63">
        <f t="shared" si="11"/>
        <v>35.479306445601487</v>
      </c>
      <c r="AI48" s="63">
        <f t="shared" si="11"/>
        <v>35.872123577932825</v>
      </c>
      <c r="AJ48" s="63">
        <f t="shared" si="11"/>
        <v>36.269289873619137</v>
      </c>
      <c r="AK48" s="8"/>
      <c r="AL48" s="8"/>
      <c r="AM48" s="8"/>
      <c r="AN48" s="8"/>
      <c r="AO48" s="9"/>
    </row>
    <row r="49" spans="1:41">
      <c r="A49" s="6" t="s">
        <v>19</v>
      </c>
      <c r="B49" s="7" t="s">
        <v>2</v>
      </c>
      <c r="C49" s="19">
        <v>119.3411</v>
      </c>
      <c r="D49" s="19">
        <v>122.964815</v>
      </c>
      <c r="E49" s="19">
        <v>128.470225</v>
      </c>
      <c r="F49" s="19">
        <v>129.01340500000001</v>
      </c>
      <c r="G49" s="19">
        <v>124.3769275575</v>
      </c>
      <c r="H49" s="19">
        <v>132.219486428571</v>
      </c>
      <c r="I49" s="19">
        <v>123.48468</v>
      </c>
      <c r="J49" s="20">
        <v>129.58269999999999</v>
      </c>
      <c r="K49" s="20">
        <v>140.42750000000001</v>
      </c>
      <c r="L49" s="20">
        <v>173.70849999999999</v>
      </c>
      <c r="M49" s="20">
        <v>173.56489999999999</v>
      </c>
      <c r="N49" s="20">
        <v>173.57159999999999</v>
      </c>
      <c r="O49" s="20">
        <v>173.37090000000001</v>
      </c>
      <c r="P49" s="20">
        <v>173.31309999999999</v>
      </c>
      <c r="Q49" s="20">
        <v>173.4838</v>
      </c>
      <c r="R49" s="20">
        <v>173.45779999999999</v>
      </c>
      <c r="S49" s="20">
        <v>173.45779999999999</v>
      </c>
      <c r="T49" s="63">
        <f t="shared" ref="T49:AJ49" si="12">S49*(1+T$77)</f>
        <v>175.36392967032967</v>
      </c>
      <c r="U49" s="63">
        <f t="shared" si="12"/>
        <v>177.27005934065932</v>
      </c>
      <c r="V49" s="63">
        <f t="shared" si="12"/>
        <v>179.17618901098899</v>
      </c>
      <c r="W49" s="63">
        <f t="shared" si="12"/>
        <v>181.08231868131858</v>
      </c>
      <c r="X49" s="63">
        <f t="shared" si="12"/>
        <v>182.98844835164823</v>
      </c>
      <c r="Y49" s="63">
        <f t="shared" si="12"/>
        <v>184.89457802197782</v>
      </c>
      <c r="Z49" s="63">
        <f t="shared" si="12"/>
        <v>186.80070769230747</v>
      </c>
      <c r="AA49" s="63">
        <f t="shared" si="12"/>
        <v>188.8689138007235</v>
      </c>
      <c r="AB49" s="63">
        <f t="shared" si="12"/>
        <v>190.96001851889179</v>
      </c>
      <c r="AC49" s="63">
        <f t="shared" si="12"/>
        <v>193.07427537392763</v>
      </c>
      <c r="AD49" s="63">
        <f t="shared" si="12"/>
        <v>195.21194069992896</v>
      </c>
      <c r="AE49" s="63">
        <f t="shared" si="12"/>
        <v>197.37327366905436</v>
      </c>
      <c r="AF49" s="63">
        <f t="shared" si="12"/>
        <v>199.55853632294534</v>
      </c>
      <c r="AG49" s="63">
        <f t="shared" si="12"/>
        <v>201.7679936044965</v>
      </c>
      <c r="AH49" s="63">
        <f t="shared" si="12"/>
        <v>204.00191338997732</v>
      </c>
      <c r="AI49" s="63">
        <f t="shared" si="12"/>
        <v>206.26056652150976</v>
      </c>
      <c r="AJ49" s="63">
        <f t="shared" si="12"/>
        <v>208.54422683990535</v>
      </c>
      <c r="AK49" s="8"/>
      <c r="AL49" s="8"/>
      <c r="AM49" s="8"/>
      <c r="AN49" s="8"/>
      <c r="AO49" s="9"/>
    </row>
    <row r="50" spans="1:41" s="36" customFormat="1" ht="14.5" thickBot="1">
      <c r="A50" s="46" t="s">
        <v>15</v>
      </c>
      <c r="B50" s="32" t="s">
        <v>2</v>
      </c>
      <c r="C50" s="47">
        <v>1639.765491996844</v>
      </c>
      <c r="D50" s="47">
        <v>1620.2588968579005</v>
      </c>
      <c r="E50" s="47">
        <v>1571.9997880249377</v>
      </c>
      <c r="F50" s="47">
        <v>1505.3864102999196</v>
      </c>
      <c r="G50" s="47">
        <v>1465.3121204158178</v>
      </c>
      <c r="H50" s="47">
        <v>1545.691767142858</v>
      </c>
      <c r="I50" s="47">
        <v>1457.0722300000002</v>
      </c>
      <c r="J50" s="48">
        <v>1455.2451799999999</v>
      </c>
      <c r="K50" s="48">
        <v>1508.9285300000001</v>
      </c>
      <c r="L50" s="48">
        <v>1545.62844</v>
      </c>
      <c r="M50" s="48">
        <v>1542.64876</v>
      </c>
      <c r="N50" s="48">
        <v>1540.30727</v>
      </c>
      <c r="O50" s="48">
        <v>1537.85772</v>
      </c>
      <c r="P50" s="48">
        <v>1535.9099200000003</v>
      </c>
      <c r="Q50" s="48">
        <v>1534.43776</v>
      </c>
      <c r="R50" s="48">
        <v>1533.35546</v>
      </c>
      <c r="S50" s="48">
        <v>1532.0669799999998</v>
      </c>
      <c r="T50" s="64">
        <f t="shared" ref="T50:AJ50" si="13">S50*(1+T$77)</f>
        <v>1548.9028808791206</v>
      </c>
      <c r="U50" s="64">
        <f t="shared" si="13"/>
        <v>1565.7387817582412</v>
      </c>
      <c r="V50" s="64">
        <f t="shared" si="13"/>
        <v>1582.574682637362</v>
      </c>
      <c r="W50" s="64">
        <f t="shared" si="13"/>
        <v>1599.4105835164823</v>
      </c>
      <c r="X50" s="64">
        <f t="shared" si="13"/>
        <v>1616.2464843956029</v>
      </c>
      <c r="Y50" s="64">
        <f t="shared" si="13"/>
        <v>1633.0823852747233</v>
      </c>
      <c r="Z50" s="64">
        <f t="shared" si="13"/>
        <v>1649.9182861538441</v>
      </c>
      <c r="AA50" s="64">
        <f t="shared" si="13"/>
        <v>1668.1857280707743</v>
      </c>
      <c r="AB50" s="64">
        <f t="shared" si="13"/>
        <v>1686.6554220852713</v>
      </c>
      <c r="AC50" s="64">
        <f t="shared" si="13"/>
        <v>1705.3296074769867</v>
      </c>
      <c r="AD50" s="64">
        <f t="shared" si="13"/>
        <v>1724.2105483182609</v>
      </c>
      <c r="AE50" s="64">
        <f t="shared" si="13"/>
        <v>1743.3005337486213</v>
      </c>
      <c r="AF50" s="64">
        <f t="shared" si="13"/>
        <v>1762.6018782523192</v>
      </c>
      <c r="AG50" s="64">
        <f t="shared" si="13"/>
        <v>1782.1169219389399</v>
      </c>
      <c r="AH50" s="64">
        <f t="shared" si="13"/>
        <v>1801.8480308271182</v>
      </c>
      <c r="AI50" s="64">
        <f t="shared" si="13"/>
        <v>1821.7975971313979</v>
      </c>
      <c r="AJ50" s="64">
        <f t="shared" si="13"/>
        <v>1841.9680395522644</v>
      </c>
      <c r="AK50" s="33"/>
      <c r="AL50" s="33"/>
      <c r="AM50" s="33"/>
      <c r="AN50" s="33"/>
      <c r="AO50" s="32"/>
    </row>
    <row r="52" spans="1:41" ht="14.5" thickBot="1">
      <c r="B52" s="17" t="s">
        <v>21</v>
      </c>
    </row>
    <row r="53" spans="1:41">
      <c r="A53" s="2" t="s">
        <v>24</v>
      </c>
      <c r="B53" s="3"/>
      <c r="C53" s="4">
        <f t="shared" ref="C53:I53" si="14">C7</f>
        <v>2017</v>
      </c>
      <c r="D53" s="4">
        <f t="shared" si="14"/>
        <v>2018</v>
      </c>
      <c r="E53" s="4">
        <f t="shared" si="14"/>
        <v>2019</v>
      </c>
      <c r="F53" s="4">
        <f t="shared" si="14"/>
        <v>2020</v>
      </c>
      <c r="G53" s="4">
        <f t="shared" si="14"/>
        <v>2021</v>
      </c>
      <c r="H53" s="4">
        <f t="shared" si="14"/>
        <v>2022</v>
      </c>
      <c r="I53" s="4">
        <f t="shared" si="14"/>
        <v>2023</v>
      </c>
      <c r="J53" s="4" t="str">
        <f t="shared" ref="J53:S53" si="15">J7 &amp; "F"</f>
        <v>2024F</v>
      </c>
      <c r="K53" s="4" t="str">
        <f t="shared" si="15"/>
        <v>2025F</v>
      </c>
      <c r="L53" s="4" t="str">
        <f t="shared" si="15"/>
        <v>2026F</v>
      </c>
      <c r="M53" s="4" t="str">
        <f t="shared" si="15"/>
        <v>2027F</v>
      </c>
      <c r="N53" s="4" t="str">
        <f t="shared" si="15"/>
        <v>2028F</v>
      </c>
      <c r="O53" s="4" t="str">
        <f t="shared" si="15"/>
        <v>2029F</v>
      </c>
      <c r="P53" s="4" t="str">
        <f t="shared" si="15"/>
        <v>2030F</v>
      </c>
      <c r="Q53" s="4" t="str">
        <f t="shared" si="15"/>
        <v>2031F</v>
      </c>
      <c r="R53" s="4" t="str">
        <f t="shared" si="15"/>
        <v>2032F</v>
      </c>
      <c r="S53" s="4" t="str">
        <f t="shared" si="15"/>
        <v>2033F</v>
      </c>
      <c r="T53" s="4">
        <f>T46</f>
        <v>2034</v>
      </c>
      <c r="U53" s="4">
        <f t="shared" ref="U53:AJ53" si="16">U46</f>
        <v>2035</v>
      </c>
      <c r="V53" s="4">
        <f t="shared" si="16"/>
        <v>2036</v>
      </c>
      <c r="W53" s="4">
        <f t="shared" si="16"/>
        <v>2037</v>
      </c>
      <c r="X53" s="4">
        <f t="shared" si="16"/>
        <v>2038</v>
      </c>
      <c r="Y53" s="4">
        <f t="shared" si="16"/>
        <v>2039</v>
      </c>
      <c r="Z53" s="4">
        <f t="shared" si="16"/>
        <v>2040</v>
      </c>
      <c r="AA53" s="4">
        <f t="shared" si="16"/>
        <v>2041</v>
      </c>
      <c r="AB53" s="4">
        <f t="shared" si="16"/>
        <v>2042</v>
      </c>
      <c r="AC53" s="4">
        <f t="shared" si="16"/>
        <v>2043</v>
      </c>
      <c r="AD53" s="4">
        <f t="shared" si="16"/>
        <v>2044</v>
      </c>
      <c r="AE53" s="4">
        <f t="shared" si="16"/>
        <v>2045</v>
      </c>
      <c r="AF53" s="4">
        <f t="shared" si="16"/>
        <v>2046</v>
      </c>
      <c r="AG53" s="4">
        <f t="shared" si="16"/>
        <v>2047</v>
      </c>
      <c r="AH53" s="4">
        <f t="shared" si="16"/>
        <v>2048</v>
      </c>
      <c r="AI53" s="4">
        <f t="shared" si="16"/>
        <v>2049</v>
      </c>
      <c r="AJ53" s="4">
        <f t="shared" si="16"/>
        <v>2050</v>
      </c>
      <c r="AK53" s="4"/>
      <c r="AL53" s="4"/>
      <c r="AM53" s="4"/>
      <c r="AN53" s="4"/>
      <c r="AO53" s="5"/>
    </row>
    <row r="54" spans="1:41">
      <c r="A54" s="6" t="s">
        <v>22</v>
      </c>
      <c r="B54" s="7" t="s">
        <v>2</v>
      </c>
      <c r="C54" s="19">
        <v>215</v>
      </c>
      <c r="D54" s="19">
        <v>210</v>
      </c>
      <c r="E54" s="19">
        <v>215</v>
      </c>
      <c r="F54" s="19">
        <v>205</v>
      </c>
      <c r="G54" s="19">
        <v>200</v>
      </c>
      <c r="H54" s="19">
        <v>195</v>
      </c>
      <c r="I54" s="19">
        <v>190</v>
      </c>
      <c r="J54" s="20">
        <v>210</v>
      </c>
      <c r="K54" s="20">
        <v>230</v>
      </c>
      <c r="L54" s="20">
        <v>250</v>
      </c>
      <c r="M54" s="20">
        <v>250</v>
      </c>
      <c r="N54" s="20">
        <v>250</v>
      </c>
      <c r="O54" s="20">
        <v>250</v>
      </c>
      <c r="P54" s="20">
        <v>250</v>
      </c>
      <c r="Q54" s="20">
        <v>250</v>
      </c>
      <c r="R54" s="20">
        <v>250</v>
      </c>
      <c r="S54" s="20">
        <v>250</v>
      </c>
      <c r="T54" s="8">
        <f t="shared" ref="T54:U56" si="17">S54*(1+T$77)</f>
        <v>252.74725274725273</v>
      </c>
      <c r="U54" s="63">
        <f t="shared" si="17"/>
        <v>255.49450549450543</v>
      </c>
      <c r="V54" s="63">
        <f t="shared" ref="V54:AJ54" si="18">U54*(1+V$77)</f>
        <v>258.24175824175819</v>
      </c>
      <c r="W54" s="63">
        <f t="shared" si="18"/>
        <v>260.98901098901086</v>
      </c>
      <c r="X54" s="63">
        <f t="shared" si="18"/>
        <v>263.73626373626354</v>
      </c>
      <c r="Y54" s="63">
        <f t="shared" si="18"/>
        <v>266.48351648351621</v>
      </c>
      <c r="Z54" s="63">
        <f t="shared" si="18"/>
        <v>269.23076923076894</v>
      </c>
      <c r="AA54" s="63">
        <f t="shared" si="18"/>
        <v>272.2116183312649</v>
      </c>
      <c r="AB54" s="63">
        <f t="shared" si="18"/>
        <v>275.22547057395485</v>
      </c>
      <c r="AC54" s="63">
        <f t="shared" si="18"/>
        <v>278.27269136056094</v>
      </c>
      <c r="AD54" s="63">
        <f t="shared" si="18"/>
        <v>281.35365013843273</v>
      </c>
      <c r="AE54" s="63">
        <f t="shared" si="18"/>
        <v>284.46872044533939</v>
      </c>
      <c r="AF54" s="63">
        <f t="shared" si="18"/>
        <v>287.6182799547575</v>
      </c>
      <c r="AG54" s="63">
        <f t="shared" si="18"/>
        <v>290.80271052166074</v>
      </c>
      <c r="AH54" s="63">
        <f t="shared" si="18"/>
        <v>294.02239822881609</v>
      </c>
      <c r="AI54" s="63">
        <f t="shared" si="18"/>
        <v>297.27773343359274</v>
      </c>
      <c r="AJ54" s="63">
        <f t="shared" si="18"/>
        <v>300.5691108152896</v>
      </c>
      <c r="AK54" s="8"/>
      <c r="AL54" s="8"/>
      <c r="AM54" s="8"/>
      <c r="AN54" s="8"/>
      <c r="AO54" s="9"/>
    </row>
    <row r="55" spans="1:41">
      <c r="A55" s="6" t="s">
        <v>23</v>
      </c>
      <c r="B55" s="7" t="s">
        <v>2</v>
      </c>
      <c r="C55" s="19">
        <v>28</v>
      </c>
      <c r="D55" s="19">
        <v>27</v>
      </c>
      <c r="E55" s="19">
        <v>29</v>
      </c>
      <c r="F55" s="19">
        <v>32</v>
      </c>
      <c r="G55" s="19">
        <v>30</v>
      </c>
      <c r="H55" s="19">
        <v>31</v>
      </c>
      <c r="I55" s="19">
        <v>32</v>
      </c>
      <c r="J55" s="20">
        <v>30</v>
      </c>
      <c r="K55" s="20">
        <v>30</v>
      </c>
      <c r="L55" s="20">
        <v>30</v>
      </c>
      <c r="M55" s="20">
        <v>30</v>
      </c>
      <c r="N55" s="20">
        <v>30</v>
      </c>
      <c r="O55" s="20">
        <v>30</v>
      </c>
      <c r="P55" s="20">
        <v>30</v>
      </c>
      <c r="Q55" s="20">
        <v>30</v>
      </c>
      <c r="R55" s="20">
        <v>30</v>
      </c>
      <c r="S55" s="20">
        <v>30</v>
      </c>
      <c r="T55" s="8">
        <f t="shared" si="17"/>
        <v>30.329670329670328</v>
      </c>
      <c r="U55" s="62">
        <f t="shared" si="17"/>
        <v>30.659340659340653</v>
      </c>
      <c r="V55" s="62">
        <f t="shared" ref="V55:AJ55" si="19">U55*(1+V$77)</f>
        <v>30.989010989010982</v>
      </c>
      <c r="W55" s="62">
        <f t="shared" si="19"/>
        <v>31.3186813186813</v>
      </c>
      <c r="X55" s="62">
        <f t="shared" si="19"/>
        <v>31.648351648351625</v>
      </c>
      <c r="Y55" s="62">
        <f t="shared" si="19"/>
        <v>31.978021978021943</v>
      </c>
      <c r="Z55" s="62">
        <f t="shared" si="19"/>
        <v>32.307692307692271</v>
      </c>
      <c r="AA55" s="62">
        <f t="shared" si="19"/>
        <v>32.665394199751788</v>
      </c>
      <c r="AB55" s="62">
        <f t="shared" si="19"/>
        <v>33.027056468874584</v>
      </c>
      <c r="AC55" s="62">
        <f t="shared" si="19"/>
        <v>33.392722963267317</v>
      </c>
      <c r="AD55" s="62">
        <f t="shared" si="19"/>
        <v>33.762438016611931</v>
      </c>
      <c r="AE55" s="62">
        <f t="shared" si="19"/>
        <v>34.136246453440727</v>
      </c>
      <c r="AF55" s="62">
        <f t="shared" si="19"/>
        <v>34.514193594570898</v>
      </c>
      <c r="AG55" s="62">
        <f t="shared" si="19"/>
        <v>34.896325262599284</v>
      </c>
      <c r="AH55" s="62">
        <f t="shared" si="19"/>
        <v>35.282687787457924</v>
      </c>
      <c r="AI55" s="62">
        <f t="shared" si="19"/>
        <v>35.673328012031128</v>
      </c>
      <c r="AJ55" s="62">
        <f t="shared" si="19"/>
        <v>36.068293297834749</v>
      </c>
      <c r="AK55" s="8"/>
      <c r="AL55" s="8"/>
      <c r="AM55" s="8"/>
      <c r="AN55" s="8"/>
      <c r="AO55" s="9"/>
    </row>
    <row r="56" spans="1:41" ht="14.5" thickBot="1">
      <c r="A56" s="11" t="s">
        <v>25</v>
      </c>
      <c r="B56" s="10" t="s">
        <v>2</v>
      </c>
      <c r="C56" s="21">
        <f>SUM(C54:C55)</f>
        <v>243</v>
      </c>
      <c r="D56" s="21">
        <f t="shared" ref="D56:S56" si="20">SUM(D54:D55)</f>
        <v>237</v>
      </c>
      <c r="E56" s="21">
        <f t="shared" si="20"/>
        <v>244</v>
      </c>
      <c r="F56" s="21">
        <f t="shared" si="20"/>
        <v>237</v>
      </c>
      <c r="G56" s="21">
        <f t="shared" si="20"/>
        <v>230</v>
      </c>
      <c r="H56" s="21">
        <f t="shared" si="20"/>
        <v>226</v>
      </c>
      <c r="I56" s="21">
        <f t="shared" si="20"/>
        <v>222</v>
      </c>
      <c r="J56" s="22">
        <f t="shared" si="20"/>
        <v>240</v>
      </c>
      <c r="K56" s="22">
        <f t="shared" si="20"/>
        <v>260</v>
      </c>
      <c r="L56" s="22">
        <f t="shared" si="20"/>
        <v>280</v>
      </c>
      <c r="M56" s="22">
        <f t="shared" si="20"/>
        <v>280</v>
      </c>
      <c r="N56" s="22">
        <f t="shared" si="20"/>
        <v>280</v>
      </c>
      <c r="O56" s="22">
        <f t="shared" si="20"/>
        <v>280</v>
      </c>
      <c r="P56" s="22">
        <f t="shared" si="20"/>
        <v>280</v>
      </c>
      <c r="Q56" s="22">
        <f t="shared" si="20"/>
        <v>280</v>
      </c>
      <c r="R56" s="22">
        <f t="shared" si="20"/>
        <v>280</v>
      </c>
      <c r="S56" s="22">
        <f t="shared" si="20"/>
        <v>280</v>
      </c>
      <c r="T56" s="12">
        <f t="shared" si="17"/>
        <v>283.07692307692309</v>
      </c>
      <c r="U56" s="65">
        <f t="shared" si="17"/>
        <v>286.15384615384613</v>
      </c>
      <c r="V56" s="65">
        <f t="shared" ref="V56:AJ56" si="21">U56*(1+V$77)</f>
        <v>289.23076923076923</v>
      </c>
      <c r="W56" s="65">
        <f t="shared" si="21"/>
        <v>292.30769230769221</v>
      </c>
      <c r="X56" s="65">
        <f t="shared" si="21"/>
        <v>295.38461538461524</v>
      </c>
      <c r="Y56" s="65">
        <f t="shared" si="21"/>
        <v>298.46153846153823</v>
      </c>
      <c r="Z56" s="65">
        <f t="shared" si="21"/>
        <v>301.53846153846126</v>
      </c>
      <c r="AA56" s="65">
        <f t="shared" si="21"/>
        <v>304.8770125310167</v>
      </c>
      <c r="AB56" s="65">
        <f t="shared" si="21"/>
        <v>308.25252704282946</v>
      </c>
      <c r="AC56" s="65">
        <f t="shared" si="21"/>
        <v>311.66541432382832</v>
      </c>
      <c r="AD56" s="65">
        <f t="shared" si="21"/>
        <v>315.11608815504474</v>
      </c>
      <c r="AE56" s="65">
        <f t="shared" si="21"/>
        <v>318.60496689878016</v>
      </c>
      <c r="AF56" s="65">
        <f t="shared" si="21"/>
        <v>322.13247354932844</v>
      </c>
      <c r="AG56" s="65">
        <f t="shared" si="21"/>
        <v>325.69903578426005</v>
      </c>
      <c r="AH56" s="65">
        <f t="shared" si="21"/>
        <v>329.305086016274</v>
      </c>
      <c r="AI56" s="65">
        <f t="shared" si="21"/>
        <v>332.95106144562391</v>
      </c>
      <c r="AJ56" s="65">
        <f t="shared" si="21"/>
        <v>336.63740411312438</v>
      </c>
      <c r="AK56" s="12"/>
      <c r="AL56" s="12"/>
      <c r="AM56" s="12"/>
      <c r="AN56" s="12"/>
      <c r="AO56" s="13"/>
    </row>
    <row r="58" spans="1:41" s="36" customFormat="1">
      <c r="A58" s="38" t="s">
        <v>72</v>
      </c>
      <c r="B58" s="38" t="s">
        <v>2</v>
      </c>
      <c r="C58" s="44">
        <f>C56+C50</f>
        <v>1882.765491996844</v>
      </c>
      <c r="D58" s="44">
        <f t="shared" ref="D58:AJ58" si="22">D56+D50</f>
        <v>1857.2588968579005</v>
      </c>
      <c r="E58" s="44">
        <f t="shared" si="22"/>
        <v>1815.9997880249377</v>
      </c>
      <c r="F58" s="44">
        <f t="shared" si="22"/>
        <v>1742.3864102999196</v>
      </c>
      <c r="G58" s="44">
        <f t="shared" si="22"/>
        <v>1695.3121204158178</v>
      </c>
      <c r="H58" s="44">
        <f t="shared" si="22"/>
        <v>1771.691767142858</v>
      </c>
      <c r="I58" s="44">
        <f t="shared" si="22"/>
        <v>1679.0722300000002</v>
      </c>
      <c r="J58" s="41">
        <f t="shared" si="22"/>
        <v>1695.2451799999999</v>
      </c>
      <c r="K58" s="41">
        <f t="shared" si="22"/>
        <v>1768.9285300000001</v>
      </c>
      <c r="L58" s="41">
        <f t="shared" si="22"/>
        <v>1825.62844</v>
      </c>
      <c r="M58" s="41">
        <f t="shared" si="22"/>
        <v>1822.64876</v>
      </c>
      <c r="N58" s="41">
        <f t="shared" si="22"/>
        <v>1820.30727</v>
      </c>
      <c r="O58" s="41">
        <f t="shared" si="22"/>
        <v>1817.85772</v>
      </c>
      <c r="P58" s="41">
        <f t="shared" si="22"/>
        <v>1815.9099200000003</v>
      </c>
      <c r="Q58" s="41">
        <f t="shared" si="22"/>
        <v>1814.43776</v>
      </c>
      <c r="R58" s="41">
        <f t="shared" si="22"/>
        <v>1813.35546</v>
      </c>
      <c r="S58" s="41">
        <f t="shared" si="22"/>
        <v>1812.0669799999998</v>
      </c>
      <c r="T58" s="41">
        <f t="shared" si="22"/>
        <v>1831.9798039560437</v>
      </c>
      <c r="U58" s="66">
        <f t="shared" si="22"/>
        <v>1851.8926279120874</v>
      </c>
      <c r="V58" s="66">
        <f t="shared" si="22"/>
        <v>1871.8054518681313</v>
      </c>
      <c r="W58" s="66">
        <f t="shared" si="22"/>
        <v>1891.7182758241745</v>
      </c>
      <c r="X58" s="66">
        <f t="shared" si="22"/>
        <v>1911.6310997802182</v>
      </c>
      <c r="Y58" s="66">
        <f t="shared" si="22"/>
        <v>1931.5439237362616</v>
      </c>
      <c r="Z58" s="66">
        <f t="shared" si="22"/>
        <v>1951.4567476923053</v>
      </c>
      <c r="AA58" s="66">
        <f t="shared" si="22"/>
        <v>1973.0627406017911</v>
      </c>
      <c r="AB58" s="66">
        <f t="shared" si="22"/>
        <v>1994.9079491281009</v>
      </c>
      <c r="AC58" s="66">
        <f t="shared" si="22"/>
        <v>2016.995021800815</v>
      </c>
      <c r="AD58" s="66">
        <f t="shared" si="22"/>
        <v>2039.3266364733056</v>
      </c>
      <c r="AE58" s="66">
        <f t="shared" si="22"/>
        <v>2061.9055006474014</v>
      </c>
      <c r="AF58" s="66">
        <f t="shared" si="22"/>
        <v>2084.7343518016478</v>
      </c>
      <c r="AG58" s="66">
        <f t="shared" si="22"/>
        <v>2107.8159577232</v>
      </c>
      <c r="AH58" s="66">
        <f t="shared" si="22"/>
        <v>2131.1531168433921</v>
      </c>
      <c r="AI58" s="66">
        <f t="shared" si="22"/>
        <v>2154.7486585770216</v>
      </c>
      <c r="AJ58" s="66">
        <f t="shared" si="22"/>
        <v>2178.6054436653885</v>
      </c>
    </row>
    <row r="60" spans="1:41">
      <c r="A60" s="26"/>
    </row>
    <row r="61" spans="1:41" s="50" customFormat="1" ht="25">
      <c r="A61" s="52" t="s">
        <v>63</v>
      </c>
    </row>
    <row r="62" spans="1:41" s="38" customFormat="1">
      <c r="A62" s="51" t="s">
        <v>61</v>
      </c>
      <c r="B62" s="38" t="s">
        <v>2</v>
      </c>
      <c r="F62" s="49">
        <v>901</v>
      </c>
      <c r="G62" s="49">
        <v>901</v>
      </c>
      <c r="H62" s="49">
        <v>901</v>
      </c>
      <c r="I62" s="49">
        <v>901</v>
      </c>
      <c r="J62" s="49">
        <v>901</v>
      </c>
      <c r="K62" s="49">
        <v>901</v>
      </c>
      <c r="L62" s="49">
        <v>901</v>
      </c>
      <c r="M62" s="49">
        <v>901</v>
      </c>
      <c r="N62" s="49">
        <v>901</v>
      </c>
      <c r="O62" s="49">
        <v>901</v>
      </c>
      <c r="P62" s="49">
        <v>901</v>
      </c>
      <c r="Q62" s="49">
        <v>901</v>
      </c>
      <c r="R62" s="49">
        <v>901</v>
      </c>
      <c r="S62" s="67">
        <f>R62*(1+S77)</f>
        <v>911.01111111111106</v>
      </c>
      <c r="T62" s="67">
        <f t="shared" ref="T62:AJ62" si="23">S62*(1+T77)</f>
        <v>921.02222222222213</v>
      </c>
      <c r="U62" s="67">
        <f t="shared" si="23"/>
        <v>931.03333333333308</v>
      </c>
      <c r="V62" s="67">
        <f t="shared" si="23"/>
        <v>941.04444444444414</v>
      </c>
      <c r="W62" s="67">
        <f t="shared" si="23"/>
        <v>951.05555555555486</v>
      </c>
      <c r="X62" s="67">
        <f t="shared" si="23"/>
        <v>961.06666666666581</v>
      </c>
      <c r="Y62" s="67">
        <f t="shared" si="23"/>
        <v>971.07777777777653</v>
      </c>
      <c r="Z62" s="67">
        <f t="shared" si="23"/>
        <v>981.0888888888876</v>
      </c>
      <c r="AA62" s="67">
        <f t="shared" si="23"/>
        <v>991.95123549327707</v>
      </c>
      <c r="AB62" s="67">
        <f t="shared" si="23"/>
        <v>1002.9338470146279</v>
      </c>
      <c r="AC62" s="67">
        <f t="shared" si="23"/>
        <v>1014.0380549930554</v>
      </c>
      <c r="AD62" s="67">
        <f t="shared" si="23"/>
        <v>1025.2652057111216</v>
      </c>
      <c r="AE62" s="67">
        <f t="shared" si="23"/>
        <v>1036.6166603570584</v>
      </c>
      <c r="AF62" s="67">
        <f t="shared" si="23"/>
        <v>1048.0937951898006</v>
      </c>
      <c r="AG62" s="67">
        <f t="shared" si="23"/>
        <v>1059.6980017058434</v>
      </c>
      <c r="AH62" s="67">
        <f t="shared" si="23"/>
        <v>1071.4306868079489</v>
      </c>
      <c r="AI62" s="67">
        <f>AH62*(1+AI77)</f>
        <v>1083.2932729757197</v>
      </c>
      <c r="AJ62" s="67">
        <f t="shared" si="23"/>
        <v>1095.2871984380622</v>
      </c>
    </row>
    <row r="63" spans="1:41">
      <c r="A63" s="26" t="s">
        <v>11</v>
      </c>
      <c r="B63" t="s">
        <v>60</v>
      </c>
    </row>
    <row r="64" spans="1:41">
      <c r="B64" s="17" t="s">
        <v>32</v>
      </c>
    </row>
    <row r="65" spans="1:36">
      <c r="B65" t="s">
        <v>62</v>
      </c>
    </row>
    <row r="67" spans="1:36" ht="23">
      <c r="A67" s="68" t="s">
        <v>71</v>
      </c>
      <c r="B67" s="38" t="s">
        <v>2</v>
      </c>
      <c r="C67" s="38"/>
      <c r="D67" s="38"/>
      <c r="E67" s="38"/>
      <c r="F67" s="38"/>
      <c r="G67" s="38"/>
      <c r="H67" s="38"/>
      <c r="I67" s="38"/>
      <c r="J67" s="44">
        <f>SUM(J13,J28,J39,J58,J62)</f>
        <v>230870.25173599998</v>
      </c>
      <c r="K67" s="44">
        <f t="shared" ref="K67:AJ67" si="24">SUM(K13,K28,K39,K58,K62)</f>
        <v>233400.20238986332</v>
      </c>
      <c r="L67" s="44">
        <f t="shared" si="24"/>
        <v>238746.83627325177</v>
      </c>
      <c r="M67" s="44">
        <f t="shared" si="24"/>
        <v>245729.79078302166</v>
      </c>
      <c r="N67" s="44">
        <f t="shared" si="24"/>
        <v>251980.737171024</v>
      </c>
      <c r="O67" s="44">
        <f t="shared" si="24"/>
        <v>258122.45177637017</v>
      </c>
      <c r="P67" s="44">
        <f t="shared" si="24"/>
        <v>266959.78299865965</v>
      </c>
      <c r="Q67" s="44">
        <f t="shared" si="24"/>
        <v>277469.61796055839</v>
      </c>
      <c r="R67" s="44">
        <f t="shared" si="24"/>
        <v>288584.7752355822</v>
      </c>
      <c r="S67" s="44">
        <f t="shared" si="24"/>
        <v>301120.30678546714</v>
      </c>
      <c r="T67" s="44">
        <f t="shared" si="24"/>
        <v>312998.4941861832</v>
      </c>
      <c r="U67" s="44">
        <f t="shared" si="24"/>
        <v>320330.88841235277</v>
      </c>
      <c r="V67" s="44">
        <f t="shared" si="24"/>
        <v>330265.71998018667</v>
      </c>
      <c r="W67" s="44">
        <f t="shared" si="24"/>
        <v>341108.9708057954</v>
      </c>
      <c r="X67" s="44">
        <f t="shared" si="24"/>
        <v>352531.75083986809</v>
      </c>
      <c r="Y67" s="44">
        <f t="shared" si="24"/>
        <v>360488.01793319144</v>
      </c>
      <c r="Z67" s="44">
        <f t="shared" si="24"/>
        <v>370625.35244611686</v>
      </c>
      <c r="AA67" s="44">
        <f t="shared" si="24"/>
        <v>379517.26573100331</v>
      </c>
      <c r="AB67" s="44">
        <f t="shared" si="24"/>
        <v>389764.32178272476</v>
      </c>
      <c r="AC67" s="44">
        <f t="shared" si="24"/>
        <v>399427.54729809053</v>
      </c>
      <c r="AD67" s="44">
        <f t="shared" si="24"/>
        <v>409617.41483847727</v>
      </c>
      <c r="AE67" s="44">
        <f t="shared" si="24"/>
        <v>419390.01223055442</v>
      </c>
      <c r="AF67" s="44">
        <f t="shared" si="24"/>
        <v>427171.50436257309</v>
      </c>
      <c r="AG67" s="44">
        <f t="shared" si="24"/>
        <v>434907.41897054767</v>
      </c>
      <c r="AH67" s="44">
        <f t="shared" si="24"/>
        <v>442519.48446180311</v>
      </c>
      <c r="AI67" s="44">
        <f t="shared" si="24"/>
        <v>452389.74537025031</v>
      </c>
      <c r="AJ67" s="44">
        <f t="shared" si="24"/>
        <v>461665.7816783968</v>
      </c>
    </row>
    <row r="73" spans="1:36" s="57" customFormat="1">
      <c r="A73" s="51" t="s">
        <v>65</v>
      </c>
      <c r="F73" s="57">
        <f>F7</f>
        <v>2020</v>
      </c>
      <c r="G73" s="57">
        <f t="shared" ref="G73:AJ73" si="25">G7</f>
        <v>2021</v>
      </c>
      <c r="H73" s="57">
        <f t="shared" si="25"/>
        <v>2022</v>
      </c>
      <c r="I73" s="57">
        <f t="shared" si="25"/>
        <v>2023</v>
      </c>
      <c r="J73" s="57">
        <f t="shared" si="25"/>
        <v>2024</v>
      </c>
      <c r="K73" s="57">
        <f t="shared" si="25"/>
        <v>2025</v>
      </c>
      <c r="L73" s="57">
        <f t="shared" si="25"/>
        <v>2026</v>
      </c>
      <c r="M73" s="57">
        <f t="shared" si="25"/>
        <v>2027</v>
      </c>
      <c r="N73" s="57">
        <f t="shared" si="25"/>
        <v>2028</v>
      </c>
      <c r="O73" s="57">
        <f t="shared" si="25"/>
        <v>2029</v>
      </c>
      <c r="P73" s="57">
        <f t="shared" si="25"/>
        <v>2030</v>
      </c>
      <c r="Q73" s="57">
        <f t="shared" si="25"/>
        <v>2031</v>
      </c>
      <c r="R73" s="57">
        <f t="shared" si="25"/>
        <v>2032</v>
      </c>
      <c r="S73" s="57">
        <f t="shared" si="25"/>
        <v>2033</v>
      </c>
      <c r="T73" s="57">
        <f t="shared" si="25"/>
        <v>2034</v>
      </c>
      <c r="U73" s="57">
        <f t="shared" si="25"/>
        <v>2035</v>
      </c>
      <c r="V73" s="57">
        <f t="shared" si="25"/>
        <v>2036</v>
      </c>
      <c r="W73" s="57">
        <f t="shared" si="25"/>
        <v>2037</v>
      </c>
      <c r="X73" s="57">
        <f t="shared" si="25"/>
        <v>2038</v>
      </c>
      <c r="Y73" s="57">
        <f t="shared" si="25"/>
        <v>2039</v>
      </c>
      <c r="Z73" s="57">
        <f t="shared" si="25"/>
        <v>2040</v>
      </c>
      <c r="AA73" s="57">
        <f t="shared" si="25"/>
        <v>2041</v>
      </c>
      <c r="AB73" s="57">
        <f t="shared" si="25"/>
        <v>2042</v>
      </c>
      <c r="AC73" s="57">
        <f t="shared" si="25"/>
        <v>2043</v>
      </c>
      <c r="AD73" s="57">
        <f t="shared" si="25"/>
        <v>2044</v>
      </c>
      <c r="AE73" s="57">
        <f t="shared" si="25"/>
        <v>2045</v>
      </c>
      <c r="AF73" s="57">
        <f t="shared" si="25"/>
        <v>2046</v>
      </c>
      <c r="AG73" s="57">
        <f t="shared" si="25"/>
        <v>2047</v>
      </c>
      <c r="AH73" s="57">
        <f t="shared" si="25"/>
        <v>2048</v>
      </c>
      <c r="AI73" s="57">
        <f>AI7</f>
        <v>2049</v>
      </c>
      <c r="AJ73" s="57">
        <f t="shared" si="25"/>
        <v>2050</v>
      </c>
    </row>
    <row r="75" spans="1:36">
      <c r="A75" t="s">
        <v>7</v>
      </c>
      <c r="K75" s="54">
        <f t="shared" ref="K75:AJ75" si="26">K13/J13-1</f>
        <v>8.7034095324491911E-3</v>
      </c>
      <c r="L75" s="54">
        <f t="shared" si="26"/>
        <v>2.4667214237145574E-2</v>
      </c>
      <c r="M75" s="54">
        <f t="shared" si="26"/>
        <v>2.9767113085318098E-2</v>
      </c>
      <c r="N75" s="54">
        <f t="shared" si="26"/>
        <v>2.5313953998141514E-2</v>
      </c>
      <c r="O75" s="54">
        <f t="shared" si="26"/>
        <v>2.2462269985435768E-2</v>
      </c>
      <c r="P75" s="54">
        <f t="shared" si="26"/>
        <v>3.0013689049289694E-2</v>
      </c>
      <c r="Q75" s="54">
        <f t="shared" si="26"/>
        <v>3.4495197558402468E-2</v>
      </c>
      <c r="R75" s="54">
        <f t="shared" si="26"/>
        <v>3.7274194908266667E-2</v>
      </c>
      <c r="S75" s="54">
        <f t="shared" si="26"/>
        <v>4.1510560020949105E-2</v>
      </c>
      <c r="T75" s="54">
        <f t="shared" si="26"/>
        <v>3.6974521726061749E-2</v>
      </c>
      <c r="U75" s="54">
        <f t="shared" si="26"/>
        <v>2.3176069606411165E-2</v>
      </c>
      <c r="V75" s="54">
        <f t="shared" si="26"/>
        <v>3.1937552142806247E-2</v>
      </c>
      <c r="W75" s="54">
        <f t="shared" si="26"/>
        <v>3.4025525177885374E-2</v>
      </c>
      <c r="X75" s="54">
        <f t="shared" si="26"/>
        <v>3.4766861866357468E-2</v>
      </c>
      <c r="Y75" s="54">
        <f t="shared" si="26"/>
        <v>2.2179889018317134E-2</v>
      </c>
      <c r="Z75" s="54">
        <f t="shared" si="26"/>
        <v>2.8569983962087209E-2</v>
      </c>
      <c r="AA75" s="54">
        <f t="shared" si="26"/>
        <v>2.3787822317516527E-2</v>
      </c>
      <c r="AB75" s="54">
        <f t="shared" si="26"/>
        <v>2.7245943879510515E-2</v>
      </c>
      <c r="AC75" s="54">
        <f t="shared" si="26"/>
        <v>2.4697703977625052E-2</v>
      </c>
      <c r="AD75" s="54">
        <f t="shared" si="26"/>
        <v>2.5519148606518938E-2</v>
      </c>
      <c r="AE75" s="54">
        <f t="shared" si="26"/>
        <v>2.360964223884654E-2</v>
      </c>
      <c r="AF75" s="54">
        <f t="shared" si="26"/>
        <v>1.7495442320291099E-2</v>
      </c>
      <c r="AG75" s="54">
        <f t="shared" si="26"/>
        <v>1.6968574842966433E-2</v>
      </c>
      <c r="AH75" s="54">
        <f t="shared" si="26"/>
        <v>1.6252649338932779E-2</v>
      </c>
      <c r="AI75" s="54">
        <f t="shared" si="26"/>
        <v>2.1784335052702941E-2</v>
      </c>
      <c r="AJ75" s="54">
        <f t="shared" si="26"/>
        <v>1.9695327776171334E-2</v>
      </c>
    </row>
    <row r="76" spans="1:36">
      <c r="A76" t="s">
        <v>10</v>
      </c>
      <c r="B76" s="55">
        <f>AVERAGE(F76:K76)</f>
        <v>2.824470278094356E-2</v>
      </c>
      <c r="C76" t="s">
        <v>77</v>
      </c>
      <c r="F76" s="54">
        <f t="shared" ref="F76:T76" si="27">F28/E28-1</f>
        <v>3.6370211206070424E-2</v>
      </c>
      <c r="G76" s="54">
        <f t="shared" si="27"/>
        <v>2.4914972428007331E-2</v>
      </c>
      <c r="H76" s="54">
        <f t="shared" si="27"/>
        <v>4.2139389413318851E-2</v>
      </c>
      <c r="I76" s="54">
        <f t="shared" si="27"/>
        <v>-2.0964218262528922E-2</v>
      </c>
      <c r="J76" s="54">
        <f t="shared" si="27"/>
        <v>5.2622559267082369E-2</v>
      </c>
      <c r="K76" s="54">
        <f>K28/J28-1</f>
        <v>3.4385302633711312E-2</v>
      </c>
      <c r="L76" s="54">
        <f t="shared" si="27"/>
        <v>2.6307045851071909E-2</v>
      </c>
      <c r="M76" s="54">
        <f t="shared" si="27"/>
        <v>3.1733706257747851E-2</v>
      </c>
      <c r="N76" s="54">
        <f>N28/M28-1</f>
        <v>3.2838242556002317E-2</v>
      </c>
      <c r="O76" s="54">
        <f t="shared" si="27"/>
        <v>4.8883653454241172E-2</v>
      </c>
      <c r="P76" s="54">
        <f t="shared" si="27"/>
        <v>8.333403807284756E-2</v>
      </c>
      <c r="Q76" s="54">
        <f t="shared" si="27"/>
        <v>9.3297085893162546E-2</v>
      </c>
      <c r="R76" s="54">
        <f t="shared" si="27"/>
        <v>7.29962239146833E-2</v>
      </c>
      <c r="S76" s="54">
        <f t="shared" si="27"/>
        <v>6.8409241011939681E-2</v>
      </c>
      <c r="T76" s="54">
        <f t="shared" si="27"/>
        <v>6.6351304217842966E-2</v>
      </c>
      <c r="U76" s="56">
        <f t="shared" ref="U76:AJ76" si="28">$B$76</f>
        <v>2.824470278094356E-2</v>
      </c>
      <c r="V76" s="56">
        <f t="shared" si="28"/>
        <v>2.824470278094356E-2</v>
      </c>
      <c r="W76" s="56">
        <f t="shared" si="28"/>
        <v>2.824470278094356E-2</v>
      </c>
      <c r="X76" s="56">
        <f t="shared" si="28"/>
        <v>2.824470278094356E-2</v>
      </c>
      <c r="Y76" s="56">
        <f t="shared" si="28"/>
        <v>2.824470278094356E-2</v>
      </c>
      <c r="Z76" s="56">
        <f t="shared" si="28"/>
        <v>2.824470278094356E-2</v>
      </c>
      <c r="AA76" s="56">
        <f t="shared" si="28"/>
        <v>2.824470278094356E-2</v>
      </c>
      <c r="AB76" s="56">
        <f t="shared" si="28"/>
        <v>2.824470278094356E-2</v>
      </c>
      <c r="AC76" s="56">
        <f t="shared" si="28"/>
        <v>2.824470278094356E-2</v>
      </c>
      <c r="AD76" s="56">
        <f t="shared" si="28"/>
        <v>2.824470278094356E-2</v>
      </c>
      <c r="AE76" s="56">
        <f t="shared" si="28"/>
        <v>2.824470278094356E-2</v>
      </c>
      <c r="AF76" s="56">
        <f t="shared" si="28"/>
        <v>2.824470278094356E-2</v>
      </c>
      <c r="AG76" s="56">
        <f t="shared" si="28"/>
        <v>2.824470278094356E-2</v>
      </c>
      <c r="AH76" s="56">
        <f t="shared" si="28"/>
        <v>2.824470278094356E-2</v>
      </c>
      <c r="AI76" s="56">
        <f t="shared" si="28"/>
        <v>2.824470278094356E-2</v>
      </c>
      <c r="AJ76" s="56">
        <f t="shared" si="28"/>
        <v>2.824470278094356E-2</v>
      </c>
    </row>
    <row r="77" spans="1:36">
      <c r="A77" t="s">
        <v>12</v>
      </c>
      <c r="B77" s="55">
        <f>AVERAGE(M77:Z77)</f>
        <v>1.1071725230413569E-2</v>
      </c>
      <c r="C77" t="s">
        <v>78</v>
      </c>
      <c r="F77" s="58"/>
      <c r="G77" s="54">
        <f t="shared" ref="G77:Z77" si="29">G39/F39-1</f>
        <v>1.7391304347826209E-2</v>
      </c>
      <c r="H77" s="54">
        <f t="shared" si="29"/>
        <v>2.564102564102555E-2</v>
      </c>
      <c r="I77" s="54">
        <f t="shared" si="29"/>
        <v>-4.1666666666666741E-2</v>
      </c>
      <c r="J77" s="54">
        <f t="shared" si="29"/>
        <v>0.11574349811395668</v>
      </c>
      <c r="K77" s="54">
        <f t="shared" si="29"/>
        <v>0</v>
      </c>
      <c r="L77" s="54">
        <f t="shared" si="29"/>
        <v>-6.4768683274021299E-2</v>
      </c>
      <c r="M77" s="54">
        <f t="shared" si="29"/>
        <v>1.1904761904761862E-2</v>
      </c>
      <c r="N77" s="54">
        <f t="shared" si="29"/>
        <v>1.1764705882353121E-2</v>
      </c>
      <c r="O77" s="54">
        <f t="shared" si="29"/>
        <v>1.1627906976744207E-2</v>
      </c>
      <c r="P77" s="54">
        <f t="shared" si="29"/>
        <v>1.1494252873563315E-2</v>
      </c>
      <c r="Q77" s="54">
        <f t="shared" si="29"/>
        <v>1.136363636363602E-2</v>
      </c>
      <c r="R77" s="54">
        <f t="shared" si="29"/>
        <v>1.1235955056180025E-2</v>
      </c>
      <c r="S77" s="54">
        <f t="shared" si="29"/>
        <v>1.1111111111111072E-2</v>
      </c>
      <c r="T77" s="54">
        <f t="shared" si="29"/>
        <v>1.098901098901095E-2</v>
      </c>
      <c r="U77" s="54">
        <f t="shared" si="29"/>
        <v>1.0869565217391131E-2</v>
      </c>
      <c r="V77" s="54">
        <f t="shared" si="29"/>
        <v>1.0752688172043001E-2</v>
      </c>
      <c r="W77" s="54">
        <f t="shared" si="29"/>
        <v>1.0638297872340052E-2</v>
      </c>
      <c r="X77" s="54">
        <f t="shared" si="29"/>
        <v>1.0526315789473495E-2</v>
      </c>
      <c r="Y77" s="54">
        <f t="shared" si="29"/>
        <v>1.0416666666666297E-2</v>
      </c>
      <c r="Z77" s="54">
        <f t="shared" si="29"/>
        <v>1.0309278350515427E-2</v>
      </c>
      <c r="AA77" s="55">
        <f>$B$77</f>
        <v>1.1071725230413569E-2</v>
      </c>
      <c r="AB77" s="55">
        <f t="shared" ref="AB77:AJ77" si="30">$B$77</f>
        <v>1.1071725230413569E-2</v>
      </c>
      <c r="AC77" s="55">
        <f t="shared" si="30"/>
        <v>1.1071725230413569E-2</v>
      </c>
      <c r="AD77" s="55">
        <f t="shared" si="30"/>
        <v>1.1071725230413569E-2</v>
      </c>
      <c r="AE77" s="55">
        <f t="shared" si="30"/>
        <v>1.1071725230413569E-2</v>
      </c>
      <c r="AF77" s="55">
        <f t="shared" si="30"/>
        <v>1.1071725230413569E-2</v>
      </c>
      <c r="AG77" s="55">
        <f t="shared" si="30"/>
        <v>1.1071725230413569E-2</v>
      </c>
      <c r="AH77" s="55">
        <f t="shared" si="30"/>
        <v>1.1071725230413569E-2</v>
      </c>
      <c r="AI77" s="55">
        <f t="shared" si="30"/>
        <v>1.1071725230413569E-2</v>
      </c>
      <c r="AJ77" s="55">
        <f t="shared" si="30"/>
        <v>1.1071725230413569E-2</v>
      </c>
    </row>
    <row r="78" spans="1:36">
      <c r="A78" t="s">
        <v>13</v>
      </c>
      <c r="B78" s="55">
        <f>B77</f>
        <v>1.1071725230413569E-2</v>
      </c>
      <c r="C78" t="s">
        <v>79</v>
      </c>
      <c r="J78" s="54">
        <f>J50/I50-1</f>
        <v>-1.2539186200812846E-3</v>
      </c>
      <c r="K78" s="54">
        <f t="shared" ref="K78:AJ78" si="31">K50/J50-1</f>
        <v>3.6889556988603189E-2</v>
      </c>
      <c r="L78" s="54">
        <f t="shared" si="31"/>
        <v>2.4321834513924889E-2</v>
      </c>
      <c r="M78" s="54">
        <f t="shared" si="31"/>
        <v>-1.9278113179646006E-3</v>
      </c>
      <c r="N78" s="54">
        <f t="shared" si="31"/>
        <v>-1.5178374110254023E-3</v>
      </c>
      <c r="O78" s="54">
        <f t="shared" si="31"/>
        <v>-1.5902995770448181E-3</v>
      </c>
      <c r="P78" s="54">
        <f t="shared" si="31"/>
        <v>-1.2665671047902283E-3</v>
      </c>
      <c r="Q78" s="54">
        <f t="shared" si="31"/>
        <v>-9.5849371166267794E-4</v>
      </c>
      <c r="R78" s="54">
        <f t="shared" si="31"/>
        <v>-7.0533978517317575E-4</v>
      </c>
      <c r="S78" s="54">
        <f t="shared" si="31"/>
        <v>-8.4030091757081316E-4</v>
      </c>
      <c r="T78" s="54">
        <f t="shared" si="31"/>
        <v>1.098901098901095E-2</v>
      </c>
      <c r="U78" s="54">
        <f t="shared" si="31"/>
        <v>1.0869565217391131E-2</v>
      </c>
      <c r="V78" s="54">
        <f t="shared" si="31"/>
        <v>1.0752688172043001E-2</v>
      </c>
      <c r="W78" s="54">
        <f t="shared" si="31"/>
        <v>1.0638297872340052E-2</v>
      </c>
      <c r="X78" s="54">
        <f t="shared" si="31"/>
        <v>1.0526315789473495E-2</v>
      </c>
      <c r="Y78" s="54">
        <f t="shared" si="31"/>
        <v>1.0416666666666297E-2</v>
      </c>
      <c r="Z78" s="54">
        <f t="shared" si="31"/>
        <v>1.0309278350515427E-2</v>
      </c>
      <c r="AA78" s="54">
        <f t="shared" si="31"/>
        <v>1.1071725230413554E-2</v>
      </c>
      <c r="AB78" s="54">
        <f t="shared" si="31"/>
        <v>1.1071725230413554E-2</v>
      </c>
      <c r="AC78" s="54">
        <f t="shared" si="31"/>
        <v>1.1071725230413554E-2</v>
      </c>
      <c r="AD78" s="54">
        <f t="shared" si="31"/>
        <v>1.1071725230413554E-2</v>
      </c>
      <c r="AE78" s="54">
        <f t="shared" si="31"/>
        <v>1.1071725230413554E-2</v>
      </c>
      <c r="AF78" s="54">
        <f t="shared" si="31"/>
        <v>1.1071725230413554E-2</v>
      </c>
      <c r="AG78" s="54">
        <f t="shared" si="31"/>
        <v>1.1071725230413554E-2</v>
      </c>
      <c r="AH78" s="54">
        <f t="shared" si="31"/>
        <v>1.1071725230413554E-2</v>
      </c>
      <c r="AI78" s="54">
        <f t="shared" si="31"/>
        <v>1.1071725230413554E-2</v>
      </c>
      <c r="AJ78" s="54">
        <f t="shared" si="31"/>
        <v>1.1071725230413554E-2</v>
      </c>
    </row>
    <row r="79" spans="1:36">
      <c r="A79" t="s">
        <v>73</v>
      </c>
      <c r="B79" s="55">
        <f>B78</f>
        <v>1.1071725230413569E-2</v>
      </c>
      <c r="C79" t="s">
        <v>79</v>
      </c>
      <c r="J79" s="54">
        <f>J56/I56-1</f>
        <v>8.1081081081081141E-2</v>
      </c>
      <c r="K79" s="54">
        <f t="shared" ref="K79:AJ79" si="32">K56/J56-1</f>
        <v>8.3333333333333259E-2</v>
      </c>
      <c r="L79" s="54">
        <f t="shared" si="32"/>
        <v>7.6923076923076872E-2</v>
      </c>
      <c r="M79" s="54">
        <f t="shared" si="32"/>
        <v>0</v>
      </c>
      <c r="N79" s="54">
        <f t="shared" si="32"/>
        <v>0</v>
      </c>
      <c r="O79" s="54">
        <f t="shared" si="32"/>
        <v>0</v>
      </c>
      <c r="P79" s="54">
        <f t="shared" si="32"/>
        <v>0</v>
      </c>
      <c r="Q79" s="54">
        <f t="shared" si="32"/>
        <v>0</v>
      </c>
      <c r="R79" s="54">
        <f t="shared" si="32"/>
        <v>0</v>
      </c>
      <c r="S79" s="54">
        <f t="shared" si="32"/>
        <v>0</v>
      </c>
      <c r="T79" s="54">
        <f t="shared" si="32"/>
        <v>1.098901098901095E-2</v>
      </c>
      <c r="U79" s="54">
        <f t="shared" si="32"/>
        <v>1.0869565217391131E-2</v>
      </c>
      <c r="V79" s="54">
        <f t="shared" si="32"/>
        <v>1.0752688172043001E-2</v>
      </c>
      <c r="W79" s="54">
        <f t="shared" si="32"/>
        <v>1.0638297872340052E-2</v>
      </c>
      <c r="X79" s="54">
        <f t="shared" si="32"/>
        <v>1.0526315789473495E-2</v>
      </c>
      <c r="Y79" s="54">
        <f t="shared" si="32"/>
        <v>1.0416666666666297E-2</v>
      </c>
      <c r="Z79" s="54">
        <f t="shared" si="32"/>
        <v>1.0309278350515427E-2</v>
      </c>
      <c r="AA79" s="54">
        <f t="shared" si="32"/>
        <v>1.1071725230413554E-2</v>
      </c>
      <c r="AB79" s="54">
        <f t="shared" si="32"/>
        <v>1.1071725230413554E-2</v>
      </c>
      <c r="AC79" s="54">
        <f t="shared" si="32"/>
        <v>1.1071725230413554E-2</v>
      </c>
      <c r="AD79" s="54">
        <f t="shared" si="32"/>
        <v>1.1071725230413554E-2</v>
      </c>
      <c r="AE79" s="54">
        <f t="shared" si="32"/>
        <v>1.1071725230413554E-2</v>
      </c>
      <c r="AF79" s="54">
        <f t="shared" si="32"/>
        <v>1.1071725230413554E-2</v>
      </c>
      <c r="AG79" s="54">
        <f t="shared" si="32"/>
        <v>1.1071725230413554E-2</v>
      </c>
      <c r="AH79" s="54">
        <f t="shared" si="32"/>
        <v>1.1071725230413554E-2</v>
      </c>
      <c r="AI79" s="54">
        <f t="shared" si="32"/>
        <v>1.1071725230413554E-2</v>
      </c>
      <c r="AJ79" s="54">
        <f t="shared" si="32"/>
        <v>1.1071725230413554E-2</v>
      </c>
    </row>
    <row r="80" spans="1:36">
      <c r="A80" t="s">
        <v>74</v>
      </c>
      <c r="B80" s="55">
        <f>B79</f>
        <v>1.1071725230413569E-2</v>
      </c>
      <c r="C80" t="s">
        <v>79</v>
      </c>
      <c r="J80" s="54">
        <f>J62/I62-1</f>
        <v>0</v>
      </c>
      <c r="K80" s="54">
        <f t="shared" ref="K80:AJ80" si="33">K62/J62-1</f>
        <v>0</v>
      </c>
      <c r="L80" s="54">
        <f t="shared" si="33"/>
        <v>0</v>
      </c>
      <c r="M80" s="54">
        <f t="shared" si="33"/>
        <v>0</v>
      </c>
      <c r="N80" s="54">
        <f t="shared" si="33"/>
        <v>0</v>
      </c>
      <c r="O80" s="54">
        <f t="shared" si="33"/>
        <v>0</v>
      </c>
      <c r="P80" s="54">
        <f t="shared" si="33"/>
        <v>0</v>
      </c>
      <c r="Q80" s="54">
        <f t="shared" si="33"/>
        <v>0</v>
      </c>
      <c r="R80" s="54">
        <f t="shared" si="33"/>
        <v>0</v>
      </c>
      <c r="S80" s="54">
        <f t="shared" si="33"/>
        <v>1.1111111111111072E-2</v>
      </c>
      <c r="T80" s="54">
        <f t="shared" si="33"/>
        <v>1.098901098901095E-2</v>
      </c>
      <c r="U80" s="54">
        <f t="shared" si="33"/>
        <v>1.0869565217391131E-2</v>
      </c>
      <c r="V80" s="54">
        <f t="shared" si="33"/>
        <v>1.0752688172043001E-2</v>
      </c>
      <c r="W80" s="54">
        <f t="shared" si="33"/>
        <v>1.0638297872340052E-2</v>
      </c>
      <c r="X80" s="54">
        <f t="shared" si="33"/>
        <v>1.0526315789473495E-2</v>
      </c>
      <c r="Y80" s="54">
        <f t="shared" si="33"/>
        <v>1.0416666666666297E-2</v>
      </c>
      <c r="Z80" s="54">
        <f t="shared" si="33"/>
        <v>1.0309278350515427E-2</v>
      </c>
      <c r="AA80" s="54">
        <f t="shared" si="33"/>
        <v>1.1071725230413554E-2</v>
      </c>
      <c r="AB80" s="54">
        <f t="shared" si="33"/>
        <v>1.1071725230413554E-2</v>
      </c>
      <c r="AC80" s="54">
        <f t="shared" si="33"/>
        <v>1.1071725230413554E-2</v>
      </c>
      <c r="AD80" s="54">
        <f t="shared" si="33"/>
        <v>1.1071725230413554E-2</v>
      </c>
      <c r="AE80" s="54">
        <f t="shared" si="33"/>
        <v>1.1071725230413554E-2</v>
      </c>
      <c r="AF80" s="54">
        <f t="shared" si="33"/>
        <v>1.1071725230413554E-2</v>
      </c>
      <c r="AG80" s="54">
        <f t="shared" si="33"/>
        <v>1.1071725230413554E-2</v>
      </c>
      <c r="AH80" s="54">
        <f t="shared" si="33"/>
        <v>1.1071725230413554E-2</v>
      </c>
      <c r="AI80" s="54">
        <f t="shared" si="33"/>
        <v>1.1071725230413554E-2</v>
      </c>
      <c r="AJ80" s="54">
        <f t="shared" si="33"/>
        <v>1.1071725230413554E-2</v>
      </c>
    </row>
    <row r="83" spans="1:2">
      <c r="A83" t="s">
        <v>75</v>
      </c>
    </row>
    <row r="84" spans="1:2">
      <c r="A84" t="s">
        <v>7</v>
      </c>
      <c r="B84" t="s">
        <v>38</v>
      </c>
    </row>
    <row r="85" spans="1:2">
      <c r="A85" t="s">
        <v>10</v>
      </c>
      <c r="B85" t="s">
        <v>76</v>
      </c>
    </row>
  </sheetData>
  <hyperlinks>
    <hyperlink ref="B43" r:id="rId1" xr:uid="{38AC7958-8179-4527-9450-691144855AAD}"/>
    <hyperlink ref="B26" r:id="rId2" xr:uid="{E5DA7FFE-3CF6-4313-B274-4517AF35645E}"/>
    <hyperlink ref="B64" r:id="rId3" xr:uid="{15BB973E-4748-4966-A878-95DA33EB498A}"/>
  </hyperlinks>
  <pageMargins left="0.7" right="0.7" top="0.75" bottom="0.75" header="0.3" footer="0.3"/>
  <pageSetup paperSize="9"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F076A-BADB-4E22-922E-3BA9FDFA28B1}">
  <dimension ref="A2:AO85"/>
  <sheetViews>
    <sheetView topLeftCell="A58" zoomScale="80" zoomScaleNormal="80" workbookViewId="0">
      <selection activeCell="B91" sqref="B91"/>
    </sheetView>
  </sheetViews>
  <sheetFormatPr defaultRowHeight="14"/>
  <cols>
    <col min="1" max="1" width="30.6640625" customWidth="1"/>
    <col min="2" max="2" width="25.75" customWidth="1"/>
    <col min="3" max="3" width="14" customWidth="1"/>
    <col min="4" max="4" width="13.9140625" bestFit="1" customWidth="1"/>
    <col min="5" max="5" width="11" bestFit="1" customWidth="1"/>
    <col min="9" max="9" width="14.58203125" bestFit="1" customWidth="1"/>
  </cols>
  <sheetData>
    <row r="2" spans="1:24" s="36" customFormat="1">
      <c r="A2" s="36" t="s">
        <v>53</v>
      </c>
    </row>
    <row r="3" spans="1:24">
      <c r="B3" t="s">
        <v>39</v>
      </c>
    </row>
    <row r="15" spans="1:24">
      <c r="D15">
        <v>2020</v>
      </c>
      <c r="E15">
        <f t="shared" ref="E15:X15" si="0">D15+1</f>
        <v>2021</v>
      </c>
      <c r="F15">
        <f t="shared" si="0"/>
        <v>2022</v>
      </c>
      <c r="G15">
        <f t="shared" si="0"/>
        <v>2023</v>
      </c>
      <c r="H15">
        <f t="shared" si="0"/>
        <v>2024</v>
      </c>
      <c r="I15">
        <f t="shared" si="0"/>
        <v>2025</v>
      </c>
      <c r="J15">
        <f t="shared" si="0"/>
        <v>2026</v>
      </c>
      <c r="K15">
        <f t="shared" si="0"/>
        <v>2027</v>
      </c>
      <c r="L15">
        <f t="shared" si="0"/>
        <v>2028</v>
      </c>
      <c r="M15">
        <f t="shared" si="0"/>
        <v>2029</v>
      </c>
      <c r="N15">
        <f t="shared" si="0"/>
        <v>2030</v>
      </c>
      <c r="O15">
        <f t="shared" si="0"/>
        <v>2031</v>
      </c>
      <c r="P15">
        <f t="shared" si="0"/>
        <v>2032</v>
      </c>
      <c r="Q15">
        <f t="shared" si="0"/>
        <v>2033</v>
      </c>
      <c r="R15">
        <f t="shared" si="0"/>
        <v>2034</v>
      </c>
      <c r="S15">
        <f t="shared" si="0"/>
        <v>2035</v>
      </c>
      <c r="T15">
        <f t="shared" si="0"/>
        <v>2036</v>
      </c>
      <c r="U15">
        <f t="shared" si="0"/>
        <v>2037</v>
      </c>
      <c r="V15">
        <f t="shared" si="0"/>
        <v>2038</v>
      </c>
      <c r="W15">
        <f t="shared" si="0"/>
        <v>2039</v>
      </c>
      <c r="X15">
        <f t="shared" si="0"/>
        <v>2040</v>
      </c>
    </row>
    <row r="16" spans="1:24">
      <c r="B16" t="s">
        <v>46</v>
      </c>
      <c r="C16" t="s">
        <v>50</v>
      </c>
      <c r="D16" s="23">
        <v>115000</v>
      </c>
      <c r="E16" s="23">
        <v>117000</v>
      </c>
      <c r="F16" s="23">
        <v>120000</v>
      </c>
      <c r="G16" s="23">
        <v>115000</v>
      </c>
      <c r="H16" s="30">
        <v>128310.50228310502</v>
      </c>
      <c r="I16" s="23">
        <f>H16</f>
        <v>128310.50228310502</v>
      </c>
      <c r="J16" s="23">
        <v>120000</v>
      </c>
      <c r="K16" s="23">
        <f>J16+$K$17</f>
        <v>121428.57142857143</v>
      </c>
      <c r="L16" s="23">
        <f t="shared" ref="L16:W16" si="1">K16+$K$17</f>
        <v>122857.14285714287</v>
      </c>
      <c r="M16" s="23">
        <f t="shared" si="1"/>
        <v>124285.7142857143</v>
      </c>
      <c r="N16" s="23">
        <f t="shared" si="1"/>
        <v>125714.28571428574</v>
      </c>
      <c r="O16" s="23">
        <f t="shared" si="1"/>
        <v>127142.85714285717</v>
      </c>
      <c r="P16" s="23">
        <f t="shared" si="1"/>
        <v>128571.42857142861</v>
      </c>
      <c r="Q16" s="23">
        <f t="shared" si="1"/>
        <v>130000.00000000004</v>
      </c>
      <c r="R16" s="23">
        <f t="shared" si="1"/>
        <v>131428.57142857148</v>
      </c>
      <c r="S16" s="23">
        <f t="shared" si="1"/>
        <v>132857.1428571429</v>
      </c>
      <c r="T16" s="23">
        <f t="shared" si="1"/>
        <v>134285.71428571432</v>
      </c>
      <c r="U16" s="23">
        <f t="shared" si="1"/>
        <v>135714.28571428574</v>
      </c>
      <c r="V16" s="23">
        <f t="shared" si="1"/>
        <v>137142.85714285716</v>
      </c>
      <c r="W16" s="23">
        <f t="shared" si="1"/>
        <v>138571.42857142858</v>
      </c>
      <c r="X16" s="23">
        <v>140000</v>
      </c>
    </row>
    <row r="17" spans="1:24">
      <c r="K17" s="27">
        <f>(X16-J16)/14</f>
        <v>1428.5714285714287</v>
      </c>
    </row>
    <row r="18" spans="1:24">
      <c r="B18" t="s">
        <v>47</v>
      </c>
      <c r="D18" s="29">
        <v>1</v>
      </c>
      <c r="E18" s="29">
        <f>D18</f>
        <v>1</v>
      </c>
      <c r="F18" s="29">
        <f>E18</f>
        <v>1</v>
      </c>
      <c r="G18" s="29">
        <f t="shared" ref="G18:X18" si="2">F18</f>
        <v>1</v>
      </c>
      <c r="H18" s="29">
        <f t="shared" si="2"/>
        <v>1</v>
      </c>
      <c r="I18" s="29">
        <f t="shared" si="2"/>
        <v>1</v>
      </c>
      <c r="J18" s="29">
        <f t="shared" si="2"/>
        <v>1</v>
      </c>
      <c r="K18" s="29">
        <f t="shared" si="2"/>
        <v>1</v>
      </c>
      <c r="L18" s="29">
        <f t="shared" si="2"/>
        <v>1</v>
      </c>
      <c r="M18" s="29">
        <f t="shared" si="2"/>
        <v>1</v>
      </c>
      <c r="N18" s="29">
        <f t="shared" si="2"/>
        <v>1</v>
      </c>
      <c r="O18" s="29">
        <f t="shared" si="2"/>
        <v>1</v>
      </c>
      <c r="P18" s="29">
        <f t="shared" si="2"/>
        <v>1</v>
      </c>
      <c r="Q18" s="29">
        <f t="shared" si="2"/>
        <v>1</v>
      </c>
      <c r="R18" s="29">
        <f t="shared" si="2"/>
        <v>1</v>
      </c>
      <c r="S18" s="29">
        <f t="shared" si="2"/>
        <v>1</v>
      </c>
      <c r="T18" s="29">
        <f t="shared" si="2"/>
        <v>1</v>
      </c>
      <c r="U18" s="29">
        <f t="shared" si="2"/>
        <v>1</v>
      </c>
      <c r="V18" s="29">
        <f t="shared" si="2"/>
        <v>1</v>
      </c>
      <c r="W18" s="29">
        <f t="shared" si="2"/>
        <v>1</v>
      </c>
      <c r="X18" s="29">
        <f t="shared" si="2"/>
        <v>1</v>
      </c>
    </row>
    <row r="19" spans="1:24">
      <c r="B19" t="s">
        <v>48</v>
      </c>
      <c r="C19" t="s">
        <v>2</v>
      </c>
      <c r="D19" s="23">
        <f>D16*8760/1000000/D18</f>
        <v>1007.4</v>
      </c>
      <c r="E19" s="23">
        <f t="shared" ref="E19:K19" si="3">E16*8760/1000000/E18</f>
        <v>1024.92</v>
      </c>
      <c r="F19" s="23">
        <f t="shared" si="3"/>
        <v>1051.2</v>
      </c>
      <c r="G19" s="23">
        <f t="shared" si="3"/>
        <v>1007.4</v>
      </c>
      <c r="H19" s="23">
        <f t="shared" si="3"/>
        <v>1124</v>
      </c>
      <c r="I19" s="23">
        <f t="shared" si="3"/>
        <v>1124</v>
      </c>
      <c r="J19" s="23">
        <f t="shared" si="3"/>
        <v>1051.2</v>
      </c>
      <c r="K19" s="23">
        <f t="shared" si="3"/>
        <v>1063.7142857142858</v>
      </c>
      <c r="L19" s="23">
        <f t="shared" ref="L19" si="4">L16*8760/1000000/L18</f>
        <v>1076.2285714285715</v>
      </c>
      <c r="M19" s="23">
        <f t="shared" ref="M19" si="5">M16*8760/1000000/M18</f>
        <v>1088.7428571428572</v>
      </c>
      <c r="N19" s="23">
        <f t="shared" ref="N19" si="6">N16*8760/1000000/N18</f>
        <v>1101.2571428571432</v>
      </c>
      <c r="O19" s="23">
        <f t="shared" ref="O19" si="7">O16*8760/1000000/O18</f>
        <v>1113.7714285714287</v>
      </c>
      <c r="P19" s="23">
        <f t="shared" ref="P19" si="8">P16*8760/1000000/P18</f>
        <v>1126.2857142857147</v>
      </c>
      <c r="Q19" s="23">
        <f t="shared" ref="Q19" si="9">Q16*8760/1000000/Q18</f>
        <v>1138.8000000000004</v>
      </c>
      <c r="R19" s="23">
        <f t="shared" ref="R19" si="10">R16*8760/1000000/R18</f>
        <v>1151.3142857142861</v>
      </c>
      <c r="S19" s="23">
        <f t="shared" ref="S19" si="11">S16*8760/1000000/S18</f>
        <v>1163.8285714285716</v>
      </c>
      <c r="T19" s="23">
        <f t="shared" ref="T19" si="12">T16*8760/1000000/T18</f>
        <v>1176.3428571428576</v>
      </c>
      <c r="U19" s="23">
        <f t="shared" ref="U19" si="13">U16*8760/1000000/U18</f>
        <v>1188.8571428571431</v>
      </c>
      <c r="V19" s="23">
        <f t="shared" ref="V19" si="14">V16*8760/1000000/V18</f>
        <v>1201.3714285714289</v>
      </c>
      <c r="W19" s="23">
        <f t="shared" ref="W19" si="15">W16*8760/1000000/W18</f>
        <v>1213.8857142857144</v>
      </c>
      <c r="X19" s="23">
        <f t="shared" ref="X19" si="16">X16*8760/1000000/X18</f>
        <v>1226.4000000000001</v>
      </c>
    </row>
    <row r="20" spans="1:24">
      <c r="B20" t="s">
        <v>51</v>
      </c>
      <c r="C20" t="s">
        <v>2</v>
      </c>
      <c r="H20" s="23">
        <v>1124</v>
      </c>
    </row>
    <row r="21" spans="1:24">
      <c r="B21" t="s">
        <v>49</v>
      </c>
    </row>
    <row r="22" spans="1:24">
      <c r="D22" s="23">
        <f>D16*8760/1000000/D18</f>
        <v>1007.4</v>
      </c>
    </row>
    <row r="24" spans="1:24">
      <c r="B24" t="s">
        <v>52</v>
      </c>
    </row>
    <row r="25" spans="1:24">
      <c r="B25" t="s">
        <v>40</v>
      </c>
    </row>
    <row r="27" spans="1:24">
      <c r="B27" t="s">
        <v>41</v>
      </c>
      <c r="E27" t="s">
        <v>42</v>
      </c>
      <c r="G27" t="s">
        <v>43</v>
      </c>
    </row>
    <row r="31" spans="1:24" s="36" customFormat="1">
      <c r="A31" s="36" t="s">
        <v>54</v>
      </c>
      <c r="E31" s="53">
        <v>45517</v>
      </c>
    </row>
    <row r="32" spans="1:24">
      <c r="B32" t="s">
        <v>55</v>
      </c>
    </row>
    <row r="33" spans="2:2">
      <c r="B33" t="s">
        <v>56</v>
      </c>
    </row>
    <row r="62" spans="1:1" s="36" customFormat="1">
      <c r="A62" s="36" t="s">
        <v>64</v>
      </c>
    </row>
    <row r="64" spans="1:1">
      <c r="A64" s="15" t="s">
        <v>31</v>
      </c>
    </row>
    <row r="65" spans="1:41" ht="14.5" thickBot="1">
      <c r="A65" s="15" t="s">
        <v>11</v>
      </c>
      <c r="B65" s="17" t="s">
        <v>32</v>
      </c>
    </row>
    <row r="66" spans="1:41">
      <c r="A66" s="2" t="s">
        <v>16</v>
      </c>
      <c r="B66" s="3"/>
      <c r="C66" s="4">
        <f>Summary!C7</f>
        <v>2017</v>
      </c>
      <c r="D66" s="4">
        <f>Summary!D7</f>
        <v>2018</v>
      </c>
      <c r="E66" s="4">
        <f>Summary!E7</f>
        <v>2019</v>
      </c>
      <c r="F66" s="4">
        <f>Summary!F7</f>
        <v>2020</v>
      </c>
      <c r="G66" s="4">
        <f>Summary!G7</f>
        <v>2021</v>
      </c>
      <c r="H66" s="4">
        <f>Summary!H7</f>
        <v>2022</v>
      </c>
      <c r="I66" s="4">
        <f>Summary!I7</f>
        <v>2023</v>
      </c>
      <c r="J66" s="4">
        <f>Summary!J7</f>
        <v>2024</v>
      </c>
      <c r="K66" s="4" t="str">
        <f>Summary!K7 &amp; "F"</f>
        <v>2025F</v>
      </c>
      <c r="L66" s="4" t="str">
        <f>Summary!L7 &amp; "F"</f>
        <v>2026F</v>
      </c>
      <c r="M66" s="4" t="str">
        <f>Summary!M7 &amp; "F"</f>
        <v>2027F</v>
      </c>
      <c r="N66" s="4" t="str">
        <f>Summary!N7 &amp; "F"</f>
        <v>2028F</v>
      </c>
      <c r="O66" s="4" t="str">
        <f>Summary!O7 &amp; "F"</f>
        <v>2029F</v>
      </c>
      <c r="P66" s="4" t="str">
        <f>Summary!P7 &amp; "F"</f>
        <v>2030F</v>
      </c>
      <c r="Q66" s="4" t="str">
        <f>Summary!Q7 &amp; "F"</f>
        <v>2031F</v>
      </c>
      <c r="R66" s="4" t="str">
        <f>Summary!R7 &amp; "F"</f>
        <v>2032F</v>
      </c>
      <c r="S66" s="4" t="str">
        <f>Summary!S7 &amp; "F"</f>
        <v>2033F</v>
      </c>
      <c r="T66" s="4" t="str">
        <f>Summary!T7 &amp; "F"</f>
        <v>2034F</v>
      </c>
      <c r="U66" s="4">
        <v>2035</v>
      </c>
      <c r="V66" s="4">
        <f>U66+1</f>
        <v>2036</v>
      </c>
      <c r="W66" s="4">
        <f t="shared" ref="W66:Z66" si="17">V66+1</f>
        <v>2037</v>
      </c>
      <c r="X66" s="4">
        <f t="shared" si="17"/>
        <v>2038</v>
      </c>
      <c r="Y66" s="4">
        <f t="shared" si="17"/>
        <v>2039</v>
      </c>
      <c r="Z66" s="4">
        <f t="shared" si="17"/>
        <v>2040</v>
      </c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5"/>
    </row>
    <row r="67" spans="1:41">
      <c r="A67" s="15" t="s">
        <v>33</v>
      </c>
      <c r="C67" s="19">
        <v>49880</v>
      </c>
      <c r="D67" s="19">
        <v>48739</v>
      </c>
      <c r="E67" s="19">
        <v>48764</v>
      </c>
      <c r="F67" s="19">
        <v>47860</v>
      </c>
      <c r="G67" s="19">
        <v>47421.236024757003</v>
      </c>
      <c r="H67" s="19">
        <v>47405.247523841506</v>
      </c>
      <c r="I67" s="19">
        <v>46214.124685681003</v>
      </c>
      <c r="J67" s="19">
        <v>47476.542398212994</v>
      </c>
      <c r="K67" s="24">
        <v>46697.0005409</v>
      </c>
      <c r="L67" s="24">
        <v>48031.669074399993</v>
      </c>
      <c r="M67" s="24">
        <v>48883.464490999992</v>
      </c>
      <c r="N67" s="24">
        <v>50217.170546299996</v>
      </c>
      <c r="O67" s="24">
        <v>52000.033248800006</v>
      </c>
      <c r="P67" s="24">
        <v>53785.257560399994</v>
      </c>
      <c r="Q67" s="24">
        <v>57649.94219329999</v>
      </c>
      <c r="R67" s="24">
        <v>60434.264542300007</v>
      </c>
      <c r="S67" s="24">
        <v>60436.718773699999</v>
      </c>
      <c r="T67" s="24">
        <v>60515.940695199992</v>
      </c>
    </row>
    <row r="68" spans="1:41">
      <c r="A68" s="26" t="s">
        <v>37</v>
      </c>
      <c r="R68">
        <v>901</v>
      </c>
      <c r="S68">
        <v>901</v>
      </c>
      <c r="T68">
        <v>901</v>
      </c>
    </row>
    <row r="69" spans="1:41">
      <c r="A69" s="15" t="s">
        <v>34</v>
      </c>
      <c r="K69" s="24">
        <v>46812.137749999994</v>
      </c>
      <c r="L69" s="24">
        <v>47377.060500000007</v>
      </c>
      <c r="M69" s="24">
        <v>47946.460500000001</v>
      </c>
      <c r="N69" s="24">
        <v>48377.860500000003</v>
      </c>
      <c r="O69" s="24">
        <v>48936.960500000008</v>
      </c>
      <c r="P69" s="24">
        <v>50780.260500000004</v>
      </c>
      <c r="Q69" s="24">
        <v>52588.760500000004</v>
      </c>
      <c r="R69" s="24">
        <v>55240.5605</v>
      </c>
      <c r="S69" s="24">
        <v>58118.960500000008</v>
      </c>
      <c r="T69" s="24">
        <v>59695.460500000008</v>
      </c>
    </row>
    <row r="70" spans="1:41">
      <c r="A70" s="26" t="s">
        <v>35</v>
      </c>
      <c r="K70" s="25">
        <f t="shared" ref="K70:T70" si="18">K69/K67-1</f>
        <v>2.4656232256106136E-3</v>
      </c>
      <c r="L70" s="25">
        <f t="shared" si="18"/>
        <v>-1.3628686802159895E-2</v>
      </c>
      <c r="M70" s="25">
        <f t="shared" si="18"/>
        <v>-1.9168117496510595E-2</v>
      </c>
      <c r="N70" s="25">
        <f t="shared" si="18"/>
        <v>-3.6627114317485443E-2</v>
      </c>
      <c r="O70" s="25">
        <f t="shared" si="18"/>
        <v>-5.8905207505241086E-2</v>
      </c>
      <c r="P70" s="25">
        <f t="shared" si="18"/>
        <v>-5.587027369024733E-2</v>
      </c>
      <c r="Q70" s="25">
        <f t="shared" si="18"/>
        <v>-8.7791617835970559E-2</v>
      </c>
      <c r="R70" s="25">
        <f t="shared" si="18"/>
        <v>-8.5939724453248822E-2</v>
      </c>
      <c r="S70" s="25">
        <f t="shared" si="18"/>
        <v>-3.8350167261373524E-2</v>
      </c>
      <c r="T70" s="25">
        <f t="shared" si="18"/>
        <v>-1.3558083800307874E-2</v>
      </c>
    </row>
    <row r="71" spans="1:41">
      <c r="A71" s="26" t="s">
        <v>36</v>
      </c>
      <c r="K71" s="25">
        <f>K69/Summary!K17-1</f>
        <v>-7.1423461979604808E-2</v>
      </c>
      <c r="L71" s="25">
        <f>L69/Summary!L17-1</f>
        <v>-7.6513840399402122E-2</v>
      </c>
      <c r="M71" s="25">
        <f>M69/Summary!M17-1</f>
        <v>-8.3060568815346736E-2</v>
      </c>
      <c r="N71" s="25">
        <f>N69/Summary!N17-1</f>
        <v>-8.5399356082887734E-2</v>
      </c>
      <c r="O71" s="25">
        <f>O69/Summary!O17-1</f>
        <v>-8.7613075453695677E-2</v>
      </c>
      <c r="P71" s="25">
        <f>P69/Summary!P17-1</f>
        <v>-8.1446370951517744E-2</v>
      </c>
      <c r="Q71" s="25">
        <f>Q69/Summary!Q17-1</f>
        <v>-7.8882406505508929E-2</v>
      </c>
      <c r="R71" s="25">
        <f>R69/Summary!R17-1</f>
        <v>-6.9624773125450901E-2</v>
      </c>
      <c r="S71" s="25">
        <f>S69/Summary!S17-1</f>
        <v>-6.7253419170928419E-2</v>
      </c>
      <c r="T71" s="25">
        <f>T69/Summary!T17-1</f>
        <v>-6.80911360541262E-2</v>
      </c>
    </row>
    <row r="72" spans="1:41">
      <c r="S72" s="27"/>
    </row>
    <row r="73" spans="1:41" s="36" customFormat="1">
      <c r="A73" s="36" t="s">
        <v>66</v>
      </c>
    </row>
    <row r="76" spans="1:41">
      <c r="A76" t="s">
        <v>67</v>
      </c>
    </row>
    <row r="78" spans="1:41">
      <c r="A78" t="s">
        <v>68</v>
      </c>
    </row>
    <row r="82" spans="2:26">
      <c r="B82" t="s">
        <v>69</v>
      </c>
      <c r="G82" s="61">
        <v>21345.7</v>
      </c>
      <c r="H82" s="61">
        <v>22485.609999999993</v>
      </c>
      <c r="I82" s="61">
        <v>24023.139999999996</v>
      </c>
      <c r="J82" s="61">
        <v>25954.790000000005</v>
      </c>
      <c r="K82" s="61">
        <v>28056.430000000004</v>
      </c>
      <c r="L82" s="61">
        <v>30399.339999999997</v>
      </c>
      <c r="M82" s="61">
        <v>33552.650000000009</v>
      </c>
      <c r="N82" s="61">
        <v>34887.410000000003</v>
      </c>
      <c r="O82" s="61">
        <v>35750.010000000009</v>
      </c>
      <c r="P82" s="61">
        <v>36450.529999999984</v>
      </c>
      <c r="Q82" s="61">
        <v>37679.160000000003</v>
      </c>
      <c r="R82" s="61">
        <v>38719.62000000001</v>
      </c>
      <c r="S82" s="61">
        <v>39453.329999999994</v>
      </c>
      <c r="T82" s="61">
        <v>40362.760000000017</v>
      </c>
      <c r="U82" s="61">
        <v>41201.14</v>
      </c>
      <c r="V82" s="61">
        <v>42472.48000000001</v>
      </c>
      <c r="W82" s="61">
        <v>43109.98</v>
      </c>
      <c r="X82" s="61">
        <v>44401.670000000013</v>
      </c>
      <c r="Y82" s="61">
        <v>45390.520000000004</v>
      </c>
      <c r="Z82" s="61">
        <v>46876.330000000016</v>
      </c>
    </row>
    <row r="84" spans="2:26">
      <c r="B84" t="s">
        <v>70</v>
      </c>
      <c r="G84">
        <f>Summary!G28</f>
        <v>18558.214072789011</v>
      </c>
      <c r="H84">
        <f>Summary!H28</f>
        <v>19340.245882417999</v>
      </c>
      <c r="I84">
        <f>Summary!I28</f>
        <v>18934.792746488012</v>
      </c>
      <c r="J84">
        <f>Summary!J28</f>
        <v>19931.189999999999</v>
      </c>
      <c r="K84">
        <f>Summary!K28</f>
        <v>20616.53</v>
      </c>
      <c r="L84">
        <f>Summary!L28</f>
        <v>21158.89</v>
      </c>
      <c r="M84">
        <f>Summary!M28</f>
        <v>21830.34</v>
      </c>
      <c r="N84">
        <f>Summary!N28</f>
        <v>22547.21</v>
      </c>
      <c r="O84">
        <f>Summary!O28</f>
        <v>23649.4</v>
      </c>
      <c r="P84">
        <f>Summary!P28</f>
        <v>25620.2</v>
      </c>
      <c r="Q84">
        <f>Summary!Q28</f>
        <v>28010.49</v>
      </c>
      <c r="R84">
        <f>Summary!R28</f>
        <v>30055.15</v>
      </c>
      <c r="S84">
        <f>Summary!S28</f>
        <v>32111.200000000001</v>
      </c>
      <c r="T84">
        <f>Summary!T28</f>
        <v>34241.82</v>
      </c>
      <c r="U84">
        <f>Summary!U28</f>
        <v>35208.970028578573</v>
      </c>
      <c r="V84">
        <f>Summary!V28</f>
        <v>36203.436922258923</v>
      </c>
      <c r="W84">
        <f>Summary!W28</f>
        <v>37225.992237776765</v>
      </c>
      <c r="X84">
        <f>Summary!X28</f>
        <v>38277.429324258483</v>
      </c>
      <c r="Y84">
        <f>Summary!Y28</f>
        <v>39358.563938740735</v>
      </c>
      <c r="Z84">
        <f>Summary!Z28</f>
        <v>40470.234879075229</v>
      </c>
    </row>
    <row r="85" spans="2:26">
      <c r="H85" s="69">
        <f>H84/G84-1</f>
        <v>4.2139389413318851E-2</v>
      </c>
      <c r="I85" s="69">
        <f t="shared" ref="I85:Z85" si="19">I84/H84-1</f>
        <v>-2.0964218262528922E-2</v>
      </c>
      <c r="J85" s="69">
        <f t="shared" si="19"/>
        <v>5.2622559267082369E-2</v>
      </c>
      <c r="K85" s="69">
        <f t="shared" si="19"/>
        <v>3.4385302633711312E-2</v>
      </c>
      <c r="L85" s="69">
        <f t="shared" si="19"/>
        <v>2.6307045851071909E-2</v>
      </c>
      <c r="M85" s="69">
        <f t="shared" si="19"/>
        <v>3.1733706257747851E-2</v>
      </c>
      <c r="N85" s="69">
        <f t="shared" si="19"/>
        <v>3.2838242556002317E-2</v>
      </c>
      <c r="O85" s="69">
        <f t="shared" si="19"/>
        <v>4.8883653454241172E-2</v>
      </c>
      <c r="P85" s="69">
        <f t="shared" si="19"/>
        <v>8.333403807284756E-2</v>
      </c>
      <c r="Q85" s="69">
        <f t="shared" si="19"/>
        <v>9.3297085893162546E-2</v>
      </c>
      <c r="R85" s="69">
        <f t="shared" si="19"/>
        <v>7.29962239146833E-2</v>
      </c>
      <c r="S85" s="69">
        <f t="shared" si="19"/>
        <v>6.8409241011939681E-2</v>
      </c>
      <c r="T85" s="69">
        <f t="shared" si="19"/>
        <v>6.6351304217842966E-2</v>
      </c>
      <c r="U85" s="69">
        <f t="shared" si="19"/>
        <v>2.8244702780943598E-2</v>
      </c>
      <c r="V85" s="69">
        <f t="shared" si="19"/>
        <v>2.8244702780943598E-2</v>
      </c>
      <c r="W85" s="69">
        <f t="shared" si="19"/>
        <v>2.8244702780943598E-2</v>
      </c>
      <c r="X85" s="69">
        <f t="shared" si="19"/>
        <v>2.8244702780943598E-2</v>
      </c>
      <c r="Y85" s="69">
        <f t="shared" si="19"/>
        <v>2.8244702780943598E-2</v>
      </c>
      <c r="Z85" s="69">
        <f t="shared" si="19"/>
        <v>2.8244702780943598E-2</v>
      </c>
    </row>
  </sheetData>
  <hyperlinks>
    <hyperlink ref="B65" r:id="rId1" xr:uid="{3FDE8B65-B898-4853-AC8C-3DD45F6B7430}"/>
  </hyperlinks>
  <pageMargins left="0.7" right="0.7" top="0.75" bottom="0.75" header="0.3" footer="0.3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Ablaza, Jose</dc:creator>
  <cp:lastModifiedBy>Dominic Jones</cp:lastModifiedBy>
  <dcterms:created xsi:type="dcterms:W3CDTF">2022-10-17T06:24:50Z</dcterms:created>
  <dcterms:modified xsi:type="dcterms:W3CDTF">2025-05-23T04:10:13Z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c029f1-7b6e-4e10-8282-fc5331153e31_Enabled">
    <vt:lpwstr>true</vt:lpwstr>
  </property>
  <property fmtid="{D5CDD505-2E9C-101B-9397-08002B2CF9AE}" pid="3" name="MSIP_Label_fbc029f1-7b6e-4e10-8282-fc5331153e31_SetDate">
    <vt:lpwstr>2025-05-16T01:33:43Z</vt:lpwstr>
  </property>
  <property fmtid="{D5CDD505-2E9C-101B-9397-08002B2CF9AE}" pid="4" name="MSIP_Label_fbc029f1-7b6e-4e10-8282-fc5331153e31_Method">
    <vt:lpwstr>Privileged</vt:lpwstr>
  </property>
  <property fmtid="{D5CDD505-2E9C-101B-9397-08002B2CF9AE}" pid="5" name="MSIP_Label_fbc029f1-7b6e-4e10-8282-fc5331153e31_Name">
    <vt:lpwstr>fbc029f1-7b6e-4e10-8282-fc5331153e31</vt:lpwstr>
  </property>
  <property fmtid="{D5CDD505-2E9C-101B-9397-08002B2CF9AE}" pid="6" name="MSIP_Label_fbc029f1-7b6e-4e10-8282-fc5331153e31_SiteId">
    <vt:lpwstr>37247798-f42c-42fd-8a37-d49c7128d36b</vt:lpwstr>
  </property>
  <property fmtid="{D5CDD505-2E9C-101B-9397-08002B2CF9AE}" pid="7" name="MSIP_Label_fbc029f1-7b6e-4e10-8282-fc5331153e31_ActionId">
    <vt:lpwstr>88fa2d3e-79c6-4bd8-a0c7-998e3c8764d4</vt:lpwstr>
  </property>
  <property fmtid="{D5CDD505-2E9C-101B-9397-08002B2CF9AE}" pid="8" name="MSIP_Label_fbc029f1-7b6e-4e10-8282-fc5331153e31_ContentBits">
    <vt:lpwstr>0</vt:lpwstr>
  </property>
</Properties>
</file>