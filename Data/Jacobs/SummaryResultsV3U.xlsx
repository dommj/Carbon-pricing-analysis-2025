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Jacobs/"/>
    </mc:Choice>
  </mc:AlternateContent>
  <xr:revisionPtr revIDLastSave="2" documentId="13_ncr:1_{BCDDEA6D-405B-4449-8558-5647CBD2FF28}" xr6:coauthVersionLast="47" xr6:coauthVersionMax="47" xr10:uidLastSave="{A9633E78-C3D1-453A-ACF9-DD2B15CB76F7}"/>
  <bookViews>
    <workbookView xWindow="28680" yWindow="-120" windowWidth="29040" windowHeight="15840" activeTab="3" xr2:uid="{8DE268AB-E79B-4988-AC24-1187A77948EE}"/>
  </bookViews>
  <sheets>
    <sheet name="Emissions" sheetId="1" r:id="rId1"/>
    <sheet name="CoalCapacity" sheetId="2" r:id="rId2"/>
    <sheet name="REBuild" sheetId="3" r:id="rId3"/>
    <sheet name="ResourceCosts" sheetId="4" r:id="rId4"/>
    <sheet name="Pric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4" l="1"/>
  <c r="Z20" i="4"/>
  <c r="X20" i="4"/>
  <c r="W20" i="4"/>
  <c r="V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B28" i="4"/>
  <c r="T20" i="4" l="1"/>
  <c r="B29" i="4"/>
  <c r="D29" i="4" s="1"/>
  <c r="Y20" i="4"/>
  <c r="AB10" i="4"/>
  <c r="B20" i="4"/>
  <c r="U20" i="4"/>
  <c r="AB9" i="4"/>
  <c r="C20" i="4"/>
  <c r="AC10" i="4" l="1"/>
  <c r="AD10" i="4" s="1"/>
  <c r="AA20" i="3"/>
  <c r="Z20" i="3"/>
  <c r="Y20" i="3"/>
  <c r="X20" i="3"/>
  <c r="W20" i="3"/>
  <c r="S20" i="3"/>
  <c r="R20" i="3"/>
  <c r="Q20" i="3"/>
  <c r="O20" i="3"/>
  <c r="N20" i="3"/>
  <c r="M20" i="3"/>
  <c r="L20" i="3"/>
  <c r="K20" i="3"/>
  <c r="J20" i="3"/>
  <c r="G20" i="3"/>
  <c r="F20" i="3"/>
  <c r="E20" i="3"/>
  <c r="B20" i="3"/>
  <c r="Z20" i="2"/>
  <c r="Y20" i="2"/>
  <c r="X20" i="2"/>
  <c r="P20" i="2"/>
  <c r="N20" i="2"/>
  <c r="M20" i="2"/>
  <c r="L20" i="2"/>
  <c r="D20" i="2"/>
  <c r="B20" i="2"/>
  <c r="AA20" i="2"/>
  <c r="W20" i="2"/>
  <c r="V20" i="2"/>
  <c r="U20" i="2"/>
  <c r="T20" i="2"/>
  <c r="S20" i="2"/>
  <c r="R20" i="2"/>
  <c r="Q20" i="2"/>
  <c r="O20" i="2"/>
  <c r="K20" i="2"/>
  <c r="J20" i="2"/>
  <c r="I20" i="2"/>
  <c r="H20" i="2"/>
  <c r="G20" i="2"/>
  <c r="F20" i="2"/>
  <c r="E20" i="2"/>
  <c r="C20" i="2"/>
  <c r="C20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Z18" i="1"/>
  <c r="N18" i="1"/>
  <c r="C18" i="1"/>
  <c r="AA20" i="1"/>
  <c r="Z20" i="1"/>
  <c r="Y20" i="1"/>
  <c r="X20" i="1"/>
  <c r="W18" i="1"/>
  <c r="V18" i="1"/>
  <c r="U20" i="1"/>
  <c r="T18" i="1"/>
  <c r="S20" i="1"/>
  <c r="R20" i="1"/>
  <c r="Q20" i="1"/>
  <c r="P20" i="1"/>
  <c r="O20" i="1"/>
  <c r="N20" i="1"/>
  <c r="M20" i="1"/>
  <c r="L18" i="1"/>
  <c r="K18" i="1"/>
  <c r="J18" i="1"/>
  <c r="I20" i="1"/>
  <c r="H18" i="1"/>
  <c r="G20" i="1"/>
  <c r="F20" i="1"/>
  <c r="E20" i="1"/>
  <c r="D20" i="1"/>
  <c r="H20" i="1" l="1"/>
  <c r="J20" i="1"/>
  <c r="V20" i="3"/>
  <c r="V20" i="1"/>
  <c r="C20" i="3"/>
  <c r="K20" i="1"/>
  <c r="L20" i="1"/>
  <c r="M18" i="1"/>
  <c r="T20" i="1"/>
  <c r="W20" i="1"/>
  <c r="X18" i="1"/>
  <c r="Y18" i="1"/>
  <c r="O18" i="1"/>
  <c r="AA18" i="1"/>
  <c r="D18" i="1"/>
  <c r="P18" i="1"/>
  <c r="E18" i="1"/>
  <c r="Q18" i="1"/>
  <c r="F18" i="1"/>
  <c r="R18" i="1"/>
  <c r="G18" i="1"/>
  <c r="S18" i="1"/>
  <c r="I18" i="1"/>
  <c r="U18" i="1"/>
  <c r="P20" i="3"/>
  <c r="D20" i="3"/>
  <c r="I20" i="3"/>
  <c r="U20" i="3"/>
  <c r="H20" i="3"/>
  <c r="T20" i="3"/>
  <c r="Z19" i="5" l="1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Z10" i="5" l="1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W16" i="3"/>
  <c r="V16" i="3"/>
  <c r="U16" i="3"/>
  <c r="T16" i="3"/>
  <c r="K16" i="3"/>
  <c r="J16" i="3"/>
  <c r="I16" i="3"/>
  <c r="H16" i="3"/>
  <c r="S15" i="2"/>
  <c r="G15" i="2"/>
  <c r="Y16" i="2"/>
  <c r="V16" i="2"/>
  <c r="U16" i="2"/>
  <c r="T16" i="2"/>
  <c r="Q16" i="2"/>
  <c r="P16" i="2"/>
  <c r="M16" i="2"/>
  <c r="J16" i="2"/>
  <c r="I16" i="2"/>
  <c r="H16" i="2"/>
  <c r="E16" i="2"/>
  <c r="W16" i="1"/>
  <c r="O16" i="1"/>
  <c r="K16" i="1"/>
  <c r="F16" i="1"/>
  <c r="X19" i="2" l="1"/>
  <c r="X18" i="2"/>
  <c r="M18" i="2"/>
  <c r="M19" i="2"/>
  <c r="Y18" i="2"/>
  <c r="Y19" i="2"/>
  <c r="J15" i="2"/>
  <c r="J19" i="2"/>
  <c r="J18" i="2"/>
  <c r="B19" i="2"/>
  <c r="B18" i="2"/>
  <c r="N15" i="2"/>
  <c r="N18" i="2"/>
  <c r="N19" i="2"/>
  <c r="Z15" i="2"/>
  <c r="Z18" i="2"/>
  <c r="Z19" i="2"/>
  <c r="C19" i="2"/>
  <c r="C18" i="2"/>
  <c r="O15" i="2"/>
  <c r="O19" i="2"/>
  <c r="O18" i="2"/>
  <c r="AA19" i="2"/>
  <c r="AA18" i="2"/>
  <c r="N16" i="2"/>
  <c r="H19" i="2"/>
  <c r="H18" i="2"/>
  <c r="V15" i="2"/>
  <c r="V19" i="2"/>
  <c r="V18" i="2"/>
  <c r="L19" i="2"/>
  <c r="L18" i="2"/>
  <c r="D15" i="2"/>
  <c r="D18" i="2"/>
  <c r="D19" i="2"/>
  <c r="P15" i="2"/>
  <c r="P18" i="2"/>
  <c r="P19" i="2"/>
  <c r="C16" i="2"/>
  <c r="O16" i="2"/>
  <c r="AA16" i="2"/>
  <c r="U15" i="2"/>
  <c r="U19" i="2"/>
  <c r="U18" i="2"/>
  <c r="E15" i="2"/>
  <c r="E19" i="2"/>
  <c r="E18" i="2"/>
  <c r="Q15" i="2"/>
  <c r="Q19" i="2"/>
  <c r="Q18" i="2"/>
  <c r="K19" i="2"/>
  <c r="K18" i="2"/>
  <c r="F19" i="2"/>
  <c r="F18" i="2"/>
  <c r="R19" i="2"/>
  <c r="R18" i="2"/>
  <c r="T19" i="2"/>
  <c r="T18" i="2"/>
  <c r="I15" i="2"/>
  <c r="I19" i="2"/>
  <c r="I18" i="2"/>
  <c r="W19" i="2"/>
  <c r="W18" i="2"/>
  <c r="G19" i="2"/>
  <c r="G18" i="2"/>
  <c r="S19" i="2"/>
  <c r="S18" i="2"/>
  <c r="C16" i="1"/>
  <c r="D16" i="1"/>
  <c r="B19" i="3"/>
  <c r="B18" i="3"/>
  <c r="C18" i="3"/>
  <c r="C19" i="3"/>
  <c r="D18" i="3"/>
  <c r="D19" i="3"/>
  <c r="E15" i="3"/>
  <c r="E18" i="3"/>
  <c r="E19" i="3"/>
  <c r="F15" i="3"/>
  <c r="F19" i="3"/>
  <c r="F18" i="3"/>
  <c r="R19" i="3"/>
  <c r="R18" i="3"/>
  <c r="G19" i="3"/>
  <c r="G18" i="3"/>
  <c r="S18" i="3"/>
  <c r="S19" i="3"/>
  <c r="H19" i="3"/>
  <c r="H18" i="3"/>
  <c r="I15" i="3"/>
  <c r="I19" i="3"/>
  <c r="I18" i="3"/>
  <c r="J19" i="3"/>
  <c r="J18" i="3"/>
  <c r="K19" i="3"/>
  <c r="K18" i="3"/>
  <c r="W19" i="3"/>
  <c r="W18" i="3"/>
  <c r="Z19" i="3"/>
  <c r="Z18" i="3"/>
  <c r="AA18" i="3"/>
  <c r="AA19" i="3"/>
  <c r="T19" i="3"/>
  <c r="T18" i="3"/>
  <c r="U15" i="3"/>
  <c r="U19" i="3"/>
  <c r="U18" i="3"/>
  <c r="L19" i="3"/>
  <c r="L18" i="3"/>
  <c r="X19" i="3"/>
  <c r="X18" i="3"/>
  <c r="N19" i="3"/>
  <c r="N18" i="3"/>
  <c r="O18" i="3"/>
  <c r="O19" i="3"/>
  <c r="P18" i="3"/>
  <c r="P19" i="3"/>
  <c r="Q15" i="3"/>
  <c r="Q19" i="3"/>
  <c r="Q18" i="3"/>
  <c r="V19" i="3"/>
  <c r="V18" i="3"/>
  <c r="M19" i="3"/>
  <c r="M18" i="3"/>
  <c r="Y19" i="3"/>
  <c r="Y18" i="3"/>
  <c r="R15" i="3"/>
  <c r="S15" i="3"/>
  <c r="C16" i="3"/>
  <c r="O16" i="3"/>
  <c r="D16" i="3"/>
  <c r="P16" i="3"/>
  <c r="L16" i="3"/>
  <c r="X16" i="3"/>
  <c r="L15" i="3"/>
  <c r="X15" i="3"/>
  <c r="B16" i="2"/>
  <c r="M15" i="2"/>
  <c r="Y15" i="2"/>
  <c r="L16" i="2"/>
  <c r="X16" i="2"/>
  <c r="J15" i="3"/>
  <c r="V15" i="3"/>
  <c r="H16" i="1"/>
  <c r="T16" i="1"/>
  <c r="C15" i="2"/>
  <c r="AA15" i="2"/>
  <c r="Z16" i="2"/>
  <c r="K15" i="3"/>
  <c r="W15" i="3"/>
  <c r="G15" i="3"/>
  <c r="D16" i="2"/>
  <c r="Q16" i="3"/>
  <c r="F16" i="3"/>
  <c r="R16" i="3"/>
  <c r="C15" i="3"/>
  <c r="O15" i="3"/>
  <c r="AA15" i="3"/>
  <c r="AA16" i="3"/>
  <c r="E16" i="3"/>
  <c r="H15" i="2"/>
  <c r="T15" i="2"/>
  <c r="G16" i="2"/>
  <c r="S16" i="2"/>
  <c r="F16" i="2"/>
  <c r="R16" i="2"/>
  <c r="D15" i="3"/>
  <c r="P15" i="3"/>
  <c r="P16" i="1"/>
  <c r="R16" i="1"/>
  <c r="AA16" i="1"/>
  <c r="I16" i="1"/>
  <c r="U16" i="1"/>
  <c r="G16" i="1"/>
  <c r="S16" i="1"/>
  <c r="M16" i="1"/>
  <c r="Y16" i="1"/>
  <c r="L16" i="1"/>
  <c r="E16" i="1"/>
  <c r="Q16" i="1"/>
  <c r="N16" i="1"/>
  <c r="Z16" i="1"/>
  <c r="K15" i="2"/>
  <c r="W15" i="2"/>
  <c r="B15" i="2"/>
  <c r="L15" i="2"/>
  <c r="X15" i="2"/>
  <c r="K16" i="2"/>
  <c r="W16" i="2"/>
  <c r="R15" i="2"/>
  <c r="M16" i="3"/>
  <c r="Y16" i="3"/>
  <c r="H15" i="3"/>
  <c r="T15" i="3"/>
  <c r="S16" i="3"/>
  <c r="N16" i="3"/>
  <c r="Z16" i="3"/>
  <c r="X16" i="1"/>
  <c r="G16" i="3"/>
  <c r="J16" i="1"/>
  <c r="V16" i="1"/>
  <c r="F15" i="2"/>
  <c r="B16" i="3"/>
  <c r="M15" i="3"/>
  <c r="Y15" i="3"/>
  <c r="B15" i="3"/>
  <c r="N15" i="3"/>
  <c r="Z15" i="3"/>
  <c r="B14" i="3"/>
  <c r="B14" i="2"/>
  <c r="Z16" i="4"/>
  <c r="Y16" i="4"/>
  <c r="T16" i="4"/>
  <c r="R16" i="4"/>
  <c r="P16" i="4"/>
  <c r="O16" i="4"/>
  <c r="N16" i="4"/>
  <c r="K16" i="4"/>
  <c r="F16" i="4"/>
  <c r="E16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T14" i="1"/>
  <c r="X14" i="1"/>
  <c r="V14" i="1"/>
  <c r="U14" i="1"/>
  <c r="T15" i="1"/>
  <c r="S14" i="1"/>
  <c r="R14" i="1"/>
  <c r="L14" i="1"/>
  <c r="J14" i="1"/>
  <c r="I14" i="1"/>
  <c r="H14" i="1"/>
  <c r="G14" i="1"/>
  <c r="F14" i="1"/>
  <c r="B18" i="1" l="1"/>
  <c r="AC18" i="1" s="1"/>
  <c r="V16" i="4"/>
  <c r="N19" i="4"/>
  <c r="N18" i="4"/>
  <c r="O19" i="4"/>
  <c r="O18" i="4"/>
  <c r="D18" i="4"/>
  <c r="D19" i="4"/>
  <c r="E19" i="4"/>
  <c r="E18" i="4"/>
  <c r="Q14" i="4"/>
  <c r="Q19" i="4"/>
  <c r="Q18" i="4"/>
  <c r="C18" i="4"/>
  <c r="C19" i="4"/>
  <c r="R19" i="4"/>
  <c r="R18" i="4"/>
  <c r="U16" i="4"/>
  <c r="V14" i="4"/>
  <c r="V18" i="4"/>
  <c r="V19" i="4"/>
  <c r="Z15" i="4"/>
  <c r="Z19" i="4"/>
  <c r="Z18" i="4"/>
  <c r="P19" i="4"/>
  <c r="P18" i="4"/>
  <c r="F19" i="4"/>
  <c r="F18" i="4"/>
  <c r="G19" i="4"/>
  <c r="G18" i="4"/>
  <c r="S18" i="4"/>
  <c r="S19" i="4"/>
  <c r="T19" i="4"/>
  <c r="T18" i="4"/>
  <c r="U19" i="4"/>
  <c r="U18" i="4"/>
  <c r="W16" i="4"/>
  <c r="X14" i="4"/>
  <c r="X19" i="4"/>
  <c r="X18" i="4"/>
  <c r="H19" i="4"/>
  <c r="H18" i="4"/>
  <c r="I15" i="4"/>
  <c r="I19" i="4"/>
  <c r="I18" i="4"/>
  <c r="J15" i="4"/>
  <c r="J19" i="4"/>
  <c r="J18" i="4"/>
  <c r="K15" i="4"/>
  <c r="K19" i="4"/>
  <c r="K18" i="4"/>
  <c r="W15" i="4"/>
  <c r="W19" i="4"/>
  <c r="W18" i="4"/>
  <c r="B19" i="4"/>
  <c r="B18" i="4"/>
  <c r="L18" i="4"/>
  <c r="L19" i="4"/>
  <c r="M14" i="4"/>
  <c r="M19" i="4"/>
  <c r="M18" i="4"/>
  <c r="Y19" i="4"/>
  <c r="Y18" i="4"/>
  <c r="N14" i="4"/>
  <c r="J16" i="4"/>
  <c r="V15" i="4"/>
  <c r="R14" i="4"/>
  <c r="G14" i="4"/>
  <c r="Y14" i="4"/>
  <c r="B10" i="1"/>
  <c r="B19" i="1" s="1"/>
  <c r="AC19" i="1" s="1"/>
  <c r="B9" i="1"/>
  <c r="H15" i="4"/>
  <c r="H16" i="4"/>
  <c r="I14" i="4"/>
  <c r="J14" i="4"/>
  <c r="E14" i="4"/>
  <c r="H14" i="4"/>
  <c r="X16" i="4"/>
  <c r="U14" i="4"/>
  <c r="I16" i="4"/>
  <c r="U15" i="4"/>
  <c r="F15" i="1"/>
  <c r="H15" i="1"/>
  <c r="S15" i="1"/>
  <c r="R15" i="1"/>
  <c r="G15" i="1"/>
  <c r="V15" i="1"/>
  <c r="J15" i="1"/>
  <c r="M16" i="4"/>
  <c r="W14" i="1"/>
  <c r="W15" i="1"/>
  <c r="L16" i="4"/>
  <c r="AB7" i="4"/>
  <c r="N14" i="1"/>
  <c r="N15" i="1"/>
  <c r="O14" i="4"/>
  <c r="Q14" i="1"/>
  <c r="Q15" i="1"/>
  <c r="K14" i="1"/>
  <c r="K15" i="1"/>
  <c r="C14" i="1"/>
  <c r="C15" i="1"/>
  <c r="O14" i="1"/>
  <c r="O15" i="1"/>
  <c r="X15" i="1"/>
  <c r="E14" i="1"/>
  <c r="E15" i="1"/>
  <c r="AB6" i="4"/>
  <c r="Z14" i="1"/>
  <c r="Z15" i="1"/>
  <c r="C14" i="4"/>
  <c r="F14" i="4"/>
  <c r="S16" i="4"/>
  <c r="M14" i="1"/>
  <c r="M15" i="1"/>
  <c r="C16" i="4"/>
  <c r="P14" i="1"/>
  <c r="P15" i="1"/>
  <c r="U15" i="1"/>
  <c r="AB4" i="4"/>
  <c r="L15" i="4"/>
  <c r="G16" i="4"/>
  <c r="I15" i="1"/>
  <c r="L15" i="1"/>
  <c r="Y14" i="1"/>
  <c r="Y15" i="1"/>
  <c r="AA14" i="1"/>
  <c r="AA15" i="1"/>
  <c r="D14" i="1"/>
  <c r="D15" i="1"/>
  <c r="Q16" i="4"/>
  <c r="Z14" i="4"/>
  <c r="D16" i="4"/>
  <c r="S14" i="4"/>
  <c r="B23" i="4"/>
  <c r="B16" i="4"/>
  <c r="B6" i="1"/>
  <c r="B14" i="1" s="1"/>
  <c r="P14" i="4"/>
  <c r="B26" i="4"/>
  <c r="T15" i="4"/>
  <c r="T14" i="4"/>
  <c r="K14" i="4"/>
  <c r="L14" i="4"/>
  <c r="B14" i="4"/>
  <c r="D14" i="4"/>
  <c r="B15" i="4"/>
  <c r="O15" i="4"/>
  <c r="P15" i="4"/>
  <c r="E15" i="4"/>
  <c r="Q15" i="4"/>
  <c r="B25" i="4"/>
  <c r="M15" i="4"/>
  <c r="F15" i="4"/>
  <c r="R15" i="4"/>
  <c r="N15" i="4"/>
  <c r="D15" i="4"/>
  <c r="W14" i="4"/>
  <c r="G15" i="4"/>
  <c r="S15" i="4"/>
  <c r="X15" i="4"/>
  <c r="Y15" i="4"/>
  <c r="C15" i="4"/>
  <c r="AA14" i="3"/>
  <c r="Z14" i="3"/>
  <c r="X14" i="3"/>
  <c r="W14" i="3"/>
  <c r="V14" i="3"/>
  <c r="S14" i="3"/>
  <c r="R14" i="3"/>
  <c r="P14" i="3"/>
  <c r="O14" i="3"/>
  <c r="N14" i="3"/>
  <c r="M14" i="3"/>
  <c r="L14" i="3"/>
  <c r="K14" i="3"/>
  <c r="J14" i="3"/>
  <c r="I14" i="3"/>
  <c r="H14" i="3"/>
  <c r="G14" i="3"/>
  <c r="F14" i="3"/>
  <c r="D14" i="3"/>
  <c r="C14" i="3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A14" i="2"/>
  <c r="Z14" i="2"/>
  <c r="Y14" i="2"/>
  <c r="X14" i="2"/>
  <c r="V14" i="2"/>
  <c r="U14" i="2"/>
  <c r="T14" i="2"/>
  <c r="S14" i="2"/>
  <c r="R14" i="2"/>
  <c r="Q14" i="2"/>
  <c r="O14" i="2"/>
  <c r="N14" i="2"/>
  <c r="M14" i="2"/>
  <c r="L14" i="2"/>
  <c r="J14" i="2"/>
  <c r="I14" i="2"/>
  <c r="H14" i="2"/>
  <c r="G14" i="2"/>
  <c r="F14" i="2"/>
  <c r="E14" i="2"/>
  <c r="C14" i="2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B20" i="1" l="1"/>
  <c r="AC20" i="1" s="1"/>
  <c r="D26" i="4"/>
  <c r="C29" i="4"/>
  <c r="B37" i="4" s="1"/>
  <c r="C28" i="4"/>
  <c r="B36" i="4" s="1"/>
  <c r="AC14" i="1"/>
  <c r="C25" i="4"/>
  <c r="AC7" i="4"/>
  <c r="AD7" i="4" s="1"/>
  <c r="B7" i="1"/>
  <c r="B15" i="1" s="1"/>
  <c r="AC15" i="1" s="1"/>
  <c r="C26" i="4"/>
  <c r="B34" i="4" s="1"/>
  <c r="T14" i="3"/>
  <c r="U14" i="3"/>
  <c r="Y14" i="3"/>
  <c r="E14" i="3"/>
  <c r="Q14" i="3"/>
  <c r="D14" i="2"/>
  <c r="P14" i="2"/>
  <c r="K14" i="2"/>
  <c r="W14" i="2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B16" i="1" l="1"/>
  <c r="AC16" i="1" s="1"/>
</calcChain>
</file>

<file path=xl/sharedStrings.xml><?xml version="1.0" encoding="utf-8"?>
<sst xmlns="http://schemas.openxmlformats.org/spreadsheetml/2006/main" count="124" uniqueCount="30">
  <si>
    <t>Reference case</t>
  </si>
  <si>
    <t>Option One - LRET</t>
  </si>
  <si>
    <t>RE Plant Build</t>
  </si>
  <si>
    <t>Difference</t>
  </si>
  <si>
    <t>Emissions, Mt CO2e</t>
  </si>
  <si>
    <t>Coal Capacity, MW</t>
  </si>
  <si>
    <t>Resource Costs, $ million</t>
  </si>
  <si>
    <t>NPV</t>
  </si>
  <si>
    <t>Abatement cost, $/t</t>
  </si>
  <si>
    <t>Option Two - EIS</t>
  </si>
  <si>
    <t>Annual costs, $ million</t>
  </si>
  <si>
    <t>Differences in cost</t>
  </si>
  <si>
    <t>Reference versus option 1</t>
  </si>
  <si>
    <t>Reference versus option 2</t>
  </si>
  <si>
    <t>Option1 vesus option 2</t>
  </si>
  <si>
    <t>Negative cost means lower cost in the reference case</t>
  </si>
  <si>
    <t>Negative cost means lower cost in Option 1</t>
  </si>
  <si>
    <t>Negative number means higher cost in the Option 1</t>
  </si>
  <si>
    <t>Annual emissions</t>
  </si>
  <si>
    <t>Negative means lower emissions in the reference case</t>
  </si>
  <si>
    <t>Negative cost means lower emission in Option 1</t>
  </si>
  <si>
    <t>Capacity</t>
  </si>
  <si>
    <t>Capacity installed, MW</t>
  </si>
  <si>
    <t>Renewable power percentage (excluding behind the meter solar)</t>
  </si>
  <si>
    <t xml:space="preserve">NSW, TWA </t>
  </si>
  <si>
    <t xml:space="preserve">Vic, TWA </t>
  </si>
  <si>
    <t>Prices, $/MWh</t>
  </si>
  <si>
    <t>Wholesale prices (including LGC impost)</t>
  </si>
  <si>
    <t>1.5 Degree limit</t>
  </si>
  <si>
    <t>2.0 Degree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</si>
</sst>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9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A0FD4A2-B17A-4FD7-998E-CEBF9D2F64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Emissions!$A$1</c:f>
          <c:strCache>
            <c:ptCount val="1"/>
            <c:pt idx="0">
              <c:v>Emissions, Mt CO2e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Emissions!$A$4</c:f>
              <c:strCache>
                <c:ptCount val="1"/>
                <c:pt idx="0">
                  <c:v>Reference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Emissions!$B$2:$AA$2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Emissions!$B$4:$AA$4</c:f>
              <c:numCache>
                <c:formatCode>0</c:formatCode>
                <c:ptCount val="26"/>
                <c:pt idx="0">
                  <c:v>118.26822145257067</c:v>
                </c:pt>
                <c:pt idx="1">
                  <c:v>113.76480558830768</c:v>
                </c:pt>
                <c:pt idx="2">
                  <c:v>111.14490322958935</c:v>
                </c:pt>
                <c:pt idx="3">
                  <c:v>106.10244447210789</c:v>
                </c:pt>
                <c:pt idx="4">
                  <c:v>94.471894670065964</c:v>
                </c:pt>
                <c:pt idx="5">
                  <c:v>92.735775071392055</c:v>
                </c:pt>
                <c:pt idx="6">
                  <c:v>88.629034027701437</c:v>
                </c:pt>
                <c:pt idx="7">
                  <c:v>87.51550617595754</c:v>
                </c:pt>
                <c:pt idx="8">
                  <c:v>84.870447296772483</c:v>
                </c:pt>
                <c:pt idx="9">
                  <c:v>80.339655712011094</c:v>
                </c:pt>
                <c:pt idx="10">
                  <c:v>65.708089715691685</c:v>
                </c:pt>
                <c:pt idx="11">
                  <c:v>62.09041167225994</c:v>
                </c:pt>
                <c:pt idx="12">
                  <c:v>57.532416369928725</c:v>
                </c:pt>
                <c:pt idx="13">
                  <c:v>54.207000433539875</c:v>
                </c:pt>
                <c:pt idx="14">
                  <c:v>54.001416803302348</c:v>
                </c:pt>
                <c:pt idx="15">
                  <c:v>49.639010869287731</c:v>
                </c:pt>
                <c:pt idx="16">
                  <c:v>44.345714770669041</c:v>
                </c:pt>
                <c:pt idx="17">
                  <c:v>45.172334444595684</c:v>
                </c:pt>
                <c:pt idx="18">
                  <c:v>40.668913203758926</c:v>
                </c:pt>
                <c:pt idx="19">
                  <c:v>40.169183362351298</c:v>
                </c:pt>
                <c:pt idx="20">
                  <c:v>38.293549727976206</c:v>
                </c:pt>
                <c:pt idx="21">
                  <c:v>35.884029017843936</c:v>
                </c:pt>
                <c:pt idx="22">
                  <c:v>31.913108078817864</c:v>
                </c:pt>
                <c:pt idx="23">
                  <c:v>30.020055422550687</c:v>
                </c:pt>
                <c:pt idx="24">
                  <c:v>30.288211448321505</c:v>
                </c:pt>
                <c:pt idx="25">
                  <c:v>30.026006550618945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7-4C88-AB30-A495BC96BBBA}"/>
            </c:ext>
          </c:extLst>
        </c:ser>
        <c:ser>
          <c:idx val="1"/>
          <c:order val="1"/>
          <c:tx>
            <c:strRef>
              <c:f>Emissions!$A$6</c:f>
              <c:strCache>
                <c:ptCount val="1"/>
                <c:pt idx="0">
                  <c:v>Option One - LRET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Emissions!$B$2:$AA$2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Emissions!$B$6:$AA$6</c:f>
              <c:numCache>
                <c:formatCode>0</c:formatCode>
                <c:ptCount val="26"/>
                <c:pt idx="0">
                  <c:v>118.26822145257067</c:v>
                </c:pt>
                <c:pt idx="1">
                  <c:v>114.066</c:v>
                </c:pt>
                <c:pt idx="2">
                  <c:v>107.0647</c:v>
                </c:pt>
                <c:pt idx="3">
                  <c:v>90.398889999999994</c:v>
                </c:pt>
                <c:pt idx="4">
                  <c:v>69.415840000000003</c:v>
                </c:pt>
                <c:pt idx="5">
                  <c:v>58.440820000000002</c:v>
                </c:pt>
                <c:pt idx="6">
                  <c:v>51.433540000000001</c:v>
                </c:pt>
                <c:pt idx="7">
                  <c:v>42.318840000000002</c:v>
                </c:pt>
                <c:pt idx="8">
                  <c:v>38.430079999999997</c:v>
                </c:pt>
                <c:pt idx="9">
                  <c:v>31.59872</c:v>
                </c:pt>
                <c:pt idx="10">
                  <c:v>16.514309999999998</c:v>
                </c:pt>
                <c:pt idx="11">
                  <c:v>9.98489</c:v>
                </c:pt>
                <c:pt idx="12">
                  <c:v>8.5269399999999997</c:v>
                </c:pt>
                <c:pt idx="13">
                  <c:v>8.0339749999999999</c:v>
                </c:pt>
                <c:pt idx="14">
                  <c:v>6.9295049999999998</c:v>
                </c:pt>
                <c:pt idx="15">
                  <c:v>6.1718149999999996</c:v>
                </c:pt>
                <c:pt idx="16">
                  <c:v>5.8038740000000004</c:v>
                </c:pt>
                <c:pt idx="17">
                  <c:v>6.156822</c:v>
                </c:pt>
                <c:pt idx="18">
                  <c:v>6.2279689999999999</c:v>
                </c:pt>
                <c:pt idx="19">
                  <c:v>6.402018</c:v>
                </c:pt>
                <c:pt idx="20">
                  <c:v>6.1899749999999996</c:v>
                </c:pt>
                <c:pt idx="21">
                  <c:v>5.8834759999999999</c:v>
                </c:pt>
                <c:pt idx="22">
                  <c:v>5.703938</c:v>
                </c:pt>
                <c:pt idx="23">
                  <c:v>6.1004139999999998</c:v>
                </c:pt>
                <c:pt idx="24">
                  <c:v>6.3690629999999997</c:v>
                </c:pt>
                <c:pt idx="25">
                  <c:v>6.4526440000000003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7-4C88-AB30-A495BC96BBBA}"/>
            </c:ext>
          </c:extLst>
        </c:ser>
        <c:ser>
          <c:idx val="4"/>
          <c:order val="2"/>
          <c:tx>
            <c:v>Option Two - 2oC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Emissions!$B$2:$AA$2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Emissions!$B$10:$AA$10</c:f>
              <c:numCache>
                <c:formatCode>0</c:formatCode>
                <c:ptCount val="26"/>
                <c:pt idx="0">
                  <c:v>118.26822145257067</c:v>
                </c:pt>
                <c:pt idx="1">
                  <c:v>113.73009597874385</c:v>
                </c:pt>
                <c:pt idx="2">
                  <c:v>111.05377995228136</c:v>
                </c:pt>
                <c:pt idx="3">
                  <c:v>103.97052089457131</c:v>
                </c:pt>
                <c:pt idx="4">
                  <c:v>90.107274193498256</c:v>
                </c:pt>
                <c:pt idx="5">
                  <c:v>85.399802302020007</c:v>
                </c:pt>
                <c:pt idx="6">
                  <c:v>68.158126865365276</c:v>
                </c:pt>
                <c:pt idx="7">
                  <c:v>65.048348577459308</c:v>
                </c:pt>
                <c:pt idx="8">
                  <c:v>56.78306738695705</c:v>
                </c:pt>
                <c:pt idx="9">
                  <c:v>48.836551665931538</c:v>
                </c:pt>
                <c:pt idx="10">
                  <c:v>31.740279533709288</c:v>
                </c:pt>
                <c:pt idx="11">
                  <c:v>25.752765309089337</c:v>
                </c:pt>
                <c:pt idx="12">
                  <c:v>18.220433825705683</c:v>
                </c:pt>
                <c:pt idx="13">
                  <c:v>12.244681898614367</c:v>
                </c:pt>
                <c:pt idx="14">
                  <c:v>10.000034429492226</c:v>
                </c:pt>
                <c:pt idx="15">
                  <c:v>8.8834285052346527</c:v>
                </c:pt>
                <c:pt idx="16">
                  <c:v>7.8137869596264178</c:v>
                </c:pt>
                <c:pt idx="17">
                  <c:v>7.9110049327403251</c:v>
                </c:pt>
                <c:pt idx="18">
                  <c:v>7.363163883097477</c:v>
                </c:pt>
                <c:pt idx="19">
                  <c:v>7.6763225763687286</c:v>
                </c:pt>
                <c:pt idx="20">
                  <c:v>7.6588483600774877</c:v>
                </c:pt>
                <c:pt idx="21">
                  <c:v>6.7769144649294448</c:v>
                </c:pt>
                <c:pt idx="22">
                  <c:v>6.0527827360485791</c:v>
                </c:pt>
                <c:pt idx="23">
                  <c:v>6.3482679851983175</c:v>
                </c:pt>
                <c:pt idx="24">
                  <c:v>5.9020649696703513</c:v>
                </c:pt>
                <c:pt idx="25">
                  <c:v>5.5991231691609471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1D-4F62-822B-4D6D62FF1A7E}"/>
            </c:ext>
          </c:extLst>
        </c:ser>
        <c:ser>
          <c:idx val="3"/>
          <c:order val="3"/>
          <c:tx>
            <c:v>Option One - 2oC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Emissions!$B$2:$AA$2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Emissions!$B$9:$AA$9</c:f>
              <c:numCache>
                <c:formatCode>0</c:formatCode>
                <c:ptCount val="26"/>
                <c:pt idx="0">
                  <c:v>118.26822145257067</c:v>
                </c:pt>
                <c:pt idx="1">
                  <c:v>114.066</c:v>
                </c:pt>
                <c:pt idx="2">
                  <c:v>107.41719999999999</c:v>
                </c:pt>
                <c:pt idx="3">
                  <c:v>94.626249999999999</c:v>
                </c:pt>
                <c:pt idx="4">
                  <c:v>79.544259999999994</c:v>
                </c:pt>
                <c:pt idx="5">
                  <c:v>71.099010000000007</c:v>
                </c:pt>
                <c:pt idx="6">
                  <c:v>67.491280000000003</c:v>
                </c:pt>
                <c:pt idx="7">
                  <c:v>61.78313</c:v>
                </c:pt>
                <c:pt idx="8">
                  <c:v>57.31794</c:v>
                </c:pt>
                <c:pt idx="9">
                  <c:v>48.745930000000001</c:v>
                </c:pt>
                <c:pt idx="10">
                  <c:v>34.473149999999997</c:v>
                </c:pt>
                <c:pt idx="11">
                  <c:v>25.125920000000001</c:v>
                </c:pt>
                <c:pt idx="12">
                  <c:v>20.947679999999998</c:v>
                </c:pt>
                <c:pt idx="13">
                  <c:v>18.179860000000001</c:v>
                </c:pt>
                <c:pt idx="14">
                  <c:v>14.54283</c:v>
                </c:pt>
                <c:pt idx="15">
                  <c:v>11.18107</c:v>
                </c:pt>
                <c:pt idx="16">
                  <c:v>8.6266110000000005</c:v>
                </c:pt>
                <c:pt idx="17">
                  <c:v>8.6782170000000001</c:v>
                </c:pt>
                <c:pt idx="18">
                  <c:v>8.6391799999999996</c:v>
                </c:pt>
                <c:pt idx="19">
                  <c:v>8.7375500000000006</c:v>
                </c:pt>
                <c:pt idx="20">
                  <c:v>8.4590340000000008</c:v>
                </c:pt>
                <c:pt idx="21">
                  <c:v>8.0574049999999993</c:v>
                </c:pt>
                <c:pt idx="22">
                  <c:v>7.8643999999999998</c:v>
                </c:pt>
                <c:pt idx="23">
                  <c:v>8.2956950000000003</c:v>
                </c:pt>
                <c:pt idx="24">
                  <c:v>8.5849240000000009</c:v>
                </c:pt>
                <c:pt idx="25">
                  <c:v>8.5961809999999996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D-4F62-822B-4D6D62FF1A7E}"/>
            </c:ext>
          </c:extLst>
        </c:ser>
        <c:ser>
          <c:idx val="2"/>
          <c:order val="4"/>
          <c:tx>
            <c:strRef>
              <c:f>Emissions!$A$7</c:f>
              <c:strCache>
                <c:ptCount val="1"/>
                <c:pt idx="0">
                  <c:v>Option Two - EIS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Emissions!$B$2:$AA$2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Emissions!$B$7:$AA$7</c:f>
              <c:numCache>
                <c:formatCode>0</c:formatCode>
                <c:ptCount val="26"/>
                <c:pt idx="0">
                  <c:v>118.26822145257067</c:v>
                </c:pt>
                <c:pt idx="1">
                  <c:v>113.73</c:v>
                </c:pt>
                <c:pt idx="2">
                  <c:v>111.05370000000001</c:v>
                </c:pt>
                <c:pt idx="3">
                  <c:v>103.9704</c:v>
                </c:pt>
                <c:pt idx="4">
                  <c:v>90.107249999999993</c:v>
                </c:pt>
                <c:pt idx="5">
                  <c:v>82.846900000000005</c:v>
                </c:pt>
                <c:pt idx="6">
                  <c:v>48.271099999999997</c:v>
                </c:pt>
                <c:pt idx="7">
                  <c:v>35.213979999999999</c:v>
                </c:pt>
                <c:pt idx="8">
                  <c:v>19.66001</c:v>
                </c:pt>
                <c:pt idx="9">
                  <c:v>13.898529999999999</c:v>
                </c:pt>
                <c:pt idx="10">
                  <c:v>10.31677</c:v>
                </c:pt>
                <c:pt idx="11">
                  <c:v>9.3275330000000007</c:v>
                </c:pt>
                <c:pt idx="12">
                  <c:v>8.0642420000000001</c:v>
                </c:pt>
                <c:pt idx="13">
                  <c:v>7.349297</c:v>
                </c:pt>
                <c:pt idx="14">
                  <c:v>7.4006499999999997</c:v>
                </c:pt>
                <c:pt idx="15">
                  <c:v>6.901071</c:v>
                </c:pt>
                <c:pt idx="16">
                  <c:v>6.3637740000000003</c:v>
                </c:pt>
                <c:pt idx="17">
                  <c:v>6.338184</c:v>
                </c:pt>
                <c:pt idx="18">
                  <c:v>5.9923599999999997</c:v>
                </c:pt>
                <c:pt idx="19">
                  <c:v>6.1708959999999999</c:v>
                </c:pt>
                <c:pt idx="20">
                  <c:v>5.7025129999999997</c:v>
                </c:pt>
                <c:pt idx="21">
                  <c:v>4.6671709999999997</c:v>
                </c:pt>
                <c:pt idx="22">
                  <c:v>3.8956930000000001</c:v>
                </c:pt>
                <c:pt idx="23">
                  <c:v>4.1442240000000004</c:v>
                </c:pt>
                <c:pt idx="24">
                  <c:v>4.1388119999999997</c:v>
                </c:pt>
                <c:pt idx="25">
                  <c:v>4.109172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5-41E1-9A70-020DBC18F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591872"/>
        <c:axId val="890621632"/>
      </c:lineChart>
      <c:catAx>
        <c:axId val="890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21632"/>
        <c:crosses val="autoZero"/>
        <c:auto val="1"/>
        <c:lblAlgn val="ctr"/>
        <c:lblOffset val="100"/>
        <c:noMultiLvlLbl val="0"/>
      </c:catAx>
      <c:valAx>
        <c:axId val="8906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9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Emissions!$A$1</c:f>
          <c:strCache>
            <c:ptCount val="1"/>
            <c:pt idx="0">
              <c:v>Emissions, Mt CO2e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Emissions!$A$4</c:f>
              <c:strCache>
                <c:ptCount val="1"/>
                <c:pt idx="0">
                  <c:v>Reference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Emissions!$B$2:$AA$2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Emissions!$B$4:$AA$4</c:f>
              <c:numCache>
                <c:formatCode>0</c:formatCode>
                <c:ptCount val="26"/>
                <c:pt idx="0">
                  <c:v>118.26822145257067</c:v>
                </c:pt>
                <c:pt idx="1">
                  <c:v>113.76480558830768</c:v>
                </c:pt>
                <c:pt idx="2">
                  <c:v>111.14490322958935</c:v>
                </c:pt>
                <c:pt idx="3">
                  <c:v>106.10244447210789</c:v>
                </c:pt>
                <c:pt idx="4">
                  <c:v>94.471894670065964</c:v>
                </c:pt>
                <c:pt idx="5">
                  <c:v>92.735775071392055</c:v>
                </c:pt>
                <c:pt idx="6">
                  <c:v>88.629034027701437</c:v>
                </c:pt>
                <c:pt idx="7">
                  <c:v>87.51550617595754</c:v>
                </c:pt>
                <c:pt idx="8">
                  <c:v>84.870447296772483</c:v>
                </c:pt>
                <c:pt idx="9">
                  <c:v>80.339655712011094</c:v>
                </c:pt>
                <c:pt idx="10">
                  <c:v>65.708089715691685</c:v>
                </c:pt>
                <c:pt idx="11">
                  <c:v>62.09041167225994</c:v>
                </c:pt>
                <c:pt idx="12">
                  <c:v>57.532416369928725</c:v>
                </c:pt>
                <c:pt idx="13">
                  <c:v>54.207000433539875</c:v>
                </c:pt>
                <c:pt idx="14">
                  <c:v>54.001416803302348</c:v>
                </c:pt>
                <c:pt idx="15">
                  <c:v>49.639010869287731</c:v>
                </c:pt>
                <c:pt idx="16">
                  <c:v>44.345714770669041</c:v>
                </c:pt>
                <c:pt idx="17">
                  <c:v>45.172334444595684</c:v>
                </c:pt>
                <c:pt idx="18">
                  <c:v>40.668913203758926</c:v>
                </c:pt>
                <c:pt idx="19">
                  <c:v>40.169183362351298</c:v>
                </c:pt>
                <c:pt idx="20">
                  <c:v>38.293549727976206</c:v>
                </c:pt>
                <c:pt idx="21">
                  <c:v>35.884029017843936</c:v>
                </c:pt>
                <c:pt idx="22">
                  <c:v>31.913108078817864</c:v>
                </c:pt>
                <c:pt idx="23">
                  <c:v>30.020055422550687</c:v>
                </c:pt>
                <c:pt idx="24">
                  <c:v>30.288211448321505</c:v>
                </c:pt>
                <c:pt idx="25">
                  <c:v>30.026006550618945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8C-451D-82EE-610EB9A26623}"/>
            </c:ext>
          </c:extLst>
        </c:ser>
        <c:ser>
          <c:idx val="1"/>
          <c:order val="1"/>
          <c:tx>
            <c:strRef>
              <c:f>Emissions!$A$6</c:f>
              <c:strCache>
                <c:ptCount val="1"/>
                <c:pt idx="0">
                  <c:v>Option One - LRET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Emissions!$B$2:$AA$2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Emissions!$B$6:$AA$6</c:f>
              <c:numCache>
                <c:formatCode>0</c:formatCode>
                <c:ptCount val="26"/>
                <c:pt idx="0">
                  <c:v>118.26822145257067</c:v>
                </c:pt>
                <c:pt idx="1">
                  <c:v>114.066</c:v>
                </c:pt>
                <c:pt idx="2">
                  <c:v>107.0647</c:v>
                </c:pt>
                <c:pt idx="3">
                  <c:v>90.398889999999994</c:v>
                </c:pt>
                <c:pt idx="4">
                  <c:v>69.415840000000003</c:v>
                </c:pt>
                <c:pt idx="5">
                  <c:v>58.440820000000002</c:v>
                </c:pt>
                <c:pt idx="6">
                  <c:v>51.433540000000001</c:v>
                </c:pt>
                <c:pt idx="7">
                  <c:v>42.318840000000002</c:v>
                </c:pt>
                <c:pt idx="8">
                  <c:v>38.430079999999997</c:v>
                </c:pt>
                <c:pt idx="9">
                  <c:v>31.59872</c:v>
                </c:pt>
                <c:pt idx="10">
                  <c:v>16.514309999999998</c:v>
                </c:pt>
                <c:pt idx="11">
                  <c:v>9.98489</c:v>
                </c:pt>
                <c:pt idx="12">
                  <c:v>8.5269399999999997</c:v>
                </c:pt>
                <c:pt idx="13">
                  <c:v>8.0339749999999999</c:v>
                </c:pt>
                <c:pt idx="14">
                  <c:v>6.9295049999999998</c:v>
                </c:pt>
                <c:pt idx="15">
                  <c:v>6.1718149999999996</c:v>
                </c:pt>
                <c:pt idx="16">
                  <c:v>5.8038740000000004</c:v>
                </c:pt>
                <c:pt idx="17">
                  <c:v>6.156822</c:v>
                </c:pt>
                <c:pt idx="18">
                  <c:v>6.2279689999999999</c:v>
                </c:pt>
                <c:pt idx="19">
                  <c:v>6.402018</c:v>
                </c:pt>
                <c:pt idx="20">
                  <c:v>6.1899749999999996</c:v>
                </c:pt>
                <c:pt idx="21">
                  <c:v>5.8834759999999999</c:v>
                </c:pt>
                <c:pt idx="22">
                  <c:v>5.703938</c:v>
                </c:pt>
                <c:pt idx="23">
                  <c:v>6.1004139999999998</c:v>
                </c:pt>
                <c:pt idx="24">
                  <c:v>6.3690629999999997</c:v>
                </c:pt>
                <c:pt idx="25">
                  <c:v>6.4526440000000003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8C-451D-82EE-610EB9A26623}"/>
            </c:ext>
          </c:extLst>
        </c:ser>
        <c:ser>
          <c:idx val="3"/>
          <c:order val="2"/>
          <c:tx>
            <c:v>Option One - 2oC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Emissions!$B$2:$AA$2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Emissions!$B$9:$AA$9</c:f>
              <c:numCache>
                <c:formatCode>0</c:formatCode>
                <c:ptCount val="26"/>
                <c:pt idx="0">
                  <c:v>118.26822145257067</c:v>
                </c:pt>
                <c:pt idx="1">
                  <c:v>114.066</c:v>
                </c:pt>
                <c:pt idx="2">
                  <c:v>107.41719999999999</c:v>
                </c:pt>
                <c:pt idx="3">
                  <c:v>94.626249999999999</c:v>
                </c:pt>
                <c:pt idx="4">
                  <c:v>79.544259999999994</c:v>
                </c:pt>
                <c:pt idx="5">
                  <c:v>71.099010000000007</c:v>
                </c:pt>
                <c:pt idx="6">
                  <c:v>67.491280000000003</c:v>
                </c:pt>
                <c:pt idx="7">
                  <c:v>61.78313</c:v>
                </c:pt>
                <c:pt idx="8">
                  <c:v>57.31794</c:v>
                </c:pt>
                <c:pt idx="9">
                  <c:v>48.745930000000001</c:v>
                </c:pt>
                <c:pt idx="10">
                  <c:v>34.473149999999997</c:v>
                </c:pt>
                <c:pt idx="11">
                  <c:v>25.125920000000001</c:v>
                </c:pt>
                <c:pt idx="12">
                  <c:v>20.947679999999998</c:v>
                </c:pt>
                <c:pt idx="13">
                  <c:v>18.179860000000001</c:v>
                </c:pt>
                <c:pt idx="14">
                  <c:v>14.54283</c:v>
                </c:pt>
                <c:pt idx="15">
                  <c:v>11.18107</c:v>
                </c:pt>
                <c:pt idx="16">
                  <c:v>8.6266110000000005</c:v>
                </c:pt>
                <c:pt idx="17">
                  <c:v>8.6782170000000001</c:v>
                </c:pt>
                <c:pt idx="18">
                  <c:v>8.6391799999999996</c:v>
                </c:pt>
                <c:pt idx="19">
                  <c:v>8.7375500000000006</c:v>
                </c:pt>
                <c:pt idx="20">
                  <c:v>8.4590340000000008</c:v>
                </c:pt>
                <c:pt idx="21">
                  <c:v>8.0574049999999993</c:v>
                </c:pt>
                <c:pt idx="22">
                  <c:v>7.8643999999999998</c:v>
                </c:pt>
                <c:pt idx="23">
                  <c:v>8.2956950000000003</c:v>
                </c:pt>
                <c:pt idx="24">
                  <c:v>8.5849240000000009</c:v>
                </c:pt>
                <c:pt idx="25">
                  <c:v>8.5961809999999996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8C-451D-82EE-610EB9A26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591872"/>
        <c:axId val="890621632"/>
      </c:lineChart>
      <c:catAx>
        <c:axId val="890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21632"/>
        <c:crosses val="autoZero"/>
        <c:auto val="1"/>
        <c:lblAlgn val="ctr"/>
        <c:lblOffset val="100"/>
        <c:noMultiLvlLbl val="0"/>
      </c:catAx>
      <c:valAx>
        <c:axId val="8906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9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CoalCapacity!$A$1</c:f>
          <c:strCache>
            <c:ptCount val="1"/>
            <c:pt idx="0">
              <c:v>Coal Capacity, MW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CoalCapacity!$A$4</c:f>
              <c:strCache>
                <c:ptCount val="1"/>
                <c:pt idx="0">
                  <c:v>Reference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CoalCapacity!$B$2:$AA$2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CoalCapacity!$B$4:$AA$4</c:f>
              <c:numCache>
                <c:formatCode>0</c:formatCode>
                <c:ptCount val="26"/>
                <c:pt idx="0">
                  <c:v>20991.86</c:v>
                </c:pt>
                <c:pt idx="1">
                  <c:v>19448.260000000002</c:v>
                </c:pt>
                <c:pt idx="2">
                  <c:v>19448.260000000002</c:v>
                </c:pt>
                <c:pt idx="3">
                  <c:v>19131.060000000001</c:v>
                </c:pt>
                <c:pt idx="4">
                  <c:v>16191.260000000002</c:v>
                </c:pt>
                <c:pt idx="5">
                  <c:v>15980.260000000002</c:v>
                </c:pt>
                <c:pt idx="6">
                  <c:v>15343.259999999998</c:v>
                </c:pt>
                <c:pt idx="7">
                  <c:v>14102.46</c:v>
                </c:pt>
                <c:pt idx="8">
                  <c:v>12861.66</c:v>
                </c:pt>
                <c:pt idx="9">
                  <c:v>11607.66</c:v>
                </c:pt>
                <c:pt idx="10">
                  <c:v>9554.2800000000007</c:v>
                </c:pt>
                <c:pt idx="11">
                  <c:v>7386.9400000000005</c:v>
                </c:pt>
                <c:pt idx="12">
                  <c:v>6326.52</c:v>
                </c:pt>
                <c:pt idx="13">
                  <c:v>6326.52</c:v>
                </c:pt>
                <c:pt idx="14">
                  <c:v>6326.52</c:v>
                </c:pt>
                <c:pt idx="15">
                  <c:v>6326.52</c:v>
                </c:pt>
                <c:pt idx="16">
                  <c:v>4996.5200000000004</c:v>
                </c:pt>
                <c:pt idx="17">
                  <c:v>4319.4800000000005</c:v>
                </c:pt>
                <c:pt idx="18">
                  <c:v>3987.3300000000004</c:v>
                </c:pt>
                <c:pt idx="19">
                  <c:v>3655.1800000000003</c:v>
                </c:pt>
                <c:pt idx="20">
                  <c:v>3323.03</c:v>
                </c:pt>
                <c:pt idx="21">
                  <c:v>2990.88</c:v>
                </c:pt>
                <c:pt idx="22">
                  <c:v>2990.88</c:v>
                </c:pt>
                <c:pt idx="23">
                  <c:v>2006.48</c:v>
                </c:pt>
                <c:pt idx="24">
                  <c:v>2006.48</c:v>
                </c:pt>
                <c:pt idx="25">
                  <c:v>2006.48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1-459B-A04C-4C94708F4A88}"/>
            </c:ext>
          </c:extLst>
        </c:ser>
        <c:ser>
          <c:idx val="1"/>
          <c:order val="1"/>
          <c:tx>
            <c:strRef>
              <c:f>CoalCapacity!$A$6</c:f>
              <c:strCache>
                <c:ptCount val="1"/>
                <c:pt idx="0">
                  <c:v>Option One - LRET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CoalCapacity!$B$2:$AA$2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CoalCapacity!$B$6:$AA$6</c:f>
              <c:numCache>
                <c:formatCode>0</c:formatCode>
                <c:ptCount val="26"/>
                <c:pt idx="0">
                  <c:v>20991.86</c:v>
                </c:pt>
                <c:pt idx="1">
                  <c:v>19448.260000000002</c:v>
                </c:pt>
                <c:pt idx="2">
                  <c:v>18085.710000000003</c:v>
                </c:pt>
                <c:pt idx="3">
                  <c:v>18283.71</c:v>
                </c:pt>
                <c:pt idx="4">
                  <c:v>15676.060000000001</c:v>
                </c:pt>
                <c:pt idx="5">
                  <c:v>13885.66</c:v>
                </c:pt>
                <c:pt idx="6">
                  <c:v>11031.559999999998</c:v>
                </c:pt>
                <c:pt idx="7">
                  <c:v>7373.86</c:v>
                </c:pt>
                <c:pt idx="8">
                  <c:v>7373.86</c:v>
                </c:pt>
                <c:pt idx="9">
                  <c:v>7373.86</c:v>
                </c:pt>
                <c:pt idx="10">
                  <c:v>2493.48</c:v>
                </c:pt>
                <c:pt idx="11">
                  <c:v>677.04</c:v>
                </c:pt>
                <c:pt idx="12">
                  <c:v>677.04</c:v>
                </c:pt>
                <c:pt idx="13">
                  <c:v>677.04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1-459B-A04C-4C94708F4A88}"/>
            </c:ext>
          </c:extLst>
        </c:ser>
        <c:ser>
          <c:idx val="2"/>
          <c:order val="2"/>
          <c:tx>
            <c:strRef>
              <c:f>CoalCapacity!$A$7</c:f>
              <c:strCache>
                <c:ptCount val="1"/>
                <c:pt idx="0">
                  <c:v>Option Two - EIS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CoalCapacity!$B$2:$AA$2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CoalCapacity!$B$7:$AA$7</c:f>
              <c:numCache>
                <c:formatCode>0</c:formatCode>
                <c:ptCount val="26"/>
                <c:pt idx="0">
                  <c:v>20991.86</c:v>
                </c:pt>
                <c:pt idx="1">
                  <c:v>19448.260000000002</c:v>
                </c:pt>
                <c:pt idx="2">
                  <c:v>19448.260000000002</c:v>
                </c:pt>
                <c:pt idx="3">
                  <c:v>19131.060000000001</c:v>
                </c:pt>
                <c:pt idx="4">
                  <c:v>16191.260000000002</c:v>
                </c:pt>
                <c:pt idx="5">
                  <c:v>15980.260000000002</c:v>
                </c:pt>
                <c:pt idx="6">
                  <c:v>9536.99</c:v>
                </c:pt>
                <c:pt idx="7">
                  <c:v>5343.7699999999995</c:v>
                </c:pt>
                <c:pt idx="8">
                  <c:v>1477.92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C-41E6-81B3-8CD2E6221594}"/>
            </c:ext>
          </c:extLst>
        </c:ser>
        <c:ser>
          <c:idx val="3"/>
          <c:order val="3"/>
          <c:tx>
            <c:v>Option One - 2oC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CoalCapacity!$B$2:$AA$2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CoalCapacity!$B$9:$AA$9</c:f>
              <c:numCache>
                <c:formatCode>0</c:formatCode>
                <c:ptCount val="26"/>
                <c:pt idx="0">
                  <c:v>20991.86</c:v>
                </c:pt>
                <c:pt idx="1">
                  <c:v>19448.260000000002</c:v>
                </c:pt>
                <c:pt idx="2">
                  <c:v>18085.710000000003</c:v>
                </c:pt>
                <c:pt idx="3">
                  <c:v>18798.91</c:v>
                </c:pt>
                <c:pt idx="4">
                  <c:v>15676.060000000001</c:v>
                </c:pt>
                <c:pt idx="5">
                  <c:v>15465.060000000001</c:v>
                </c:pt>
                <c:pt idx="6">
                  <c:v>14828.060000000001</c:v>
                </c:pt>
                <c:pt idx="7">
                  <c:v>13171.260000000002</c:v>
                </c:pt>
                <c:pt idx="8">
                  <c:v>10981.46</c:v>
                </c:pt>
                <c:pt idx="9">
                  <c:v>9700.31</c:v>
                </c:pt>
                <c:pt idx="10">
                  <c:v>6675.61</c:v>
                </c:pt>
                <c:pt idx="11">
                  <c:v>3251.92</c:v>
                </c:pt>
                <c:pt idx="12">
                  <c:v>3251.92</c:v>
                </c:pt>
                <c:pt idx="13">
                  <c:v>2267.52</c:v>
                </c:pt>
                <c:pt idx="14">
                  <c:v>1477.92</c:v>
                </c:pt>
                <c:pt idx="15">
                  <c:v>677.04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5-4765-9DC7-1645171B67ED}"/>
            </c:ext>
          </c:extLst>
        </c:ser>
        <c:ser>
          <c:idx val="4"/>
          <c:order val="4"/>
          <c:tx>
            <c:v>Option Two- 2oC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CoalCapacity!$B$2:$AA$2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CoalCapacity!$B$10:$AA$10</c:f>
              <c:numCache>
                <c:formatCode>0</c:formatCode>
                <c:ptCount val="26"/>
                <c:pt idx="0">
                  <c:v>20991.86</c:v>
                </c:pt>
                <c:pt idx="1">
                  <c:v>19448.260000000002</c:v>
                </c:pt>
                <c:pt idx="2">
                  <c:v>19448.260000000002</c:v>
                </c:pt>
                <c:pt idx="3">
                  <c:v>19131.060000000001</c:v>
                </c:pt>
                <c:pt idx="4">
                  <c:v>16191.260000000002</c:v>
                </c:pt>
                <c:pt idx="5">
                  <c:v>15980.260000000002</c:v>
                </c:pt>
                <c:pt idx="6">
                  <c:v>14412.060000000001</c:v>
                </c:pt>
                <c:pt idx="7">
                  <c:v>13639.260000000002</c:v>
                </c:pt>
                <c:pt idx="8">
                  <c:v>13381.66</c:v>
                </c:pt>
                <c:pt idx="9">
                  <c:v>10537.71</c:v>
                </c:pt>
                <c:pt idx="10">
                  <c:v>5202.68</c:v>
                </c:pt>
                <c:pt idx="11">
                  <c:v>3792.32</c:v>
                </c:pt>
                <c:pt idx="12">
                  <c:v>2462.3200000000002</c:v>
                </c:pt>
                <c:pt idx="13">
                  <c:v>800.88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5-4765-9DC7-1645171B6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581952"/>
        <c:axId val="947582912"/>
      </c:lineChart>
      <c:catAx>
        <c:axId val="94758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82912"/>
        <c:crosses val="autoZero"/>
        <c:auto val="1"/>
        <c:lblAlgn val="ctr"/>
        <c:lblOffset val="100"/>
        <c:noMultiLvlLbl val="0"/>
      </c:catAx>
      <c:valAx>
        <c:axId val="9475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58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REBuild!$A$4</c:f>
              <c:strCache>
                <c:ptCount val="1"/>
                <c:pt idx="0">
                  <c:v>Reference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REBuild!$B$2:$AA$2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REBuild!$B$4:$AA$4</c:f>
              <c:numCache>
                <c:formatCode>0</c:formatCode>
                <c:ptCount val="26"/>
                <c:pt idx="0">
                  <c:v>32246.721689999998</c:v>
                </c:pt>
                <c:pt idx="1">
                  <c:v>35701.641689999997</c:v>
                </c:pt>
                <c:pt idx="2">
                  <c:v>39428.241689999995</c:v>
                </c:pt>
                <c:pt idx="3">
                  <c:v>44057.717689999998</c:v>
                </c:pt>
                <c:pt idx="4">
                  <c:v>49867.117690000006</c:v>
                </c:pt>
                <c:pt idx="5">
                  <c:v>54357.117690000006</c:v>
                </c:pt>
                <c:pt idx="6">
                  <c:v>55276.117690000006</c:v>
                </c:pt>
                <c:pt idx="7">
                  <c:v>55506.117690000006</c:v>
                </c:pt>
                <c:pt idx="8">
                  <c:v>57206.117690000006</c:v>
                </c:pt>
                <c:pt idx="9">
                  <c:v>60164.117690000006</c:v>
                </c:pt>
                <c:pt idx="10">
                  <c:v>62939.917690000002</c:v>
                </c:pt>
                <c:pt idx="11">
                  <c:v>65019.917690000002</c:v>
                </c:pt>
                <c:pt idx="12">
                  <c:v>69690.917690000002</c:v>
                </c:pt>
                <c:pt idx="13">
                  <c:v>73775.917690000002</c:v>
                </c:pt>
                <c:pt idx="14">
                  <c:v>74302.917589999997</c:v>
                </c:pt>
                <c:pt idx="15">
                  <c:v>78005.917589999997</c:v>
                </c:pt>
                <c:pt idx="16">
                  <c:v>82661.917589999997</c:v>
                </c:pt>
                <c:pt idx="17">
                  <c:v>84341.917589999997</c:v>
                </c:pt>
                <c:pt idx="18">
                  <c:v>88811.917589999997</c:v>
                </c:pt>
                <c:pt idx="19">
                  <c:v>90813.917589999997</c:v>
                </c:pt>
                <c:pt idx="20">
                  <c:v>92918.917589999997</c:v>
                </c:pt>
                <c:pt idx="21">
                  <c:v>95998.917589999997</c:v>
                </c:pt>
                <c:pt idx="22">
                  <c:v>98138.917589999997</c:v>
                </c:pt>
                <c:pt idx="23">
                  <c:v>98493.46759</c:v>
                </c:pt>
                <c:pt idx="24">
                  <c:v>100083.46759</c:v>
                </c:pt>
                <c:pt idx="25">
                  <c:v>102074.06758999998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B-41DF-99D5-FED7C4500C4B}"/>
            </c:ext>
          </c:extLst>
        </c:ser>
        <c:ser>
          <c:idx val="1"/>
          <c:order val="1"/>
          <c:tx>
            <c:strRef>
              <c:f>REBuild!$A$6</c:f>
              <c:strCache>
                <c:ptCount val="1"/>
                <c:pt idx="0">
                  <c:v>Option One - LRET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REBuild!$B$2:$AA$2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REBuild!$B$6:$AA$6</c:f>
              <c:numCache>
                <c:formatCode>0</c:formatCode>
                <c:ptCount val="26"/>
                <c:pt idx="0">
                  <c:v>32246.721689999998</c:v>
                </c:pt>
                <c:pt idx="1">
                  <c:v>35651.641690000004</c:v>
                </c:pt>
                <c:pt idx="2">
                  <c:v>39428.241690000003</c:v>
                </c:pt>
                <c:pt idx="3">
                  <c:v>46592.891689999997</c:v>
                </c:pt>
                <c:pt idx="4">
                  <c:v>56847.891690000004</c:v>
                </c:pt>
                <c:pt idx="5">
                  <c:v>64427.291689999998</c:v>
                </c:pt>
                <c:pt idx="6">
                  <c:v>70695.317689999982</c:v>
                </c:pt>
                <c:pt idx="7">
                  <c:v>76676.117689999985</c:v>
                </c:pt>
                <c:pt idx="8">
                  <c:v>81077.617689999985</c:v>
                </c:pt>
                <c:pt idx="9">
                  <c:v>86606.617689999985</c:v>
                </c:pt>
                <c:pt idx="10">
                  <c:v>92301.417689999987</c:v>
                </c:pt>
                <c:pt idx="11">
                  <c:v>98492.417689999987</c:v>
                </c:pt>
                <c:pt idx="12">
                  <c:v>102513.41769</c:v>
                </c:pt>
                <c:pt idx="13">
                  <c:v>105633.41769</c:v>
                </c:pt>
                <c:pt idx="14">
                  <c:v>106815.41759</c:v>
                </c:pt>
                <c:pt idx="15">
                  <c:v>109968.41759</c:v>
                </c:pt>
                <c:pt idx="16">
                  <c:v>112488.41759</c:v>
                </c:pt>
                <c:pt idx="17">
                  <c:v>114378.41759</c:v>
                </c:pt>
                <c:pt idx="18">
                  <c:v>117048.41759</c:v>
                </c:pt>
                <c:pt idx="19">
                  <c:v>118568.41759</c:v>
                </c:pt>
                <c:pt idx="20">
                  <c:v>120373.41759</c:v>
                </c:pt>
                <c:pt idx="21">
                  <c:v>123757.91759</c:v>
                </c:pt>
                <c:pt idx="22">
                  <c:v>124997.91758999998</c:v>
                </c:pt>
                <c:pt idx="23">
                  <c:v>125652.46758999999</c:v>
                </c:pt>
                <c:pt idx="24">
                  <c:v>126892.46758999999</c:v>
                </c:pt>
                <c:pt idx="25">
                  <c:v>128628.56758999999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B-41DF-99D5-FED7C4500C4B}"/>
            </c:ext>
          </c:extLst>
        </c:ser>
        <c:ser>
          <c:idx val="2"/>
          <c:order val="2"/>
          <c:tx>
            <c:strRef>
              <c:f>REBuild!$A$7</c:f>
              <c:strCache>
                <c:ptCount val="1"/>
                <c:pt idx="0">
                  <c:v>Option Two - EIS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REBuild!$B$2:$AA$2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REBuild!$B$7:$AA$7</c:f>
              <c:numCache>
                <c:formatCode>0</c:formatCode>
                <c:ptCount val="26"/>
                <c:pt idx="0">
                  <c:v>32246.721689999998</c:v>
                </c:pt>
                <c:pt idx="1">
                  <c:v>35651.641690000004</c:v>
                </c:pt>
                <c:pt idx="2">
                  <c:v>39428.241690000003</c:v>
                </c:pt>
                <c:pt idx="3">
                  <c:v>44082.717689999998</c:v>
                </c:pt>
                <c:pt idx="4">
                  <c:v>49917.117689999999</c:v>
                </c:pt>
                <c:pt idx="5">
                  <c:v>54407.117689999999</c:v>
                </c:pt>
                <c:pt idx="6">
                  <c:v>63154.117689999999</c:v>
                </c:pt>
                <c:pt idx="7">
                  <c:v>69514.117689999985</c:v>
                </c:pt>
                <c:pt idx="8">
                  <c:v>81033.917689999987</c:v>
                </c:pt>
                <c:pt idx="9">
                  <c:v>88511.917689999987</c:v>
                </c:pt>
                <c:pt idx="10">
                  <c:v>91677.917689999987</c:v>
                </c:pt>
                <c:pt idx="11">
                  <c:v>95737.917689999987</c:v>
                </c:pt>
                <c:pt idx="12">
                  <c:v>99837.917689999987</c:v>
                </c:pt>
                <c:pt idx="13">
                  <c:v>103237.91768999999</c:v>
                </c:pt>
                <c:pt idx="14">
                  <c:v>104744.91759</c:v>
                </c:pt>
                <c:pt idx="15">
                  <c:v>107337.91759</c:v>
                </c:pt>
                <c:pt idx="16">
                  <c:v>110368.91759</c:v>
                </c:pt>
                <c:pt idx="17">
                  <c:v>112648.91759</c:v>
                </c:pt>
                <c:pt idx="18">
                  <c:v>115468.91759</c:v>
                </c:pt>
                <c:pt idx="19">
                  <c:v>116438.91759</c:v>
                </c:pt>
                <c:pt idx="20">
                  <c:v>117768.91759</c:v>
                </c:pt>
                <c:pt idx="21">
                  <c:v>121048.91759</c:v>
                </c:pt>
                <c:pt idx="22">
                  <c:v>122688.91759</c:v>
                </c:pt>
                <c:pt idx="23">
                  <c:v>123043.46759</c:v>
                </c:pt>
                <c:pt idx="24">
                  <c:v>124633.46759</c:v>
                </c:pt>
                <c:pt idx="25">
                  <c:v>126424.06758999999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5-49DC-8FC7-864422001A86}"/>
            </c:ext>
          </c:extLst>
        </c:ser>
        <c:ser>
          <c:idx val="3"/>
          <c:order val="3"/>
          <c:tx>
            <c:v>Option One - 2oC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REBuild!$B$2:$AA$2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REBuild!$B$9:$AA$9</c:f>
              <c:numCache>
                <c:formatCode>0</c:formatCode>
                <c:ptCount val="26"/>
                <c:pt idx="0">
                  <c:v>32246.721689999998</c:v>
                </c:pt>
                <c:pt idx="1">
                  <c:v>35651.641689999997</c:v>
                </c:pt>
                <c:pt idx="2">
                  <c:v>39117.44169</c:v>
                </c:pt>
                <c:pt idx="3">
                  <c:v>44933.891689999997</c:v>
                </c:pt>
                <c:pt idx="4">
                  <c:v>52050.891689999997</c:v>
                </c:pt>
                <c:pt idx="5">
                  <c:v>58304.891689999997</c:v>
                </c:pt>
                <c:pt idx="6">
                  <c:v>61628.917689999995</c:v>
                </c:pt>
                <c:pt idx="7">
                  <c:v>66034.717690000005</c:v>
                </c:pt>
                <c:pt idx="8">
                  <c:v>69908.617689999999</c:v>
                </c:pt>
                <c:pt idx="9">
                  <c:v>76216.617689999999</c:v>
                </c:pt>
                <c:pt idx="10">
                  <c:v>81896.417690000002</c:v>
                </c:pt>
                <c:pt idx="11">
                  <c:v>87877.417690000002</c:v>
                </c:pt>
                <c:pt idx="12">
                  <c:v>92573.417690000002</c:v>
                </c:pt>
                <c:pt idx="13">
                  <c:v>95643.417690000002</c:v>
                </c:pt>
                <c:pt idx="14">
                  <c:v>98900.417589999997</c:v>
                </c:pt>
                <c:pt idx="15">
                  <c:v>103393.41759</c:v>
                </c:pt>
                <c:pt idx="16">
                  <c:v>106713.41759</c:v>
                </c:pt>
                <c:pt idx="17">
                  <c:v>109588.41759</c:v>
                </c:pt>
                <c:pt idx="18">
                  <c:v>112418.41759</c:v>
                </c:pt>
                <c:pt idx="19">
                  <c:v>114098.41759</c:v>
                </c:pt>
                <c:pt idx="20">
                  <c:v>116023.41759</c:v>
                </c:pt>
                <c:pt idx="21">
                  <c:v>119327.91759</c:v>
                </c:pt>
                <c:pt idx="22">
                  <c:v>120527.91758999998</c:v>
                </c:pt>
                <c:pt idx="23">
                  <c:v>121142.46758999999</c:v>
                </c:pt>
                <c:pt idx="24">
                  <c:v>122342.46758999999</c:v>
                </c:pt>
                <c:pt idx="25">
                  <c:v>124678.56758999999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B8F-B9DE-B0DA0E9EEB9F}"/>
            </c:ext>
          </c:extLst>
        </c:ser>
        <c:ser>
          <c:idx val="4"/>
          <c:order val="4"/>
          <c:tx>
            <c:v>Option 2 - 2oC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REBuild!$B$2:$AA$2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REBuild!$B$10:$AA$10</c:f>
              <c:numCache>
                <c:formatCode>0</c:formatCode>
                <c:ptCount val="26"/>
                <c:pt idx="0">
                  <c:v>32246.721689999998</c:v>
                </c:pt>
                <c:pt idx="1">
                  <c:v>35651.641689999997</c:v>
                </c:pt>
                <c:pt idx="2">
                  <c:v>39428.241690000003</c:v>
                </c:pt>
                <c:pt idx="3">
                  <c:v>44082.717689999998</c:v>
                </c:pt>
                <c:pt idx="4">
                  <c:v>49917.117690000006</c:v>
                </c:pt>
                <c:pt idx="5">
                  <c:v>54407.117690000006</c:v>
                </c:pt>
                <c:pt idx="6">
                  <c:v>59126.117690000006</c:v>
                </c:pt>
                <c:pt idx="7">
                  <c:v>63486.117690000006</c:v>
                </c:pt>
                <c:pt idx="8">
                  <c:v>70566.917689999987</c:v>
                </c:pt>
                <c:pt idx="9">
                  <c:v>77534.917690000002</c:v>
                </c:pt>
                <c:pt idx="10">
                  <c:v>83757.917690000002</c:v>
                </c:pt>
                <c:pt idx="11">
                  <c:v>88287.917690000002</c:v>
                </c:pt>
                <c:pt idx="12">
                  <c:v>94187.917690000002</c:v>
                </c:pt>
                <c:pt idx="13">
                  <c:v>99357.917690000002</c:v>
                </c:pt>
                <c:pt idx="14">
                  <c:v>101064.91759</c:v>
                </c:pt>
                <c:pt idx="15">
                  <c:v>104017.91759</c:v>
                </c:pt>
                <c:pt idx="16">
                  <c:v>108008.91759</c:v>
                </c:pt>
                <c:pt idx="17">
                  <c:v>110208.91759</c:v>
                </c:pt>
                <c:pt idx="18">
                  <c:v>112988.91759</c:v>
                </c:pt>
                <c:pt idx="19">
                  <c:v>113888.91759</c:v>
                </c:pt>
                <c:pt idx="20">
                  <c:v>115168.91759</c:v>
                </c:pt>
                <c:pt idx="21">
                  <c:v>118368.91759</c:v>
                </c:pt>
                <c:pt idx="22">
                  <c:v>119968.91759</c:v>
                </c:pt>
                <c:pt idx="23">
                  <c:v>120283.46759</c:v>
                </c:pt>
                <c:pt idx="24">
                  <c:v>121633.46759</c:v>
                </c:pt>
                <c:pt idx="25">
                  <c:v>123224.06758999999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B8F-B9DE-B0DA0E9EE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615424"/>
        <c:axId val="812619744"/>
      </c:lineChart>
      <c:catAx>
        <c:axId val="8126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19744"/>
        <c:crosses val="autoZero"/>
        <c:auto val="1"/>
        <c:lblAlgn val="ctr"/>
        <c:lblOffset val="100"/>
        <c:noMultiLvlLbl val="0"/>
      </c:catAx>
      <c:valAx>
        <c:axId val="8126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1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Resource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ResourceCosts!$A$4</c:f>
              <c:strCache>
                <c:ptCount val="1"/>
                <c:pt idx="0">
                  <c:v>Reference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ResourceCosts!$B$2:$Z$2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ResourceCosts!$B$4:$Z$4</c:f>
              <c:numCache>
                <c:formatCode>0</c:formatCode>
                <c:ptCount val="25"/>
                <c:pt idx="0">
                  <c:v>31450.313819981548</c:v>
                </c:pt>
                <c:pt idx="1">
                  <c:v>32906.823432065539</c:v>
                </c:pt>
                <c:pt idx="2">
                  <c:v>38930.642391472706</c:v>
                </c:pt>
                <c:pt idx="3">
                  <c:v>37758.593553489605</c:v>
                </c:pt>
                <c:pt idx="4">
                  <c:v>43812.224863000003</c:v>
                </c:pt>
                <c:pt idx="5">
                  <c:v>33241.03620694518</c:v>
                </c:pt>
                <c:pt idx="6">
                  <c:v>28167.281729578219</c:v>
                </c:pt>
                <c:pt idx="7">
                  <c:v>23988.538726982319</c:v>
                </c:pt>
                <c:pt idx="8">
                  <c:v>30199.684259123791</c:v>
                </c:pt>
                <c:pt idx="9">
                  <c:v>26379.073353613523</c:v>
                </c:pt>
                <c:pt idx="10">
                  <c:v>25336.174272913799</c:v>
                </c:pt>
                <c:pt idx="11">
                  <c:v>42208.994491193233</c:v>
                </c:pt>
                <c:pt idx="12">
                  <c:v>29708.722493739682</c:v>
                </c:pt>
                <c:pt idx="13">
                  <c:v>20616.351675150738</c:v>
                </c:pt>
                <c:pt idx="14">
                  <c:v>31321.555744400262</c:v>
                </c:pt>
                <c:pt idx="15">
                  <c:v>28187.505488321029</c:v>
                </c:pt>
                <c:pt idx="16">
                  <c:v>23359.183285497973</c:v>
                </c:pt>
                <c:pt idx="17">
                  <c:v>35214.416590791639</c:v>
                </c:pt>
                <c:pt idx="18">
                  <c:v>27353.662011170829</c:v>
                </c:pt>
                <c:pt idx="19">
                  <c:v>25303.368516890645</c:v>
                </c:pt>
                <c:pt idx="20">
                  <c:v>25405.873874871904</c:v>
                </c:pt>
                <c:pt idx="21">
                  <c:v>25289.391025148248</c:v>
                </c:pt>
                <c:pt idx="22">
                  <c:v>21774.025570068185</c:v>
                </c:pt>
                <c:pt idx="23">
                  <c:v>22572.440503837894</c:v>
                </c:pt>
                <c:pt idx="24">
                  <c:v>22465.861263683713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5-420D-ACC9-3546713E68B4}"/>
            </c:ext>
          </c:extLst>
        </c:ser>
        <c:ser>
          <c:idx val="1"/>
          <c:order val="1"/>
          <c:tx>
            <c:strRef>
              <c:f>ResourceCosts!$A$6</c:f>
              <c:strCache>
                <c:ptCount val="1"/>
                <c:pt idx="0">
                  <c:v>Option One - LRET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ResourceCosts!$B$2:$Z$2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ResourceCosts!$B$6:$Z$6</c:f>
              <c:numCache>
                <c:formatCode>0</c:formatCode>
                <c:ptCount val="25"/>
                <c:pt idx="0">
                  <c:v>31497.572906695896</c:v>
                </c:pt>
                <c:pt idx="1">
                  <c:v>32924.981970283123</c:v>
                </c:pt>
                <c:pt idx="2">
                  <c:v>46285.162226959044</c:v>
                </c:pt>
                <c:pt idx="3">
                  <c:v>52292.752759014773</c:v>
                </c:pt>
                <c:pt idx="4">
                  <c:v>50929.78205322854</c:v>
                </c:pt>
                <c:pt idx="5">
                  <c:v>46358.36510541779</c:v>
                </c:pt>
                <c:pt idx="6">
                  <c:v>55758.502812024359</c:v>
                </c:pt>
                <c:pt idx="7">
                  <c:v>36170.323231250783</c:v>
                </c:pt>
                <c:pt idx="8">
                  <c:v>34602.86298295841</c:v>
                </c:pt>
                <c:pt idx="9">
                  <c:v>36227.603682751775</c:v>
                </c:pt>
                <c:pt idx="10">
                  <c:v>41396.705948231858</c:v>
                </c:pt>
                <c:pt idx="11">
                  <c:v>39824.656824745449</c:v>
                </c:pt>
                <c:pt idx="12">
                  <c:v>36836.328533395543</c:v>
                </c:pt>
                <c:pt idx="13">
                  <c:v>17759.814041732181</c:v>
                </c:pt>
                <c:pt idx="14">
                  <c:v>23754.935936680202</c:v>
                </c:pt>
                <c:pt idx="15">
                  <c:v>21671.040187581661</c:v>
                </c:pt>
                <c:pt idx="16">
                  <c:v>19310.121586591722</c:v>
                </c:pt>
                <c:pt idx="17">
                  <c:v>25321.837423258552</c:v>
                </c:pt>
                <c:pt idx="18">
                  <c:v>19833.62821551918</c:v>
                </c:pt>
                <c:pt idx="19">
                  <c:v>19200.077232496551</c:v>
                </c:pt>
                <c:pt idx="20">
                  <c:v>21753.504362447791</c:v>
                </c:pt>
                <c:pt idx="21">
                  <c:v>17436.076933101449</c:v>
                </c:pt>
                <c:pt idx="22">
                  <c:v>15536.003607022014</c:v>
                </c:pt>
                <c:pt idx="23">
                  <c:v>15148.380404167729</c:v>
                </c:pt>
                <c:pt idx="24">
                  <c:v>20173.819333036063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5-420D-ACC9-3546713E68B4}"/>
            </c:ext>
          </c:extLst>
        </c:ser>
        <c:ser>
          <c:idx val="2"/>
          <c:order val="2"/>
          <c:tx>
            <c:strRef>
              <c:f>ResourceCosts!$A$7</c:f>
              <c:strCache>
                <c:ptCount val="1"/>
                <c:pt idx="0">
                  <c:v>Option Two - EIS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ResourceCosts!$B$2:$Z$2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ResourceCosts!$B$7:$Z$7</c:f>
              <c:numCache>
                <c:formatCode>0</c:formatCode>
                <c:ptCount val="25"/>
                <c:pt idx="0">
                  <c:v>31450.3137925345</c:v>
                </c:pt>
                <c:pt idx="1">
                  <c:v>32900.455824189092</c:v>
                </c:pt>
                <c:pt idx="2">
                  <c:v>38990.981068542271</c:v>
                </c:pt>
                <c:pt idx="3">
                  <c:v>37818.697548554235</c:v>
                </c:pt>
                <c:pt idx="4">
                  <c:v>44189.027884979005</c:v>
                </c:pt>
                <c:pt idx="5">
                  <c:v>59404.174511102967</c:v>
                </c:pt>
                <c:pt idx="6">
                  <c:v>45789.524728266319</c:v>
                </c:pt>
                <c:pt idx="7">
                  <c:v>56322.142021316315</c:v>
                </c:pt>
                <c:pt idx="8">
                  <c:v>40090.019920991654</c:v>
                </c:pt>
                <c:pt idx="9">
                  <c:v>26786.526720181875</c:v>
                </c:pt>
                <c:pt idx="10">
                  <c:v>24189.891045002121</c:v>
                </c:pt>
                <c:pt idx="11">
                  <c:v>37205.457946645685</c:v>
                </c:pt>
                <c:pt idx="12">
                  <c:v>24246.383958590162</c:v>
                </c:pt>
                <c:pt idx="13">
                  <c:v>19421.614348108356</c:v>
                </c:pt>
                <c:pt idx="14">
                  <c:v>19581.534128455492</c:v>
                </c:pt>
                <c:pt idx="15">
                  <c:v>19654.35463786191</c:v>
                </c:pt>
                <c:pt idx="16">
                  <c:v>21364.04463274388</c:v>
                </c:pt>
                <c:pt idx="17">
                  <c:v>29371.265724153156</c:v>
                </c:pt>
                <c:pt idx="18">
                  <c:v>22813.4397564151</c:v>
                </c:pt>
                <c:pt idx="19">
                  <c:v>20298.721275819426</c:v>
                </c:pt>
                <c:pt idx="20">
                  <c:v>24966.032263504301</c:v>
                </c:pt>
                <c:pt idx="21">
                  <c:v>20697.510674319907</c:v>
                </c:pt>
                <c:pt idx="22">
                  <c:v>18302.252941077702</c:v>
                </c:pt>
                <c:pt idx="23">
                  <c:v>19860.360394113857</c:v>
                </c:pt>
                <c:pt idx="24">
                  <c:v>19346.360084195541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5-420D-ACC9-3546713E68B4}"/>
            </c:ext>
          </c:extLst>
        </c:ser>
        <c:ser>
          <c:idx val="3"/>
          <c:order val="3"/>
          <c:tx>
            <c:v>Option1 - LRET 2oC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ResourceCosts!$B$2:$Z$2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ResourceCosts!$B$9:$Z$9</c:f>
              <c:numCache>
                <c:formatCode>0</c:formatCode>
                <c:ptCount val="25"/>
                <c:pt idx="0">
                  <c:v>31497.572906695896</c:v>
                </c:pt>
                <c:pt idx="1">
                  <c:v>32453.359756157693</c:v>
                </c:pt>
                <c:pt idx="2">
                  <c:v>42079.07099183675</c:v>
                </c:pt>
                <c:pt idx="3">
                  <c:v>41374.897494941622</c:v>
                </c:pt>
                <c:pt idx="4">
                  <c:v>46876.443952958289</c:v>
                </c:pt>
                <c:pt idx="5">
                  <c:v>38187.519108739172</c:v>
                </c:pt>
                <c:pt idx="6">
                  <c:v>50728.348280591083</c:v>
                </c:pt>
                <c:pt idx="7">
                  <c:v>34692.967233247422</c:v>
                </c:pt>
                <c:pt idx="8">
                  <c:v>37413.568742237738</c:v>
                </c:pt>
                <c:pt idx="9">
                  <c:v>38331.578922793087</c:v>
                </c:pt>
                <c:pt idx="10">
                  <c:v>41793.626467505826</c:v>
                </c:pt>
                <c:pt idx="11">
                  <c:v>39519.064481860631</c:v>
                </c:pt>
                <c:pt idx="12">
                  <c:v>40009.040189900668</c:v>
                </c:pt>
                <c:pt idx="13">
                  <c:v>25051.35117129736</c:v>
                </c:pt>
                <c:pt idx="14">
                  <c:v>28473.172658388336</c:v>
                </c:pt>
                <c:pt idx="15">
                  <c:v>25217.300784385061</c:v>
                </c:pt>
                <c:pt idx="16">
                  <c:v>23449.383289021403</c:v>
                </c:pt>
                <c:pt idx="17">
                  <c:v>26370.222617685034</c:v>
                </c:pt>
                <c:pt idx="18">
                  <c:v>20867.516442757671</c:v>
                </c:pt>
                <c:pt idx="19">
                  <c:v>20232.00860153748</c:v>
                </c:pt>
                <c:pt idx="20">
                  <c:v>22116.388455722801</c:v>
                </c:pt>
                <c:pt idx="21">
                  <c:v>17818.152266925325</c:v>
                </c:pt>
                <c:pt idx="22">
                  <c:v>15884.464053596841</c:v>
                </c:pt>
                <c:pt idx="23">
                  <c:v>15507.809162213878</c:v>
                </c:pt>
                <c:pt idx="24">
                  <c:v>22506.177635055989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5-420D-ACC9-3546713E68B4}"/>
            </c:ext>
          </c:extLst>
        </c:ser>
        <c:ser>
          <c:idx val="4"/>
          <c:order val="4"/>
          <c:tx>
            <c:v>Option Two EIS 2oC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ResourceCosts!$B$2:$Z$2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ResourceCosts!$B$10:$Z$10</c:f>
              <c:numCache>
                <c:formatCode>0</c:formatCode>
                <c:ptCount val="25"/>
                <c:pt idx="0">
                  <c:v>31450.3137925345</c:v>
                </c:pt>
                <c:pt idx="1">
                  <c:v>32900.455824189092</c:v>
                </c:pt>
                <c:pt idx="2">
                  <c:v>38990.981068542271</c:v>
                </c:pt>
                <c:pt idx="3">
                  <c:v>37818.697548554235</c:v>
                </c:pt>
                <c:pt idx="4">
                  <c:v>43796.301889225302</c:v>
                </c:pt>
                <c:pt idx="5">
                  <c:v>44528.963911563675</c:v>
                </c:pt>
                <c:pt idx="6">
                  <c:v>36060.577003213359</c:v>
                </c:pt>
                <c:pt idx="7">
                  <c:v>39754.767184250653</c:v>
                </c:pt>
                <c:pt idx="8">
                  <c:v>37904.037780060047</c:v>
                </c:pt>
                <c:pt idx="9">
                  <c:v>39641.855119935535</c:v>
                </c:pt>
                <c:pt idx="10">
                  <c:v>30799.829134340802</c:v>
                </c:pt>
                <c:pt idx="11">
                  <c:v>45798.018196423232</c:v>
                </c:pt>
                <c:pt idx="12">
                  <c:v>29883.316732754989</c:v>
                </c:pt>
                <c:pt idx="13">
                  <c:v>19950.065304069616</c:v>
                </c:pt>
                <c:pt idx="14">
                  <c:v>20093.430980833829</c:v>
                </c:pt>
                <c:pt idx="15">
                  <c:v>21449.772756637361</c:v>
                </c:pt>
                <c:pt idx="16">
                  <c:v>20325.02412118846</c:v>
                </c:pt>
                <c:pt idx="17">
                  <c:v>27908.300822356287</c:v>
                </c:pt>
                <c:pt idx="18">
                  <c:v>21632.573449443444</c:v>
                </c:pt>
                <c:pt idx="19">
                  <c:v>18715.000999729011</c:v>
                </c:pt>
                <c:pt idx="20">
                  <c:v>22991.666356023154</c:v>
                </c:pt>
                <c:pt idx="21">
                  <c:v>18556.484719846711</c:v>
                </c:pt>
                <c:pt idx="22">
                  <c:v>16080.912035641466</c:v>
                </c:pt>
                <c:pt idx="23">
                  <c:v>16933.85996057963</c:v>
                </c:pt>
                <c:pt idx="24">
                  <c:v>16424.595498114162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35-420D-ACC9-3546713E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976976"/>
        <c:axId val="1223980816"/>
      </c:lineChart>
      <c:catAx>
        <c:axId val="12239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80816"/>
        <c:crosses val="autoZero"/>
        <c:auto val="1"/>
        <c:lblAlgn val="ctr"/>
        <c:lblOffset val="100"/>
        <c:noMultiLvlLbl val="0"/>
      </c:catAx>
      <c:valAx>
        <c:axId val="12239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7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Resource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ResourceCosts!$A$4</c:f>
              <c:strCache>
                <c:ptCount val="1"/>
                <c:pt idx="0">
                  <c:v>Reference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ResourceCosts!$B$2:$Z$2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ResourceCosts!$B$4:$Z$4</c:f>
              <c:numCache>
                <c:formatCode>0</c:formatCode>
                <c:ptCount val="25"/>
                <c:pt idx="0">
                  <c:v>31450.313819981548</c:v>
                </c:pt>
                <c:pt idx="1">
                  <c:v>32906.823432065539</c:v>
                </c:pt>
                <c:pt idx="2">
                  <c:v>38930.642391472706</c:v>
                </c:pt>
                <c:pt idx="3">
                  <c:v>37758.593553489605</c:v>
                </c:pt>
                <c:pt idx="4">
                  <c:v>43812.224863000003</c:v>
                </c:pt>
                <c:pt idx="5">
                  <c:v>33241.03620694518</c:v>
                </c:pt>
                <c:pt idx="6">
                  <c:v>28167.281729578219</c:v>
                </c:pt>
                <c:pt idx="7">
                  <c:v>23988.538726982319</c:v>
                </c:pt>
                <c:pt idx="8">
                  <c:v>30199.684259123791</c:v>
                </c:pt>
                <c:pt idx="9">
                  <c:v>26379.073353613523</c:v>
                </c:pt>
                <c:pt idx="10">
                  <c:v>25336.174272913799</c:v>
                </c:pt>
                <c:pt idx="11">
                  <c:v>42208.994491193233</c:v>
                </c:pt>
                <c:pt idx="12">
                  <c:v>29708.722493739682</c:v>
                </c:pt>
                <c:pt idx="13">
                  <c:v>20616.351675150738</c:v>
                </c:pt>
                <c:pt idx="14">
                  <c:v>31321.555744400262</c:v>
                </c:pt>
                <c:pt idx="15">
                  <c:v>28187.505488321029</c:v>
                </c:pt>
                <c:pt idx="16">
                  <c:v>23359.183285497973</c:v>
                </c:pt>
                <c:pt idx="17">
                  <c:v>35214.416590791639</c:v>
                </c:pt>
                <c:pt idx="18">
                  <c:v>27353.662011170829</c:v>
                </c:pt>
                <c:pt idx="19">
                  <c:v>25303.368516890645</c:v>
                </c:pt>
                <c:pt idx="20">
                  <c:v>25405.873874871904</c:v>
                </c:pt>
                <c:pt idx="21">
                  <c:v>25289.391025148248</c:v>
                </c:pt>
                <c:pt idx="22">
                  <c:v>21774.025570068185</c:v>
                </c:pt>
                <c:pt idx="23">
                  <c:v>22572.440503837894</c:v>
                </c:pt>
                <c:pt idx="24">
                  <c:v>22465.861263683713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6-4028-99BF-AD12E72A8E46}"/>
            </c:ext>
          </c:extLst>
        </c:ser>
        <c:ser>
          <c:idx val="1"/>
          <c:order val="1"/>
          <c:tx>
            <c:strRef>
              <c:f>ResourceCosts!$A$6</c:f>
              <c:strCache>
                <c:ptCount val="1"/>
                <c:pt idx="0">
                  <c:v>Option One - LRET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ResourceCosts!$B$2:$Z$2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ResourceCosts!$B$6:$Z$6</c:f>
              <c:numCache>
                <c:formatCode>0</c:formatCode>
                <c:ptCount val="25"/>
                <c:pt idx="0">
                  <c:v>31497.572906695896</c:v>
                </c:pt>
                <c:pt idx="1">
                  <c:v>32924.981970283123</c:v>
                </c:pt>
                <c:pt idx="2">
                  <c:v>46285.162226959044</c:v>
                </c:pt>
                <c:pt idx="3">
                  <c:v>52292.752759014773</c:v>
                </c:pt>
                <c:pt idx="4">
                  <c:v>50929.78205322854</c:v>
                </c:pt>
                <c:pt idx="5">
                  <c:v>46358.36510541779</c:v>
                </c:pt>
                <c:pt idx="6">
                  <c:v>55758.502812024359</c:v>
                </c:pt>
                <c:pt idx="7">
                  <c:v>36170.323231250783</c:v>
                </c:pt>
                <c:pt idx="8">
                  <c:v>34602.86298295841</c:v>
                </c:pt>
                <c:pt idx="9">
                  <c:v>36227.603682751775</c:v>
                </c:pt>
                <c:pt idx="10">
                  <c:v>41396.705948231858</c:v>
                </c:pt>
                <c:pt idx="11">
                  <c:v>39824.656824745449</c:v>
                </c:pt>
                <c:pt idx="12">
                  <c:v>36836.328533395543</c:v>
                </c:pt>
                <c:pt idx="13">
                  <c:v>17759.814041732181</c:v>
                </c:pt>
                <c:pt idx="14">
                  <c:v>23754.935936680202</c:v>
                </c:pt>
                <c:pt idx="15">
                  <c:v>21671.040187581661</c:v>
                </c:pt>
                <c:pt idx="16">
                  <c:v>19310.121586591722</c:v>
                </c:pt>
                <c:pt idx="17">
                  <c:v>25321.837423258552</c:v>
                </c:pt>
                <c:pt idx="18">
                  <c:v>19833.62821551918</c:v>
                </c:pt>
                <c:pt idx="19">
                  <c:v>19200.077232496551</c:v>
                </c:pt>
                <c:pt idx="20">
                  <c:v>21753.504362447791</c:v>
                </c:pt>
                <c:pt idx="21">
                  <c:v>17436.076933101449</c:v>
                </c:pt>
                <c:pt idx="22">
                  <c:v>15536.003607022014</c:v>
                </c:pt>
                <c:pt idx="23">
                  <c:v>15148.380404167729</c:v>
                </c:pt>
                <c:pt idx="24">
                  <c:v>20173.819333036063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6-4028-99BF-AD12E72A8E46}"/>
            </c:ext>
          </c:extLst>
        </c:ser>
        <c:ser>
          <c:idx val="3"/>
          <c:order val="2"/>
          <c:tx>
            <c:v>Option1 - LRET 2oC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ResourceCosts!$B$2:$Z$2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ResourceCosts!$B$9:$Z$9</c:f>
              <c:numCache>
                <c:formatCode>0</c:formatCode>
                <c:ptCount val="25"/>
                <c:pt idx="0">
                  <c:v>31497.572906695896</c:v>
                </c:pt>
                <c:pt idx="1">
                  <c:v>32453.359756157693</c:v>
                </c:pt>
                <c:pt idx="2">
                  <c:v>42079.07099183675</c:v>
                </c:pt>
                <c:pt idx="3">
                  <c:v>41374.897494941622</c:v>
                </c:pt>
                <c:pt idx="4">
                  <c:v>46876.443952958289</c:v>
                </c:pt>
                <c:pt idx="5">
                  <c:v>38187.519108739172</c:v>
                </c:pt>
                <c:pt idx="6">
                  <c:v>50728.348280591083</c:v>
                </c:pt>
                <c:pt idx="7">
                  <c:v>34692.967233247422</c:v>
                </c:pt>
                <c:pt idx="8">
                  <c:v>37413.568742237738</c:v>
                </c:pt>
                <c:pt idx="9">
                  <c:v>38331.578922793087</c:v>
                </c:pt>
                <c:pt idx="10">
                  <c:v>41793.626467505826</c:v>
                </c:pt>
                <c:pt idx="11">
                  <c:v>39519.064481860631</c:v>
                </c:pt>
                <c:pt idx="12">
                  <c:v>40009.040189900668</c:v>
                </c:pt>
                <c:pt idx="13">
                  <c:v>25051.35117129736</c:v>
                </c:pt>
                <c:pt idx="14">
                  <c:v>28473.172658388336</c:v>
                </c:pt>
                <c:pt idx="15">
                  <c:v>25217.300784385061</c:v>
                </c:pt>
                <c:pt idx="16">
                  <c:v>23449.383289021403</c:v>
                </c:pt>
                <c:pt idx="17">
                  <c:v>26370.222617685034</c:v>
                </c:pt>
                <c:pt idx="18">
                  <c:v>20867.516442757671</c:v>
                </c:pt>
                <c:pt idx="19">
                  <c:v>20232.00860153748</c:v>
                </c:pt>
                <c:pt idx="20">
                  <c:v>22116.388455722801</c:v>
                </c:pt>
                <c:pt idx="21">
                  <c:v>17818.152266925325</c:v>
                </c:pt>
                <c:pt idx="22">
                  <c:v>15884.464053596841</c:v>
                </c:pt>
                <c:pt idx="23">
                  <c:v>15507.809162213878</c:v>
                </c:pt>
                <c:pt idx="24">
                  <c:v>22506.177635055989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66-4028-99BF-AD12E72A8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976976"/>
        <c:axId val="1223980816"/>
      </c:lineChart>
      <c:catAx>
        <c:axId val="12239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80816"/>
        <c:crosses val="autoZero"/>
        <c:auto val="1"/>
        <c:lblAlgn val="ctr"/>
        <c:lblOffset val="100"/>
        <c:noMultiLvlLbl val="0"/>
      </c:catAx>
      <c:valAx>
        <c:axId val="12239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7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Prices!$A$5</c:f>
          <c:strCache>
            <c:ptCount val="1"/>
            <c:pt idx="0">
              <c:v>1.5 Degree limit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Prices!$A$6</c:f>
              <c:strCache>
                <c:ptCount val="1"/>
                <c:pt idx="0">
                  <c:v>Reference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Prices!$B$6:$Z$6</c:f>
              <c:numCache>
                <c:formatCode>0</c:formatCode>
                <c:ptCount val="25"/>
                <c:pt idx="0">
                  <c:v>107.70461597175552</c:v>
                </c:pt>
                <c:pt idx="1">
                  <c:v>97.06104223579905</c:v>
                </c:pt>
                <c:pt idx="2">
                  <c:v>70.54425928939699</c:v>
                </c:pt>
                <c:pt idx="3">
                  <c:v>55.474413684926269</c:v>
                </c:pt>
                <c:pt idx="4">
                  <c:v>37.875298459696957</c:v>
                </c:pt>
                <c:pt idx="5">
                  <c:v>48.238114429590368</c:v>
                </c:pt>
                <c:pt idx="6">
                  <c:v>59.629735339117708</c:v>
                </c:pt>
                <c:pt idx="7">
                  <c:v>75.178400316818283</c:v>
                </c:pt>
                <c:pt idx="8">
                  <c:v>87.065499765550413</c:v>
                </c:pt>
                <c:pt idx="9">
                  <c:v>98.205012037989107</c:v>
                </c:pt>
                <c:pt idx="10">
                  <c:v>98.941180209281455</c:v>
                </c:pt>
                <c:pt idx="11">
                  <c:v>101.82418506423943</c:v>
                </c:pt>
                <c:pt idx="12">
                  <c:v>101.8638315875305</c:v>
                </c:pt>
                <c:pt idx="13">
                  <c:v>97.713162868978813</c:v>
                </c:pt>
                <c:pt idx="14">
                  <c:v>102.39807232457827</c:v>
                </c:pt>
                <c:pt idx="15">
                  <c:v>101.87441546511975</c:v>
                </c:pt>
                <c:pt idx="16">
                  <c:v>104.644122395436</c:v>
                </c:pt>
                <c:pt idx="17">
                  <c:v>104.56383618571623</c:v>
                </c:pt>
                <c:pt idx="18">
                  <c:v>106.74483856864771</c:v>
                </c:pt>
                <c:pt idx="19">
                  <c:v>109.52893826256492</c:v>
                </c:pt>
                <c:pt idx="20">
                  <c:v>108.2289542520104</c:v>
                </c:pt>
                <c:pt idx="21">
                  <c:v>110.00050223570888</c:v>
                </c:pt>
                <c:pt idx="22">
                  <c:v>108.73012327460658</c:v>
                </c:pt>
                <c:pt idx="23">
                  <c:v>107.98613261788088</c:v>
                </c:pt>
                <c:pt idx="24">
                  <c:v>103.68641987034572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5-419C-A5D4-E72BA20CD9AA}"/>
            </c:ext>
          </c:extLst>
        </c:ser>
        <c:ser>
          <c:idx val="1"/>
          <c:order val="1"/>
          <c:tx>
            <c:strRef>
              <c:f>Prices!$A$7</c:f>
              <c:strCache>
                <c:ptCount val="1"/>
                <c:pt idx="0">
                  <c:v>Option One - LRET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Prices!$B$2:$Z$2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Prices!$B$7:$Z$7</c:f>
              <c:numCache>
                <c:formatCode>0</c:formatCode>
                <c:ptCount val="25"/>
                <c:pt idx="0">
                  <c:v>107.70461597175552</c:v>
                </c:pt>
                <c:pt idx="1">
                  <c:v>113.91761522853164</c:v>
                </c:pt>
                <c:pt idx="2">
                  <c:v>64.755613479508398</c:v>
                </c:pt>
                <c:pt idx="3">
                  <c:v>41.01138425189977</c:v>
                </c:pt>
                <c:pt idx="4">
                  <c:v>37.216653599723713</c:v>
                </c:pt>
                <c:pt idx="5">
                  <c:v>88.957705992458727</c:v>
                </c:pt>
                <c:pt idx="6">
                  <c:v>99.567842580983736</c:v>
                </c:pt>
                <c:pt idx="7">
                  <c:v>93.210676471308801</c:v>
                </c:pt>
                <c:pt idx="8">
                  <c:v>94.947743835569469</c:v>
                </c:pt>
                <c:pt idx="9">
                  <c:v>111.52447944999382</c:v>
                </c:pt>
                <c:pt idx="10">
                  <c:v>111.0051816003907</c:v>
                </c:pt>
                <c:pt idx="11">
                  <c:v>107.62922138563192</c:v>
                </c:pt>
                <c:pt idx="12">
                  <c:v>110.19372892554023</c:v>
                </c:pt>
                <c:pt idx="13">
                  <c:v>114.52534230994605</c:v>
                </c:pt>
                <c:pt idx="14">
                  <c:v>113.8345358090485</c:v>
                </c:pt>
                <c:pt idx="15">
                  <c:v>114.58388849675168</c:v>
                </c:pt>
                <c:pt idx="16">
                  <c:v>120.64087921173599</c:v>
                </c:pt>
                <c:pt idx="17">
                  <c:v>125.48123915315941</c:v>
                </c:pt>
                <c:pt idx="18">
                  <c:v>132.93005578491599</c:v>
                </c:pt>
                <c:pt idx="19">
                  <c:v>135.27376869534876</c:v>
                </c:pt>
                <c:pt idx="20">
                  <c:v>136.70983618564719</c:v>
                </c:pt>
                <c:pt idx="21">
                  <c:v>139.98948763522179</c:v>
                </c:pt>
                <c:pt idx="22">
                  <c:v>145.43237438642313</c:v>
                </c:pt>
                <c:pt idx="23">
                  <c:v>152.61671027798059</c:v>
                </c:pt>
                <c:pt idx="24">
                  <c:v>156.24148245046905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5-419C-A5D4-E72BA20CD9AA}"/>
            </c:ext>
          </c:extLst>
        </c:ser>
        <c:ser>
          <c:idx val="2"/>
          <c:order val="2"/>
          <c:tx>
            <c:strRef>
              <c:f>Prices!$A$8</c:f>
              <c:strCache>
                <c:ptCount val="1"/>
                <c:pt idx="0">
                  <c:v>Option Two - EIS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Prices!$B$2:$Z$2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Prices!$B$8:$Z$8</c:f>
              <c:numCache>
                <c:formatCode>0</c:formatCode>
                <c:ptCount val="25"/>
                <c:pt idx="0">
                  <c:v>107.70461597175552</c:v>
                </c:pt>
                <c:pt idx="1">
                  <c:v>97.06104223579905</c:v>
                </c:pt>
                <c:pt idx="2">
                  <c:v>70.55008122626657</c:v>
                </c:pt>
                <c:pt idx="3">
                  <c:v>55.544745737369901</c:v>
                </c:pt>
                <c:pt idx="4">
                  <c:v>49.06569229604078</c:v>
                </c:pt>
                <c:pt idx="5">
                  <c:v>119.07867021289687</c:v>
                </c:pt>
                <c:pt idx="6">
                  <c:v>121.33135153167841</c:v>
                </c:pt>
                <c:pt idx="7">
                  <c:v>99.211422763198996</c:v>
                </c:pt>
                <c:pt idx="8">
                  <c:v>97.179048532985149</c:v>
                </c:pt>
                <c:pt idx="9">
                  <c:v>119.42442917413686</c:v>
                </c:pt>
                <c:pt idx="10">
                  <c:v>116.24698119568239</c:v>
                </c:pt>
                <c:pt idx="11">
                  <c:v>107.38676727479833</c:v>
                </c:pt>
                <c:pt idx="12">
                  <c:v>100.27764935729392</c:v>
                </c:pt>
                <c:pt idx="13">
                  <c:v>109.35565758056032</c:v>
                </c:pt>
                <c:pt idx="14">
                  <c:v>109.74895594079783</c:v>
                </c:pt>
                <c:pt idx="15">
                  <c:v>103.89958642602528</c:v>
                </c:pt>
                <c:pt idx="16">
                  <c:v>110.8555107401598</c:v>
                </c:pt>
                <c:pt idx="17">
                  <c:v>110.69706843961484</c:v>
                </c:pt>
                <c:pt idx="18">
                  <c:v>121.53281695722541</c:v>
                </c:pt>
                <c:pt idx="19">
                  <c:v>119.91665955227951</c:v>
                </c:pt>
                <c:pt idx="20">
                  <c:v>108.06153535049708</c:v>
                </c:pt>
                <c:pt idx="21">
                  <c:v>100.82882341843909</c:v>
                </c:pt>
                <c:pt idx="22">
                  <c:v>103.75949630041056</c:v>
                </c:pt>
                <c:pt idx="23">
                  <c:v>105.77385433596328</c:v>
                </c:pt>
                <c:pt idx="24">
                  <c:v>101.46172332674527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95-419C-A5D4-E72BA20CD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473952"/>
        <c:axId val="1829486912"/>
      </c:lineChart>
      <c:catAx>
        <c:axId val="18294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86912"/>
        <c:crosses val="autoZero"/>
        <c:auto val="1"/>
        <c:lblAlgn val="ctr"/>
        <c:lblOffset val="100"/>
        <c:noMultiLvlLbl val="0"/>
      </c:catAx>
      <c:valAx>
        <c:axId val="18294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7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2.0 Degree limit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Prices!$A$10</c:f>
              <c:strCache>
                <c:ptCount val="1"/>
                <c:pt idx="0">
                  <c:v>Reference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Prices!$B$2:$Z$2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Prices!$B$10:$Z$10</c:f>
              <c:numCache>
                <c:formatCode>0</c:formatCode>
                <c:ptCount val="25"/>
                <c:pt idx="0">
                  <c:v>107.70461597175552</c:v>
                </c:pt>
                <c:pt idx="1">
                  <c:v>97.06104223579905</c:v>
                </c:pt>
                <c:pt idx="2">
                  <c:v>70.54425928939699</c:v>
                </c:pt>
                <c:pt idx="3">
                  <c:v>55.474413684926269</c:v>
                </c:pt>
                <c:pt idx="4">
                  <c:v>37.875298459696957</c:v>
                </c:pt>
                <c:pt idx="5">
                  <c:v>48.238114429590368</c:v>
                </c:pt>
                <c:pt idx="6">
                  <c:v>59.629735339117708</c:v>
                </c:pt>
                <c:pt idx="7">
                  <c:v>75.178400316818283</c:v>
                </c:pt>
                <c:pt idx="8">
                  <c:v>87.065499765550413</c:v>
                </c:pt>
                <c:pt idx="9">
                  <c:v>98.205012037989107</c:v>
                </c:pt>
                <c:pt idx="10">
                  <c:v>98.941180209281455</c:v>
                </c:pt>
                <c:pt idx="11">
                  <c:v>101.82418506423943</c:v>
                </c:pt>
                <c:pt idx="12">
                  <c:v>101.8638315875305</c:v>
                </c:pt>
                <c:pt idx="13">
                  <c:v>97.713162868978813</c:v>
                </c:pt>
                <c:pt idx="14">
                  <c:v>102.39807232457827</c:v>
                </c:pt>
                <c:pt idx="15">
                  <c:v>101.87441546511975</c:v>
                </c:pt>
                <c:pt idx="16">
                  <c:v>104.644122395436</c:v>
                </c:pt>
                <c:pt idx="17">
                  <c:v>104.56383618571623</c:v>
                </c:pt>
                <c:pt idx="18">
                  <c:v>106.74483856864771</c:v>
                </c:pt>
                <c:pt idx="19">
                  <c:v>109.52893826256492</c:v>
                </c:pt>
                <c:pt idx="20">
                  <c:v>108.2289542520104</c:v>
                </c:pt>
                <c:pt idx="21">
                  <c:v>110.00050223570888</c:v>
                </c:pt>
                <c:pt idx="22">
                  <c:v>108.73012327460658</c:v>
                </c:pt>
                <c:pt idx="23">
                  <c:v>107.98613261788088</c:v>
                </c:pt>
                <c:pt idx="24">
                  <c:v>103.68641987034572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3D-4FA5-80C0-98403C3EFE1A}"/>
            </c:ext>
          </c:extLst>
        </c:ser>
        <c:ser>
          <c:idx val="1"/>
          <c:order val="1"/>
          <c:tx>
            <c:strRef>
              <c:f>Prices!$A$11</c:f>
              <c:strCache>
                <c:ptCount val="1"/>
                <c:pt idx="0">
                  <c:v>Option One - LRET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Prices!$B$2:$Z$2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Prices!$B$11:$Z$11</c:f>
              <c:numCache>
                <c:formatCode>0</c:formatCode>
                <c:ptCount val="25"/>
                <c:pt idx="0">
                  <c:v>107.70461597175552</c:v>
                </c:pt>
                <c:pt idx="1">
                  <c:v>114.60974422451821</c:v>
                </c:pt>
                <c:pt idx="2">
                  <c:v>71.117732304213831</c:v>
                </c:pt>
                <c:pt idx="3">
                  <c:v>53.485348005927285</c:v>
                </c:pt>
                <c:pt idx="4">
                  <c:v>38.543965994566165</c:v>
                </c:pt>
                <c:pt idx="5">
                  <c:v>68.557411928667307</c:v>
                </c:pt>
                <c:pt idx="6">
                  <c:v>70.277375498815402</c:v>
                </c:pt>
                <c:pt idx="7">
                  <c:v>75.757560619336431</c:v>
                </c:pt>
                <c:pt idx="8">
                  <c:v>72.672645359738681</c:v>
                </c:pt>
                <c:pt idx="9">
                  <c:v>92.119482790592556</c:v>
                </c:pt>
                <c:pt idx="10">
                  <c:v>93.571451656475858</c:v>
                </c:pt>
                <c:pt idx="11">
                  <c:v>89.619144771871362</c:v>
                </c:pt>
                <c:pt idx="12">
                  <c:v>96.452080097400113</c:v>
                </c:pt>
                <c:pt idx="13">
                  <c:v>91.30980426622628</c:v>
                </c:pt>
                <c:pt idx="14">
                  <c:v>90.580436316937949</c:v>
                </c:pt>
                <c:pt idx="15">
                  <c:v>94.51239552405039</c:v>
                </c:pt>
                <c:pt idx="16">
                  <c:v>94.375831372619388</c:v>
                </c:pt>
                <c:pt idx="17">
                  <c:v>97.689268497833368</c:v>
                </c:pt>
                <c:pt idx="18">
                  <c:v>103.62310740455763</c:v>
                </c:pt>
                <c:pt idx="19">
                  <c:v>105.58743523845399</c:v>
                </c:pt>
                <c:pt idx="20">
                  <c:v>104.56866072302226</c:v>
                </c:pt>
                <c:pt idx="21">
                  <c:v>106.84421720097447</c:v>
                </c:pt>
                <c:pt idx="22">
                  <c:v>108.38140088061675</c:v>
                </c:pt>
                <c:pt idx="23">
                  <c:v>113.23745336923986</c:v>
                </c:pt>
                <c:pt idx="24">
                  <c:v>111.25031647557353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3D-4FA5-80C0-98403C3EFE1A}"/>
            </c:ext>
          </c:extLst>
        </c:ser>
        <c:ser>
          <c:idx val="2"/>
          <c:order val="2"/>
          <c:tx>
            <c:strRef>
              <c:f>Prices!$A$12</c:f>
              <c:strCache>
                <c:ptCount val="1"/>
                <c:pt idx="0">
                  <c:v>Option Two - EIS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Prices!$B$2:$Z$2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Prices!$B$12:$Z$12</c:f>
              <c:numCache>
                <c:formatCode>0</c:formatCode>
                <c:ptCount val="25"/>
                <c:pt idx="0">
                  <c:v>107.70368782928033</c:v>
                </c:pt>
                <c:pt idx="1">
                  <c:v>97.060142596316084</c:v>
                </c:pt>
                <c:pt idx="2">
                  <c:v>70.548891530936544</c:v>
                </c:pt>
                <c:pt idx="3">
                  <c:v>55.542935849330846</c:v>
                </c:pt>
                <c:pt idx="4">
                  <c:v>37.689540653143077</c:v>
                </c:pt>
                <c:pt idx="5">
                  <c:v>75.648764755638041</c:v>
                </c:pt>
                <c:pt idx="6">
                  <c:v>73.982923755385414</c:v>
                </c:pt>
                <c:pt idx="7">
                  <c:v>71.96212166848693</c:v>
                </c:pt>
                <c:pt idx="8">
                  <c:v>81.619713457762472</c:v>
                </c:pt>
                <c:pt idx="9">
                  <c:v>93.617950413589071</c:v>
                </c:pt>
                <c:pt idx="10">
                  <c:v>94.550797923755596</c:v>
                </c:pt>
                <c:pt idx="11">
                  <c:v>88.077130608486286</c:v>
                </c:pt>
                <c:pt idx="12">
                  <c:v>84.155785154137746</c:v>
                </c:pt>
                <c:pt idx="13">
                  <c:v>97.132054986736577</c:v>
                </c:pt>
                <c:pt idx="14">
                  <c:v>100.16041034621486</c:v>
                </c:pt>
                <c:pt idx="15">
                  <c:v>94.679995346803196</c:v>
                </c:pt>
                <c:pt idx="16">
                  <c:v>98.844213457861613</c:v>
                </c:pt>
                <c:pt idx="17">
                  <c:v>102.44563270732721</c:v>
                </c:pt>
                <c:pt idx="18">
                  <c:v>115.33876774540174</c:v>
                </c:pt>
                <c:pt idx="19">
                  <c:v>116.38108699750377</c:v>
                </c:pt>
                <c:pt idx="20">
                  <c:v>111.53885562431763</c:v>
                </c:pt>
                <c:pt idx="21">
                  <c:v>109.82482973850978</c:v>
                </c:pt>
                <c:pt idx="22">
                  <c:v>117.0698127785127</c:v>
                </c:pt>
                <c:pt idx="23">
                  <c:v>117.40990105748618</c:v>
                </c:pt>
                <c:pt idx="24">
                  <c:v>112.67748374468127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3D-4FA5-80C0-98403C3EF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473952"/>
        <c:axId val="1829486912"/>
      </c:lineChart>
      <c:catAx>
        <c:axId val="18294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86912"/>
        <c:crosses val="autoZero"/>
        <c:auto val="1"/>
        <c:lblAlgn val="ctr"/>
        <c:lblOffset val="100"/>
        <c:noMultiLvlLbl val="0"/>
      </c:catAx>
      <c:valAx>
        <c:axId val="1829486912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73952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17860</xdr:colOff>
      <xdr:row>23</xdr:row>
      <xdr:rowOff>9525</xdr:rowOff>
    </xdr:from>
    <xdr:to>
      <xdr:col>12</xdr:col>
      <xdr:colOff>226219</xdr:colOff>
      <xdr:row>40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EDF98-8838-59F0-291A-2DC68940B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23</xdr:col>
      <xdr:colOff>208360</xdr:colOff>
      <xdr:row>40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E7989B-0071-48FB-94BF-6217FE49F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41671</xdr:colOff>
      <xdr:row>22</xdr:row>
      <xdr:rowOff>176210</xdr:rowOff>
    </xdr:from>
    <xdr:to>
      <xdr:col>10</xdr:col>
      <xdr:colOff>392906</xdr:colOff>
      <xdr:row>40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B99D0-66C1-39D5-1BDB-64AEBB4CF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35719</xdr:colOff>
      <xdr:row>31</xdr:row>
      <xdr:rowOff>176213</xdr:rowOff>
    </xdr:from>
    <xdr:to>
      <xdr:col>9</xdr:col>
      <xdr:colOff>273843</xdr:colOff>
      <xdr:row>50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A125B-0E1F-5E21-B4BE-AA63B53C6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470296</xdr:colOff>
      <xdr:row>38</xdr:row>
      <xdr:rowOff>176211</xdr:rowOff>
    </xdr:from>
    <xdr:to>
      <xdr:col>14</xdr:col>
      <xdr:colOff>11906</xdr:colOff>
      <xdr:row>57</xdr:row>
      <xdr:rowOff>71436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606D7-337B-11F4-48EB-65F8D127E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39</xdr:row>
      <xdr:rowOff>0</xdr:rowOff>
    </xdr:from>
    <xdr:to>
      <xdr:col>25</xdr:col>
      <xdr:colOff>148829</xdr:colOff>
      <xdr:row>57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32B7D1-754D-4193-8A7F-8BC720DA3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386953</xdr:colOff>
      <xdr:row>2</xdr:row>
      <xdr:rowOff>21431</xdr:rowOff>
    </xdr:from>
    <xdr:to>
      <xdr:col>34</xdr:col>
      <xdr:colOff>101203</xdr:colOff>
      <xdr:row>16</xdr:row>
      <xdr:rowOff>97631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99A3B3-3AA6-E77D-F799-172B48917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422672</xdr:colOff>
      <xdr:row>16</xdr:row>
      <xdr:rowOff>57149</xdr:rowOff>
    </xdr:from>
    <xdr:to>
      <xdr:col>34</xdr:col>
      <xdr:colOff>136922</xdr:colOff>
      <xdr:row>30</xdr:row>
      <xdr:rowOff>178592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A27C3A-69F9-41A8-49E0-17965022F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18E9-DAB8-4A30-A7B6-C61352D6F590}">
  <dimension ref="A1:AD21"/>
  <sheetViews>
    <sheetView topLeftCell="A24" zoomScale="80" zoomScaleNormal="80" workbookViewId="0">
      <selection activeCell="AA34" sqref="AA34"/>
    </sheetView>
  </sheetViews>
  <sheetFormatPr defaultRowHeight="15" x14ac:dyDescent="0.25"/>
  <cols>
    <col min="1" max="1" width="24.85546875" customWidth="1"/>
  </cols>
  <sheetData>
    <row r="1" spans="1:30" ht="24" x14ac:dyDescent="0.4">
      <c r="A1" s="1" t="s">
        <v>4</v>
      </c>
    </row>
    <row r="2" spans="1:30" x14ac:dyDescent="0.25">
      <c r="A2" s="6"/>
      <c r="B2" s="7">
        <v>2025</v>
      </c>
      <c r="C2" s="7">
        <f>B2+1</f>
        <v>2026</v>
      </c>
      <c r="D2" s="7">
        <f t="shared" ref="D2:AA2" si="0">C2+1</f>
        <v>2027</v>
      </c>
      <c r="E2" s="7">
        <f t="shared" si="0"/>
        <v>2028</v>
      </c>
      <c r="F2" s="7">
        <f t="shared" si="0"/>
        <v>2029</v>
      </c>
      <c r="G2" s="7">
        <f t="shared" si="0"/>
        <v>2030</v>
      </c>
      <c r="H2" s="7">
        <f t="shared" si="0"/>
        <v>2031</v>
      </c>
      <c r="I2" s="7">
        <f t="shared" si="0"/>
        <v>2032</v>
      </c>
      <c r="J2" s="7">
        <f t="shared" si="0"/>
        <v>2033</v>
      </c>
      <c r="K2" s="7">
        <f t="shared" si="0"/>
        <v>2034</v>
      </c>
      <c r="L2" s="7">
        <f t="shared" si="0"/>
        <v>2035</v>
      </c>
      <c r="M2" s="7">
        <f t="shared" si="0"/>
        <v>2036</v>
      </c>
      <c r="N2" s="7">
        <f t="shared" si="0"/>
        <v>2037</v>
      </c>
      <c r="O2" s="7">
        <f t="shared" si="0"/>
        <v>2038</v>
      </c>
      <c r="P2" s="7">
        <f t="shared" si="0"/>
        <v>2039</v>
      </c>
      <c r="Q2" s="7">
        <f t="shared" si="0"/>
        <v>2040</v>
      </c>
      <c r="R2" s="7">
        <f t="shared" si="0"/>
        <v>2041</v>
      </c>
      <c r="S2" s="7">
        <f t="shared" si="0"/>
        <v>2042</v>
      </c>
      <c r="T2" s="7">
        <f t="shared" si="0"/>
        <v>2043</v>
      </c>
      <c r="U2" s="7">
        <f t="shared" si="0"/>
        <v>2044</v>
      </c>
      <c r="V2" s="7">
        <f t="shared" si="0"/>
        <v>2045</v>
      </c>
      <c r="W2" s="7">
        <f t="shared" si="0"/>
        <v>2046</v>
      </c>
      <c r="X2" s="7">
        <f t="shared" si="0"/>
        <v>2047</v>
      </c>
      <c r="Y2" s="7">
        <f t="shared" si="0"/>
        <v>2048</v>
      </c>
      <c r="Z2" s="7">
        <f t="shared" si="0"/>
        <v>2049</v>
      </c>
      <c r="AA2" s="7">
        <f t="shared" si="0"/>
        <v>2050</v>
      </c>
    </row>
    <row r="3" spans="1:30" x14ac:dyDescent="0.25">
      <c r="A3" s="5" t="s">
        <v>18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30" x14ac:dyDescent="0.25">
      <c r="A4" t="s">
        <v>0</v>
      </c>
      <c r="B4" s="2">
        <v>118.26822145257067</v>
      </c>
      <c r="C4" s="2">
        <v>113.76480558830768</v>
      </c>
      <c r="D4" s="2">
        <v>111.14490322958935</v>
      </c>
      <c r="E4" s="2">
        <v>106.10244447210789</v>
      </c>
      <c r="F4" s="2">
        <v>94.471894670065964</v>
      </c>
      <c r="G4" s="2">
        <v>92.735775071392055</v>
      </c>
      <c r="H4" s="2">
        <v>88.629034027701437</v>
      </c>
      <c r="I4" s="2">
        <v>87.51550617595754</v>
      </c>
      <c r="J4" s="2">
        <v>84.870447296772483</v>
      </c>
      <c r="K4" s="2">
        <v>80.339655712011094</v>
      </c>
      <c r="L4" s="2">
        <v>65.708089715691685</v>
      </c>
      <c r="M4" s="2">
        <v>62.09041167225994</v>
      </c>
      <c r="N4" s="2">
        <v>57.532416369928725</v>
      </c>
      <c r="O4" s="2">
        <v>54.207000433539875</v>
      </c>
      <c r="P4" s="2">
        <v>54.001416803302348</v>
      </c>
      <c r="Q4" s="2">
        <v>49.639010869287731</v>
      </c>
      <c r="R4" s="2">
        <v>44.345714770669041</v>
      </c>
      <c r="S4" s="2">
        <v>45.172334444595684</v>
      </c>
      <c r="T4" s="2">
        <v>40.668913203758926</v>
      </c>
      <c r="U4" s="2">
        <v>40.169183362351298</v>
      </c>
      <c r="V4" s="2">
        <v>38.293549727976206</v>
      </c>
      <c r="W4" s="2">
        <v>35.884029017843936</v>
      </c>
      <c r="X4" s="2">
        <v>31.913108078817864</v>
      </c>
      <c r="Y4" s="2">
        <v>30.020055422550687</v>
      </c>
      <c r="Z4" s="2">
        <v>30.288211448321505</v>
      </c>
      <c r="AA4" s="2">
        <v>30.026006550618945</v>
      </c>
    </row>
    <row r="5" spans="1:30" x14ac:dyDescent="0.25">
      <c r="A5" t="s">
        <v>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30" x14ac:dyDescent="0.25">
      <c r="A6" s="9" t="s">
        <v>1</v>
      </c>
      <c r="B6" s="2">
        <f>B4</f>
        <v>118.26822145257067</v>
      </c>
      <c r="C6" s="2">
        <v>114.066</v>
      </c>
      <c r="D6" s="2">
        <v>107.0647</v>
      </c>
      <c r="E6" s="2">
        <v>90.398889999999994</v>
      </c>
      <c r="F6" s="2">
        <v>69.415840000000003</v>
      </c>
      <c r="G6" s="2">
        <v>58.440820000000002</v>
      </c>
      <c r="H6" s="2">
        <v>51.433540000000001</v>
      </c>
      <c r="I6" s="2">
        <v>42.318840000000002</v>
      </c>
      <c r="J6" s="2">
        <v>38.430079999999997</v>
      </c>
      <c r="K6" s="2">
        <v>31.59872</v>
      </c>
      <c r="L6" s="2">
        <v>16.514309999999998</v>
      </c>
      <c r="M6" s="2">
        <v>9.98489</v>
      </c>
      <c r="N6" s="2">
        <v>8.5269399999999997</v>
      </c>
      <c r="O6" s="2">
        <v>8.0339749999999999</v>
      </c>
      <c r="P6" s="2">
        <v>6.9295049999999998</v>
      </c>
      <c r="Q6" s="2">
        <v>6.1718149999999996</v>
      </c>
      <c r="R6" s="2">
        <v>5.8038740000000004</v>
      </c>
      <c r="S6" s="2">
        <v>6.156822</v>
      </c>
      <c r="T6" s="2">
        <v>6.2279689999999999</v>
      </c>
      <c r="U6" s="2">
        <v>6.402018</v>
      </c>
      <c r="V6" s="2">
        <v>6.1899749999999996</v>
      </c>
      <c r="W6" s="2">
        <v>5.8834759999999999</v>
      </c>
      <c r="X6" s="2">
        <v>5.703938</v>
      </c>
      <c r="Y6" s="2">
        <v>6.1004139999999998</v>
      </c>
      <c r="Z6" s="2">
        <v>6.3690629999999997</v>
      </c>
      <c r="AA6" s="2">
        <v>6.4526440000000003</v>
      </c>
    </row>
    <row r="7" spans="1:30" x14ac:dyDescent="0.25">
      <c r="A7" s="9" t="s">
        <v>9</v>
      </c>
      <c r="B7" s="2">
        <f>B6</f>
        <v>118.26822145257067</v>
      </c>
      <c r="C7" s="2">
        <v>113.73</v>
      </c>
      <c r="D7" s="2">
        <v>111.05370000000001</v>
      </c>
      <c r="E7" s="2">
        <v>103.9704</v>
      </c>
      <c r="F7" s="2">
        <v>90.107249999999993</v>
      </c>
      <c r="G7" s="2">
        <v>82.846900000000005</v>
      </c>
      <c r="H7" s="2">
        <v>48.271099999999997</v>
      </c>
      <c r="I7" s="2">
        <v>35.213979999999999</v>
      </c>
      <c r="J7" s="2">
        <v>19.66001</v>
      </c>
      <c r="K7" s="2">
        <v>13.898529999999999</v>
      </c>
      <c r="L7" s="2">
        <v>10.31677</v>
      </c>
      <c r="M7" s="2">
        <v>9.3275330000000007</v>
      </c>
      <c r="N7" s="2">
        <v>8.0642420000000001</v>
      </c>
      <c r="O7" s="2">
        <v>7.349297</v>
      </c>
      <c r="P7" s="2">
        <v>7.4006499999999997</v>
      </c>
      <c r="Q7" s="2">
        <v>6.901071</v>
      </c>
      <c r="R7" s="2">
        <v>6.3637740000000003</v>
      </c>
      <c r="S7" s="2">
        <v>6.338184</v>
      </c>
      <c r="T7" s="2">
        <v>5.9923599999999997</v>
      </c>
      <c r="U7" s="2">
        <v>6.1708959999999999</v>
      </c>
      <c r="V7" s="2">
        <v>5.7025129999999997</v>
      </c>
      <c r="W7" s="2">
        <v>4.6671709999999997</v>
      </c>
      <c r="X7" s="2">
        <v>3.8956930000000001</v>
      </c>
      <c r="Y7" s="2">
        <v>4.1442240000000004</v>
      </c>
      <c r="Z7" s="2">
        <v>4.1388119999999997</v>
      </c>
      <c r="AA7" s="2">
        <v>4.109172</v>
      </c>
    </row>
    <row r="8" spans="1:30" x14ac:dyDescent="0.25">
      <c r="A8" t="s">
        <v>29</v>
      </c>
    </row>
    <row r="9" spans="1:30" x14ac:dyDescent="0.25">
      <c r="A9" s="9" t="s">
        <v>1</v>
      </c>
      <c r="B9" s="2">
        <f>B4</f>
        <v>118.26822145257067</v>
      </c>
      <c r="C9" s="2">
        <v>114.066</v>
      </c>
      <c r="D9" s="2">
        <v>107.41719999999999</v>
      </c>
      <c r="E9" s="2">
        <v>94.626249999999999</v>
      </c>
      <c r="F9" s="2">
        <v>79.544259999999994</v>
      </c>
      <c r="G9" s="2">
        <v>71.099010000000007</v>
      </c>
      <c r="H9" s="2">
        <v>67.491280000000003</v>
      </c>
      <c r="I9" s="2">
        <v>61.78313</v>
      </c>
      <c r="J9" s="2">
        <v>57.31794</v>
      </c>
      <c r="K9" s="2">
        <v>48.745930000000001</v>
      </c>
      <c r="L9" s="2">
        <v>34.473149999999997</v>
      </c>
      <c r="M9" s="2">
        <v>25.125920000000001</v>
      </c>
      <c r="N9" s="2">
        <v>20.947679999999998</v>
      </c>
      <c r="O9" s="2">
        <v>18.179860000000001</v>
      </c>
      <c r="P9" s="2">
        <v>14.54283</v>
      </c>
      <c r="Q9" s="2">
        <v>11.18107</v>
      </c>
      <c r="R9" s="2">
        <v>8.6266110000000005</v>
      </c>
      <c r="S9" s="2">
        <v>8.6782170000000001</v>
      </c>
      <c r="T9" s="2">
        <v>8.6391799999999996</v>
      </c>
      <c r="U9" s="2">
        <v>8.7375500000000006</v>
      </c>
      <c r="V9" s="2">
        <v>8.4590340000000008</v>
      </c>
      <c r="W9" s="2">
        <v>8.0574049999999993</v>
      </c>
      <c r="X9" s="2">
        <v>7.8643999999999998</v>
      </c>
      <c r="Y9" s="2">
        <v>8.2956950000000003</v>
      </c>
      <c r="Z9" s="2">
        <v>8.5849240000000009</v>
      </c>
      <c r="AA9" s="2">
        <v>8.5961809999999996</v>
      </c>
    </row>
    <row r="10" spans="1:30" x14ac:dyDescent="0.25">
      <c r="A10" s="9" t="s">
        <v>9</v>
      </c>
      <c r="B10" s="2">
        <f>B4</f>
        <v>118.26822145257067</v>
      </c>
      <c r="C10" s="2">
        <v>113.73009597874385</v>
      </c>
      <c r="D10" s="2">
        <v>111.05377995228136</v>
      </c>
      <c r="E10" s="2">
        <v>103.97052089457131</v>
      </c>
      <c r="F10" s="2">
        <v>90.107274193498256</v>
      </c>
      <c r="G10" s="2">
        <v>85.399802302020007</v>
      </c>
      <c r="H10" s="2">
        <v>68.158126865365276</v>
      </c>
      <c r="I10" s="2">
        <v>65.048348577459308</v>
      </c>
      <c r="J10" s="2">
        <v>56.78306738695705</v>
      </c>
      <c r="K10" s="2">
        <v>48.836551665931538</v>
      </c>
      <c r="L10" s="2">
        <v>31.740279533709288</v>
      </c>
      <c r="M10" s="2">
        <v>25.752765309089337</v>
      </c>
      <c r="N10" s="2">
        <v>18.220433825705683</v>
      </c>
      <c r="O10" s="2">
        <v>12.244681898614367</v>
      </c>
      <c r="P10" s="2">
        <v>10.000034429492226</v>
      </c>
      <c r="Q10" s="2">
        <v>8.8834285052346527</v>
      </c>
      <c r="R10" s="2">
        <v>7.8137869596264178</v>
      </c>
      <c r="S10" s="2">
        <v>7.9110049327403251</v>
      </c>
      <c r="T10" s="2">
        <v>7.363163883097477</v>
      </c>
      <c r="U10" s="2">
        <v>7.6763225763687286</v>
      </c>
      <c r="V10" s="2">
        <v>7.6588483600774877</v>
      </c>
      <c r="W10" s="2">
        <v>6.7769144649294448</v>
      </c>
      <c r="X10" s="2">
        <v>6.0527827360485791</v>
      </c>
      <c r="Y10" s="2">
        <v>6.3482679851983175</v>
      </c>
      <c r="Z10" s="2">
        <v>5.9020649696703513</v>
      </c>
      <c r="AA10" s="2">
        <v>5.5991231691609471</v>
      </c>
    </row>
    <row r="12" spans="1:30" x14ac:dyDescent="0.25">
      <c r="A12" s="5" t="s">
        <v>3</v>
      </c>
    </row>
    <row r="13" spans="1:30" x14ac:dyDescent="0.25">
      <c r="A13" t="s">
        <v>28</v>
      </c>
    </row>
    <row r="14" spans="1:30" x14ac:dyDescent="0.25">
      <c r="A14" s="9" t="s">
        <v>12</v>
      </c>
      <c r="B14" s="2">
        <f>B$4-B6</f>
        <v>0</v>
      </c>
      <c r="C14" s="2">
        <f t="shared" ref="C14:AA14" si="1">C4-C6</f>
        <v>-0.30119441169232175</v>
      </c>
      <c r="D14" s="2">
        <f t="shared" si="1"/>
        <v>4.080203229589344</v>
      </c>
      <c r="E14" s="2">
        <f t="shared" si="1"/>
        <v>15.703554472107896</v>
      </c>
      <c r="F14" s="2">
        <f t="shared" si="1"/>
        <v>25.056054670065961</v>
      </c>
      <c r="G14" s="2">
        <f t="shared" si="1"/>
        <v>34.294955071392053</v>
      </c>
      <c r="H14" s="2">
        <f t="shared" si="1"/>
        <v>37.195494027701436</v>
      </c>
      <c r="I14" s="2">
        <f t="shared" si="1"/>
        <v>45.196666175957539</v>
      </c>
      <c r="J14" s="2">
        <f t="shared" si="1"/>
        <v>46.440367296772486</v>
      </c>
      <c r="K14" s="2">
        <f t="shared" si="1"/>
        <v>48.740935712011094</v>
      </c>
      <c r="L14" s="2">
        <f t="shared" si="1"/>
        <v>49.19377971569169</v>
      </c>
      <c r="M14" s="2">
        <f t="shared" si="1"/>
        <v>52.10552167225994</v>
      </c>
      <c r="N14" s="2">
        <f t="shared" si="1"/>
        <v>49.005476369928729</v>
      </c>
      <c r="O14" s="2">
        <f t="shared" si="1"/>
        <v>46.173025433539877</v>
      </c>
      <c r="P14" s="2">
        <f t="shared" si="1"/>
        <v>47.071911803302349</v>
      </c>
      <c r="Q14" s="2">
        <f t="shared" si="1"/>
        <v>43.467195869287728</v>
      </c>
      <c r="R14" s="2">
        <f t="shared" si="1"/>
        <v>38.54184077066904</v>
      </c>
      <c r="S14" s="2">
        <f t="shared" si="1"/>
        <v>39.015512444595686</v>
      </c>
      <c r="T14" s="2">
        <f t="shared" si="1"/>
        <v>34.440944203758924</v>
      </c>
      <c r="U14" s="2">
        <f t="shared" si="1"/>
        <v>33.7671653623513</v>
      </c>
      <c r="V14" s="2">
        <f t="shared" si="1"/>
        <v>32.103574727976209</v>
      </c>
      <c r="W14" s="2">
        <f t="shared" si="1"/>
        <v>30.000553017843934</v>
      </c>
      <c r="X14" s="2">
        <f t="shared" si="1"/>
        <v>26.209170078817863</v>
      </c>
      <c r="Y14" s="2">
        <f t="shared" si="1"/>
        <v>23.919641422550686</v>
      </c>
      <c r="Z14" s="2">
        <f t="shared" si="1"/>
        <v>23.919148448321504</v>
      </c>
      <c r="AA14" s="2">
        <f t="shared" si="1"/>
        <v>23.573362550618945</v>
      </c>
      <c r="AC14" s="2">
        <f>SUM(B14:AA14)</f>
        <v>848.91486013541987</v>
      </c>
      <c r="AD14" t="s">
        <v>19</v>
      </c>
    </row>
    <row r="15" spans="1:30" x14ac:dyDescent="0.25">
      <c r="A15" s="9" t="s">
        <v>13</v>
      </c>
      <c r="B15" s="2">
        <f>B$4-B7</f>
        <v>0</v>
      </c>
      <c r="C15" s="2">
        <f t="shared" ref="C15:AA15" si="2">C$4-C7</f>
        <v>3.4805588307676771E-2</v>
      </c>
      <c r="D15" s="2">
        <f t="shared" si="2"/>
        <v>9.1203229589339685E-2</v>
      </c>
      <c r="E15" s="2">
        <f t="shared" si="2"/>
        <v>2.1320444721078928</v>
      </c>
      <c r="F15" s="2">
        <f t="shared" si="2"/>
        <v>4.3646446700659709</v>
      </c>
      <c r="G15" s="2">
        <f t="shared" si="2"/>
        <v>9.8888750713920501</v>
      </c>
      <c r="H15" s="2">
        <f t="shared" si="2"/>
        <v>40.35793402770144</v>
      </c>
      <c r="I15" s="2">
        <f t="shared" si="2"/>
        <v>52.301526175957541</v>
      </c>
      <c r="J15" s="2">
        <f t="shared" si="2"/>
        <v>65.210437296772483</v>
      </c>
      <c r="K15" s="2">
        <f t="shared" si="2"/>
        <v>66.4411257120111</v>
      </c>
      <c r="L15" s="2">
        <f t="shared" si="2"/>
        <v>55.391319715691687</v>
      </c>
      <c r="M15" s="2">
        <f t="shared" si="2"/>
        <v>52.762878672259937</v>
      </c>
      <c r="N15" s="2">
        <f t="shared" si="2"/>
        <v>49.468174369928725</v>
      </c>
      <c r="O15" s="2">
        <f t="shared" si="2"/>
        <v>46.857703433539875</v>
      </c>
      <c r="P15" s="2">
        <f t="shared" si="2"/>
        <v>46.600766803302349</v>
      </c>
      <c r="Q15" s="2">
        <f t="shared" si="2"/>
        <v>42.737939869287729</v>
      </c>
      <c r="R15" s="2">
        <f t="shared" si="2"/>
        <v>37.981940770669041</v>
      </c>
      <c r="S15" s="2">
        <f t="shared" si="2"/>
        <v>38.834150444595686</v>
      </c>
      <c r="T15" s="2">
        <f t="shared" si="2"/>
        <v>34.676553203758928</v>
      </c>
      <c r="U15" s="2">
        <f t="shared" si="2"/>
        <v>33.998287362351299</v>
      </c>
      <c r="V15" s="2">
        <f t="shared" si="2"/>
        <v>32.591036727976203</v>
      </c>
      <c r="W15" s="2">
        <f t="shared" si="2"/>
        <v>31.216858017843936</v>
      </c>
      <c r="X15" s="2">
        <f t="shared" si="2"/>
        <v>28.017415078817862</v>
      </c>
      <c r="Y15" s="2">
        <f t="shared" si="2"/>
        <v>25.875831422550686</v>
      </c>
      <c r="Z15" s="2">
        <f t="shared" si="2"/>
        <v>26.149399448321503</v>
      </c>
      <c r="AA15" s="2">
        <f t="shared" si="2"/>
        <v>25.916834550618944</v>
      </c>
      <c r="AC15" s="2">
        <f>SUM(B15:AA15)</f>
        <v>849.89968613541987</v>
      </c>
      <c r="AD15" t="s">
        <v>19</v>
      </c>
    </row>
    <row r="16" spans="1:30" x14ac:dyDescent="0.25">
      <c r="A16" s="9" t="s">
        <v>14</v>
      </c>
      <c r="B16" s="2">
        <f t="shared" ref="B16:AA16" si="3">B6-B7</f>
        <v>0</v>
      </c>
      <c r="C16" s="2">
        <f t="shared" si="3"/>
        <v>0.33599999999999852</v>
      </c>
      <c r="D16" s="2">
        <f t="shared" si="3"/>
        <v>-3.9890000000000043</v>
      </c>
      <c r="E16" s="2">
        <f t="shared" si="3"/>
        <v>-13.571510000000004</v>
      </c>
      <c r="F16" s="2">
        <f t="shared" si="3"/>
        <v>-20.691409999999991</v>
      </c>
      <c r="G16" s="2">
        <f t="shared" si="3"/>
        <v>-24.406080000000003</v>
      </c>
      <c r="H16" s="2">
        <f t="shared" si="3"/>
        <v>3.1624400000000037</v>
      </c>
      <c r="I16" s="2">
        <f t="shared" si="3"/>
        <v>7.1048600000000022</v>
      </c>
      <c r="J16" s="2">
        <f t="shared" si="3"/>
        <v>18.770069999999997</v>
      </c>
      <c r="K16" s="2">
        <f t="shared" si="3"/>
        <v>17.700189999999999</v>
      </c>
      <c r="L16" s="2">
        <f t="shared" si="3"/>
        <v>6.1975399999999983</v>
      </c>
      <c r="M16" s="2">
        <f t="shared" si="3"/>
        <v>0.6573569999999993</v>
      </c>
      <c r="N16" s="2">
        <f t="shared" si="3"/>
        <v>0.46269799999999961</v>
      </c>
      <c r="O16" s="2">
        <f t="shared" si="3"/>
        <v>0.6846779999999999</v>
      </c>
      <c r="P16" s="2">
        <f t="shared" si="3"/>
        <v>-0.47114499999999992</v>
      </c>
      <c r="Q16" s="2">
        <f t="shared" si="3"/>
        <v>-0.72925600000000035</v>
      </c>
      <c r="R16" s="2">
        <f t="shared" si="3"/>
        <v>-0.55989999999999984</v>
      </c>
      <c r="S16" s="2">
        <f t="shared" si="3"/>
        <v>-0.18136200000000002</v>
      </c>
      <c r="T16" s="2">
        <f t="shared" si="3"/>
        <v>0.23560900000000018</v>
      </c>
      <c r="U16" s="2">
        <f t="shared" si="3"/>
        <v>0.23112200000000005</v>
      </c>
      <c r="V16" s="2">
        <f t="shared" si="3"/>
        <v>0.48746199999999984</v>
      </c>
      <c r="W16" s="2">
        <f t="shared" si="3"/>
        <v>1.2163050000000002</v>
      </c>
      <c r="X16" s="2">
        <f t="shared" si="3"/>
        <v>1.8082449999999999</v>
      </c>
      <c r="Y16" s="2">
        <f t="shared" si="3"/>
        <v>1.9561899999999994</v>
      </c>
      <c r="Z16" s="2">
        <f t="shared" si="3"/>
        <v>2.230251</v>
      </c>
      <c r="AA16" s="2">
        <f t="shared" si="3"/>
        <v>2.3434720000000002</v>
      </c>
      <c r="AC16" s="2">
        <f>SUM(B16:AA16)</f>
        <v>0.98482599999999554</v>
      </c>
      <c r="AD16" t="s">
        <v>20</v>
      </c>
    </row>
    <row r="17" spans="1:29" x14ac:dyDescent="0.25">
      <c r="A17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9" x14ac:dyDescent="0.25">
      <c r="A18" s="9" t="s">
        <v>12</v>
      </c>
      <c r="B18" s="2">
        <f>B$4-B9</f>
        <v>0</v>
      </c>
      <c r="C18" s="2">
        <f t="shared" ref="C18:AA18" si="4">C$4-C9</f>
        <v>-0.30119441169232175</v>
      </c>
      <c r="D18" s="2">
        <f t="shared" si="4"/>
        <v>3.727703229589352</v>
      </c>
      <c r="E18" s="2">
        <f t="shared" si="4"/>
        <v>11.476194472107892</v>
      </c>
      <c r="F18" s="2">
        <f t="shared" si="4"/>
        <v>14.92763467006597</v>
      </c>
      <c r="G18" s="2">
        <f t="shared" si="4"/>
        <v>21.636765071392048</v>
      </c>
      <c r="H18" s="2">
        <f t="shared" si="4"/>
        <v>21.137754027701433</v>
      </c>
      <c r="I18" s="2">
        <f t="shared" si="4"/>
        <v>25.73237617595754</v>
      </c>
      <c r="J18" s="2">
        <f t="shared" si="4"/>
        <v>27.552507296772482</v>
      </c>
      <c r="K18" s="2">
        <f t="shared" si="4"/>
        <v>31.593725712011093</v>
      </c>
      <c r="L18" s="2">
        <f t="shared" si="4"/>
        <v>31.234939715691688</v>
      </c>
      <c r="M18" s="2">
        <f t="shared" si="4"/>
        <v>36.964491672259939</v>
      </c>
      <c r="N18" s="2">
        <f t="shared" si="4"/>
        <v>36.584736369928727</v>
      </c>
      <c r="O18" s="2">
        <f t="shared" si="4"/>
        <v>36.02714043353987</v>
      </c>
      <c r="P18" s="2">
        <f t="shared" si="4"/>
        <v>39.458586803302346</v>
      </c>
      <c r="Q18" s="2">
        <f t="shared" si="4"/>
        <v>38.457940869287732</v>
      </c>
      <c r="R18" s="2">
        <f t="shared" si="4"/>
        <v>35.719103770669037</v>
      </c>
      <c r="S18" s="2">
        <f t="shared" si="4"/>
        <v>36.494117444595688</v>
      </c>
      <c r="T18" s="2">
        <f t="shared" si="4"/>
        <v>32.029733203758923</v>
      </c>
      <c r="U18" s="2">
        <f t="shared" si="4"/>
        <v>31.431633362351299</v>
      </c>
      <c r="V18" s="2">
        <f t="shared" si="4"/>
        <v>29.834515727976203</v>
      </c>
      <c r="W18" s="2">
        <f t="shared" si="4"/>
        <v>27.826624017843937</v>
      </c>
      <c r="X18" s="2">
        <f t="shared" si="4"/>
        <v>24.048708078817864</v>
      </c>
      <c r="Y18" s="2">
        <f t="shared" si="4"/>
        <v>21.724360422550689</v>
      </c>
      <c r="Z18" s="2">
        <f t="shared" si="4"/>
        <v>21.703287448321504</v>
      </c>
      <c r="AA18" s="2">
        <f t="shared" si="4"/>
        <v>21.429825550618943</v>
      </c>
      <c r="AC18" s="2">
        <f>SUM(B18:AA18)</f>
        <v>658.45321113542002</v>
      </c>
    </row>
    <row r="19" spans="1:29" x14ac:dyDescent="0.25">
      <c r="A19" s="9" t="s">
        <v>13</v>
      </c>
      <c r="B19" s="2">
        <f>B$4-B10</f>
        <v>0</v>
      </c>
      <c r="C19" s="2">
        <f t="shared" ref="C19:AA19" si="5">C$4-C10</f>
        <v>3.470960956383351E-2</v>
      </c>
      <c r="D19" s="2">
        <f t="shared" si="5"/>
        <v>9.1123277307985973E-2</v>
      </c>
      <c r="E19" s="2">
        <f t="shared" si="5"/>
        <v>2.1319235775365826</v>
      </c>
      <c r="F19" s="2">
        <f t="shared" si="5"/>
        <v>4.3646204765677084</v>
      </c>
      <c r="G19" s="2">
        <f t="shared" si="5"/>
        <v>7.3359727693720487</v>
      </c>
      <c r="H19" s="2">
        <f t="shared" si="5"/>
        <v>20.470907162336161</v>
      </c>
      <c r="I19" s="2">
        <f t="shared" si="5"/>
        <v>22.467157598498233</v>
      </c>
      <c r="J19" s="2">
        <f t="shared" si="5"/>
        <v>28.087379909815432</v>
      </c>
      <c r="K19" s="2">
        <f t="shared" si="5"/>
        <v>31.503104046079557</v>
      </c>
      <c r="L19" s="2">
        <f t="shared" si="5"/>
        <v>33.967810181982401</v>
      </c>
      <c r="M19" s="2">
        <f t="shared" si="5"/>
        <v>36.337646363170606</v>
      </c>
      <c r="N19" s="2">
        <f t="shared" si="5"/>
        <v>39.311982544223042</v>
      </c>
      <c r="O19" s="2">
        <f t="shared" si="5"/>
        <v>41.962318534925508</v>
      </c>
      <c r="P19" s="2">
        <f t="shared" si="5"/>
        <v>44.001382373810124</v>
      </c>
      <c r="Q19" s="2">
        <f t="shared" si="5"/>
        <v>40.755582364053076</v>
      </c>
      <c r="R19" s="2">
        <f t="shared" si="5"/>
        <v>36.531927811042621</v>
      </c>
      <c r="S19" s="2">
        <f t="shared" si="5"/>
        <v>37.261329511855358</v>
      </c>
      <c r="T19" s="2">
        <f t="shared" si="5"/>
        <v>33.305749320661448</v>
      </c>
      <c r="U19" s="2">
        <f t="shared" si="5"/>
        <v>32.492860785982572</v>
      </c>
      <c r="V19" s="2">
        <f t="shared" si="5"/>
        <v>30.634701367898717</v>
      </c>
      <c r="W19" s="2">
        <f t="shared" si="5"/>
        <v>29.107114552914492</v>
      </c>
      <c r="X19" s="2">
        <f t="shared" si="5"/>
        <v>25.860325342769286</v>
      </c>
      <c r="Y19" s="2">
        <f t="shared" si="5"/>
        <v>23.671787437352371</v>
      </c>
      <c r="Z19" s="2">
        <f t="shared" si="5"/>
        <v>24.386146478651153</v>
      </c>
      <c r="AA19" s="2">
        <f t="shared" si="5"/>
        <v>24.426883381457998</v>
      </c>
      <c r="AC19" s="2">
        <f>SUM(B19:AA19)</f>
        <v>650.50244677982835</v>
      </c>
    </row>
    <row r="20" spans="1:29" x14ac:dyDescent="0.25">
      <c r="A20" s="9" t="s">
        <v>14</v>
      </c>
      <c r="B20" s="2">
        <f>B9-B10</f>
        <v>0</v>
      </c>
      <c r="C20" s="2">
        <f t="shared" ref="C20:AA20" si="6">C9-C10</f>
        <v>0.33590402125615526</v>
      </c>
      <c r="D20" s="2">
        <f t="shared" si="6"/>
        <v>-3.636579952281366</v>
      </c>
      <c r="E20" s="2">
        <f t="shared" si="6"/>
        <v>-9.3442708945713093</v>
      </c>
      <c r="F20" s="2">
        <f t="shared" si="6"/>
        <v>-10.563014193498262</v>
      </c>
      <c r="G20" s="2">
        <f t="shared" si="6"/>
        <v>-14.30079230202</v>
      </c>
      <c r="H20" s="2">
        <f t="shared" si="6"/>
        <v>-0.66684686536527238</v>
      </c>
      <c r="I20" s="2">
        <f t="shared" si="6"/>
        <v>-3.2652185774593079</v>
      </c>
      <c r="J20" s="2">
        <f t="shared" si="6"/>
        <v>0.53487261304294975</v>
      </c>
      <c r="K20" s="2">
        <f t="shared" si="6"/>
        <v>-9.0621665931536199E-2</v>
      </c>
      <c r="L20" s="2">
        <f t="shared" si="6"/>
        <v>2.7328704662907093</v>
      </c>
      <c r="M20" s="2">
        <f t="shared" si="6"/>
        <v>-0.62684530908933667</v>
      </c>
      <c r="N20" s="2">
        <f t="shared" si="6"/>
        <v>2.727246174294315</v>
      </c>
      <c r="O20" s="2">
        <f t="shared" si="6"/>
        <v>5.9351781013856346</v>
      </c>
      <c r="P20" s="2">
        <f t="shared" si="6"/>
        <v>4.5427955705077743</v>
      </c>
      <c r="Q20" s="2">
        <f t="shared" si="6"/>
        <v>2.2976414947653474</v>
      </c>
      <c r="R20" s="2">
        <f t="shared" si="6"/>
        <v>0.81282404037358269</v>
      </c>
      <c r="S20" s="2">
        <f t="shared" si="6"/>
        <v>0.76721206725967495</v>
      </c>
      <c r="T20" s="2">
        <f t="shared" si="6"/>
        <v>1.2760161169025226</v>
      </c>
      <c r="U20" s="2">
        <f t="shared" si="6"/>
        <v>1.061227423631272</v>
      </c>
      <c r="V20" s="2">
        <f t="shared" si="6"/>
        <v>0.80018563992251313</v>
      </c>
      <c r="W20" s="2">
        <f t="shared" si="6"/>
        <v>1.2804905350705544</v>
      </c>
      <c r="X20" s="2">
        <f t="shared" si="6"/>
        <v>1.8116172639514208</v>
      </c>
      <c r="Y20" s="2">
        <f t="shared" si="6"/>
        <v>1.9474270148016828</v>
      </c>
      <c r="Z20" s="2">
        <f t="shared" si="6"/>
        <v>2.6828590303296496</v>
      </c>
      <c r="AA20" s="2">
        <f t="shared" si="6"/>
        <v>2.9970578308390525</v>
      </c>
      <c r="AC20" s="2">
        <f>SUM(B20:AA20)</f>
        <v>-7.9507643555915788</v>
      </c>
    </row>
    <row r="21" spans="1:29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D73B-122C-4E37-AA67-9A04AB332B53}">
  <dimension ref="A1:AA21"/>
  <sheetViews>
    <sheetView zoomScale="80" zoomScaleNormal="80" workbookViewId="0">
      <selection activeCell="B18" sqref="B18:B20"/>
    </sheetView>
  </sheetViews>
  <sheetFormatPr defaultRowHeight="15" x14ac:dyDescent="0.25"/>
  <cols>
    <col min="1" max="1" width="28.42578125" customWidth="1"/>
  </cols>
  <sheetData>
    <row r="1" spans="1:27" ht="24" x14ac:dyDescent="0.4">
      <c r="A1" s="1" t="s">
        <v>5</v>
      </c>
    </row>
    <row r="2" spans="1:27" x14ac:dyDescent="0.25">
      <c r="A2" s="6"/>
      <c r="B2" s="7">
        <v>2025</v>
      </c>
      <c r="C2" s="7">
        <f>B2+1</f>
        <v>2026</v>
      </c>
      <c r="D2" s="7">
        <f t="shared" ref="D2:AA2" si="0">C2+1</f>
        <v>2027</v>
      </c>
      <c r="E2" s="7">
        <f t="shared" si="0"/>
        <v>2028</v>
      </c>
      <c r="F2" s="7">
        <f t="shared" si="0"/>
        <v>2029</v>
      </c>
      <c r="G2" s="7">
        <f t="shared" si="0"/>
        <v>2030</v>
      </c>
      <c r="H2" s="7">
        <f t="shared" si="0"/>
        <v>2031</v>
      </c>
      <c r="I2" s="7">
        <f t="shared" si="0"/>
        <v>2032</v>
      </c>
      <c r="J2" s="7">
        <f t="shared" si="0"/>
        <v>2033</v>
      </c>
      <c r="K2" s="7">
        <f t="shared" si="0"/>
        <v>2034</v>
      </c>
      <c r="L2" s="7">
        <f t="shared" si="0"/>
        <v>2035</v>
      </c>
      <c r="M2" s="7">
        <f t="shared" si="0"/>
        <v>2036</v>
      </c>
      <c r="N2" s="7">
        <f t="shared" si="0"/>
        <v>2037</v>
      </c>
      <c r="O2" s="7">
        <f t="shared" si="0"/>
        <v>2038</v>
      </c>
      <c r="P2" s="7">
        <f t="shared" si="0"/>
        <v>2039</v>
      </c>
      <c r="Q2" s="7">
        <f t="shared" si="0"/>
        <v>2040</v>
      </c>
      <c r="R2" s="7">
        <f t="shared" si="0"/>
        <v>2041</v>
      </c>
      <c r="S2" s="7">
        <f t="shared" si="0"/>
        <v>2042</v>
      </c>
      <c r="T2" s="7">
        <f t="shared" si="0"/>
        <v>2043</v>
      </c>
      <c r="U2" s="7">
        <f t="shared" si="0"/>
        <v>2044</v>
      </c>
      <c r="V2" s="7">
        <f t="shared" si="0"/>
        <v>2045</v>
      </c>
      <c r="W2" s="7">
        <f t="shared" si="0"/>
        <v>2046</v>
      </c>
      <c r="X2" s="7">
        <f t="shared" si="0"/>
        <v>2047</v>
      </c>
      <c r="Y2" s="7">
        <f t="shared" si="0"/>
        <v>2048</v>
      </c>
      <c r="Z2" s="7">
        <f t="shared" si="0"/>
        <v>2049</v>
      </c>
      <c r="AA2" s="7">
        <f t="shared" si="0"/>
        <v>2050</v>
      </c>
    </row>
    <row r="3" spans="1:27" x14ac:dyDescent="0.25">
      <c r="A3" s="5" t="s">
        <v>21</v>
      </c>
    </row>
    <row r="4" spans="1:27" x14ac:dyDescent="0.25">
      <c r="A4" t="s">
        <v>0</v>
      </c>
      <c r="B4" s="2">
        <v>20991.86</v>
      </c>
      <c r="C4" s="2">
        <v>19448.260000000002</v>
      </c>
      <c r="D4" s="2">
        <v>19448.260000000002</v>
      </c>
      <c r="E4" s="2">
        <v>19131.060000000001</v>
      </c>
      <c r="F4" s="2">
        <v>16191.260000000002</v>
      </c>
      <c r="G4" s="2">
        <v>15980.260000000002</v>
      </c>
      <c r="H4" s="2">
        <v>15343.259999999998</v>
      </c>
      <c r="I4" s="2">
        <v>14102.46</v>
      </c>
      <c r="J4" s="2">
        <v>12861.66</v>
      </c>
      <c r="K4" s="2">
        <v>11607.66</v>
      </c>
      <c r="L4" s="2">
        <v>9554.2800000000007</v>
      </c>
      <c r="M4" s="2">
        <v>7386.9400000000005</v>
      </c>
      <c r="N4" s="2">
        <v>6326.52</v>
      </c>
      <c r="O4" s="2">
        <v>6326.52</v>
      </c>
      <c r="P4" s="2">
        <v>6326.52</v>
      </c>
      <c r="Q4" s="2">
        <v>6326.52</v>
      </c>
      <c r="R4" s="2">
        <v>4996.5200000000004</v>
      </c>
      <c r="S4" s="2">
        <v>4319.4800000000005</v>
      </c>
      <c r="T4" s="2">
        <v>3987.3300000000004</v>
      </c>
      <c r="U4" s="2">
        <v>3655.1800000000003</v>
      </c>
      <c r="V4" s="2">
        <v>3323.03</v>
      </c>
      <c r="W4" s="2">
        <v>2990.88</v>
      </c>
      <c r="X4" s="2">
        <v>2990.88</v>
      </c>
      <c r="Y4" s="2">
        <v>2006.48</v>
      </c>
      <c r="Z4" s="2">
        <v>2006.48</v>
      </c>
      <c r="AA4" s="2">
        <v>2006.48</v>
      </c>
    </row>
    <row r="5" spans="1:27" x14ac:dyDescent="0.25">
      <c r="A5" t="s">
        <v>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9" t="s">
        <v>1</v>
      </c>
      <c r="B6" s="2">
        <v>20991.86</v>
      </c>
      <c r="C6" s="2">
        <v>19448.260000000002</v>
      </c>
      <c r="D6" s="2">
        <v>18085.710000000003</v>
      </c>
      <c r="E6" s="2">
        <v>18283.71</v>
      </c>
      <c r="F6" s="2">
        <v>15676.060000000001</v>
      </c>
      <c r="G6" s="2">
        <v>13885.66</v>
      </c>
      <c r="H6" s="2">
        <v>11031.559999999998</v>
      </c>
      <c r="I6" s="2">
        <v>7373.86</v>
      </c>
      <c r="J6" s="2">
        <v>7373.86</v>
      </c>
      <c r="K6" s="2">
        <v>7373.86</v>
      </c>
      <c r="L6" s="2">
        <v>2493.48</v>
      </c>
      <c r="M6" s="2">
        <v>677.04</v>
      </c>
      <c r="N6" s="2">
        <v>677.04</v>
      </c>
      <c r="O6" s="2">
        <v>677.04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25">
      <c r="A7" s="9" t="s">
        <v>9</v>
      </c>
      <c r="B7" s="2">
        <v>20991.86</v>
      </c>
      <c r="C7" s="2">
        <v>19448.260000000002</v>
      </c>
      <c r="D7" s="2">
        <v>19448.260000000002</v>
      </c>
      <c r="E7" s="2">
        <v>19131.060000000001</v>
      </c>
      <c r="F7" s="2">
        <v>16191.260000000002</v>
      </c>
      <c r="G7" s="2">
        <v>15980.260000000002</v>
      </c>
      <c r="H7" s="2">
        <v>9536.99</v>
      </c>
      <c r="I7" s="2">
        <v>5343.7699999999995</v>
      </c>
      <c r="J7" s="2">
        <v>1477.92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x14ac:dyDescent="0.25">
      <c r="A8" t="s">
        <v>29</v>
      </c>
    </row>
    <row r="9" spans="1:27" x14ac:dyDescent="0.25">
      <c r="A9" s="9" t="s">
        <v>1</v>
      </c>
      <c r="B9" s="2">
        <v>20991.86</v>
      </c>
      <c r="C9" s="2">
        <v>19448.260000000002</v>
      </c>
      <c r="D9" s="2">
        <v>18085.710000000003</v>
      </c>
      <c r="E9" s="2">
        <v>18798.91</v>
      </c>
      <c r="F9" s="2">
        <v>15676.060000000001</v>
      </c>
      <c r="G9" s="2">
        <v>15465.060000000001</v>
      </c>
      <c r="H9" s="2">
        <v>14828.060000000001</v>
      </c>
      <c r="I9" s="2">
        <v>13171.260000000002</v>
      </c>
      <c r="J9" s="2">
        <v>10981.46</v>
      </c>
      <c r="K9" s="2">
        <v>9700.31</v>
      </c>
      <c r="L9" s="2">
        <v>6675.61</v>
      </c>
      <c r="M9" s="2">
        <v>3251.92</v>
      </c>
      <c r="N9" s="2">
        <v>3251.92</v>
      </c>
      <c r="O9" s="2">
        <v>2267.52</v>
      </c>
      <c r="P9" s="2">
        <v>1477.92</v>
      </c>
      <c r="Q9" s="2">
        <v>677.04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x14ac:dyDescent="0.25">
      <c r="A10" s="9" t="s">
        <v>9</v>
      </c>
      <c r="B10" s="2">
        <v>20991.86</v>
      </c>
      <c r="C10" s="2">
        <v>19448.260000000002</v>
      </c>
      <c r="D10" s="2">
        <v>19448.260000000002</v>
      </c>
      <c r="E10" s="2">
        <v>19131.060000000001</v>
      </c>
      <c r="F10" s="2">
        <v>16191.260000000002</v>
      </c>
      <c r="G10" s="2">
        <v>15980.260000000002</v>
      </c>
      <c r="H10" s="2">
        <v>14412.060000000001</v>
      </c>
      <c r="I10" s="2">
        <v>13639.260000000002</v>
      </c>
      <c r="J10" s="2">
        <v>13381.66</v>
      </c>
      <c r="K10" s="2">
        <v>10537.71</v>
      </c>
      <c r="L10" s="2">
        <v>5202.68</v>
      </c>
      <c r="M10" s="2">
        <v>3792.32</v>
      </c>
      <c r="N10" s="2">
        <v>2462.3200000000002</v>
      </c>
      <c r="O10" s="2">
        <v>800.88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2" spans="1:27" x14ac:dyDescent="0.25">
      <c r="A12" s="5" t="s">
        <v>3</v>
      </c>
    </row>
    <row r="13" spans="1:27" x14ac:dyDescent="0.25">
      <c r="A13" t="s">
        <v>28</v>
      </c>
    </row>
    <row r="14" spans="1:27" x14ac:dyDescent="0.25">
      <c r="A14" s="9" t="s">
        <v>12</v>
      </c>
      <c r="B14" s="2">
        <f>B$4-B6</f>
        <v>0</v>
      </c>
      <c r="C14" s="2">
        <f t="shared" ref="C14:AA14" si="1">C4-C6</f>
        <v>0</v>
      </c>
      <c r="D14" s="2">
        <f t="shared" si="1"/>
        <v>1362.5499999999993</v>
      </c>
      <c r="E14" s="2">
        <f t="shared" si="1"/>
        <v>847.35000000000218</v>
      </c>
      <c r="F14" s="2">
        <f t="shared" si="1"/>
        <v>515.20000000000073</v>
      </c>
      <c r="G14" s="2">
        <f t="shared" si="1"/>
        <v>2094.6000000000022</v>
      </c>
      <c r="H14" s="2">
        <f t="shared" si="1"/>
        <v>4311.7000000000007</v>
      </c>
      <c r="I14" s="2">
        <f t="shared" si="1"/>
        <v>6728.5999999999995</v>
      </c>
      <c r="J14" s="2">
        <f t="shared" si="1"/>
        <v>5487.8</v>
      </c>
      <c r="K14" s="2">
        <f t="shared" si="1"/>
        <v>4233.8</v>
      </c>
      <c r="L14" s="2">
        <f t="shared" si="1"/>
        <v>7060.8000000000011</v>
      </c>
      <c r="M14" s="2">
        <f t="shared" si="1"/>
        <v>6709.9000000000005</v>
      </c>
      <c r="N14" s="2">
        <f t="shared" si="1"/>
        <v>5649.4800000000005</v>
      </c>
      <c r="O14" s="2">
        <f t="shared" si="1"/>
        <v>5649.4800000000005</v>
      </c>
      <c r="P14" s="2">
        <f t="shared" si="1"/>
        <v>6326.52</v>
      </c>
      <c r="Q14" s="2">
        <f t="shared" si="1"/>
        <v>6326.52</v>
      </c>
      <c r="R14" s="2">
        <f t="shared" si="1"/>
        <v>4996.5200000000004</v>
      </c>
      <c r="S14" s="2">
        <f t="shared" si="1"/>
        <v>4319.4800000000005</v>
      </c>
      <c r="T14" s="2">
        <f t="shared" si="1"/>
        <v>3987.3300000000004</v>
      </c>
      <c r="U14" s="2">
        <f t="shared" si="1"/>
        <v>3655.1800000000003</v>
      </c>
      <c r="V14" s="2">
        <f t="shared" si="1"/>
        <v>3323.03</v>
      </c>
      <c r="W14" s="2">
        <f t="shared" si="1"/>
        <v>2990.88</v>
      </c>
      <c r="X14" s="2">
        <f t="shared" si="1"/>
        <v>2990.88</v>
      </c>
      <c r="Y14" s="2">
        <f t="shared" si="1"/>
        <v>2006.48</v>
      </c>
      <c r="Z14" s="2">
        <f t="shared" si="1"/>
        <v>2006.48</v>
      </c>
      <c r="AA14" s="2">
        <f t="shared" si="1"/>
        <v>2006.48</v>
      </c>
    </row>
    <row r="15" spans="1:27" x14ac:dyDescent="0.25">
      <c r="A15" s="9" t="s">
        <v>13</v>
      </c>
      <c r="B15" s="2">
        <f t="shared" ref="B15:AA15" si="2">B$4-B7</f>
        <v>0</v>
      </c>
      <c r="C15" s="2">
        <f t="shared" si="2"/>
        <v>0</v>
      </c>
      <c r="D15" s="2">
        <f t="shared" si="2"/>
        <v>0</v>
      </c>
      <c r="E15" s="2">
        <f t="shared" si="2"/>
        <v>0</v>
      </c>
      <c r="F15" s="2">
        <f t="shared" si="2"/>
        <v>0</v>
      </c>
      <c r="G15" s="2">
        <f t="shared" si="2"/>
        <v>0</v>
      </c>
      <c r="H15" s="2">
        <f t="shared" si="2"/>
        <v>5806.2699999999986</v>
      </c>
      <c r="I15" s="2">
        <f t="shared" si="2"/>
        <v>8758.6899999999987</v>
      </c>
      <c r="J15" s="2">
        <f t="shared" si="2"/>
        <v>11383.74</v>
      </c>
      <c r="K15" s="2">
        <f t="shared" si="2"/>
        <v>11607.66</v>
      </c>
      <c r="L15" s="2">
        <f t="shared" si="2"/>
        <v>9554.2800000000007</v>
      </c>
      <c r="M15" s="2">
        <f t="shared" si="2"/>
        <v>7386.9400000000005</v>
      </c>
      <c r="N15" s="2">
        <f t="shared" si="2"/>
        <v>6326.52</v>
      </c>
      <c r="O15" s="2">
        <f t="shared" si="2"/>
        <v>6326.52</v>
      </c>
      <c r="P15" s="2">
        <f t="shared" si="2"/>
        <v>6326.52</v>
      </c>
      <c r="Q15" s="2">
        <f t="shared" si="2"/>
        <v>6326.52</v>
      </c>
      <c r="R15" s="2">
        <f t="shared" si="2"/>
        <v>4996.5200000000004</v>
      </c>
      <c r="S15" s="2">
        <f t="shared" si="2"/>
        <v>4319.4800000000005</v>
      </c>
      <c r="T15" s="2">
        <f t="shared" si="2"/>
        <v>3987.3300000000004</v>
      </c>
      <c r="U15" s="2">
        <f t="shared" si="2"/>
        <v>3655.1800000000003</v>
      </c>
      <c r="V15" s="2">
        <f t="shared" si="2"/>
        <v>3323.03</v>
      </c>
      <c r="W15" s="2">
        <f t="shared" si="2"/>
        <v>2990.88</v>
      </c>
      <c r="X15" s="2">
        <f t="shared" si="2"/>
        <v>2990.88</v>
      </c>
      <c r="Y15" s="2">
        <f t="shared" si="2"/>
        <v>2006.48</v>
      </c>
      <c r="Z15" s="2">
        <f t="shared" si="2"/>
        <v>2006.48</v>
      </c>
      <c r="AA15" s="2">
        <f t="shared" si="2"/>
        <v>2006.48</v>
      </c>
    </row>
    <row r="16" spans="1:27" x14ac:dyDescent="0.25">
      <c r="A16" s="9" t="s">
        <v>14</v>
      </c>
      <c r="B16" s="2">
        <f>B6-B7</f>
        <v>0</v>
      </c>
      <c r="C16" s="2">
        <f t="shared" ref="C16:AA16" si="3">C6-C7</f>
        <v>0</v>
      </c>
      <c r="D16" s="2">
        <f t="shared" si="3"/>
        <v>-1362.5499999999993</v>
      </c>
      <c r="E16" s="2">
        <f t="shared" si="3"/>
        <v>-847.35000000000218</v>
      </c>
      <c r="F16" s="2">
        <f t="shared" si="3"/>
        <v>-515.20000000000073</v>
      </c>
      <c r="G16" s="2">
        <f t="shared" si="3"/>
        <v>-2094.6000000000022</v>
      </c>
      <c r="H16" s="2">
        <f t="shared" si="3"/>
        <v>1494.5699999999979</v>
      </c>
      <c r="I16" s="2">
        <f t="shared" si="3"/>
        <v>2030.0900000000001</v>
      </c>
      <c r="J16" s="2">
        <f t="shared" si="3"/>
        <v>5895.94</v>
      </c>
      <c r="K16" s="2">
        <f t="shared" si="3"/>
        <v>7373.86</v>
      </c>
      <c r="L16" s="2">
        <f t="shared" si="3"/>
        <v>2493.48</v>
      </c>
      <c r="M16" s="2">
        <f t="shared" si="3"/>
        <v>677.04</v>
      </c>
      <c r="N16" s="2">
        <f t="shared" si="3"/>
        <v>677.04</v>
      </c>
      <c r="O16" s="2">
        <f t="shared" si="3"/>
        <v>677.04</v>
      </c>
      <c r="P16" s="2">
        <f t="shared" si="3"/>
        <v>0</v>
      </c>
      <c r="Q16" s="2">
        <f t="shared" si="3"/>
        <v>0</v>
      </c>
      <c r="R16" s="2">
        <f t="shared" si="3"/>
        <v>0</v>
      </c>
      <c r="S16" s="2">
        <f t="shared" si="3"/>
        <v>0</v>
      </c>
      <c r="T16" s="2">
        <f t="shared" si="3"/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2">
        <f t="shared" si="3"/>
        <v>0</v>
      </c>
      <c r="Y16" s="2">
        <f t="shared" si="3"/>
        <v>0</v>
      </c>
      <c r="Z16" s="2">
        <f t="shared" si="3"/>
        <v>0</v>
      </c>
      <c r="AA16" s="2">
        <f t="shared" si="3"/>
        <v>0</v>
      </c>
    </row>
    <row r="17" spans="1:27" x14ac:dyDescent="0.25">
      <c r="A17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9" t="s">
        <v>12</v>
      </c>
      <c r="B18" s="2">
        <f>B$4-B9</f>
        <v>0</v>
      </c>
      <c r="C18" s="2">
        <f t="shared" ref="C18:AA18" si="4">C$4-C9</f>
        <v>0</v>
      </c>
      <c r="D18" s="2">
        <f t="shared" si="4"/>
        <v>1362.5499999999993</v>
      </c>
      <c r="E18" s="2">
        <f t="shared" si="4"/>
        <v>332.15000000000146</v>
      </c>
      <c r="F18" s="2">
        <f t="shared" si="4"/>
        <v>515.20000000000073</v>
      </c>
      <c r="G18" s="2">
        <f t="shared" si="4"/>
        <v>515.20000000000073</v>
      </c>
      <c r="H18" s="2">
        <f t="shared" si="4"/>
        <v>515.19999999999709</v>
      </c>
      <c r="I18" s="2">
        <f t="shared" si="4"/>
        <v>931.19999999999709</v>
      </c>
      <c r="J18" s="2">
        <f t="shared" si="4"/>
        <v>1880.2000000000007</v>
      </c>
      <c r="K18" s="2">
        <f t="shared" si="4"/>
        <v>1907.3500000000004</v>
      </c>
      <c r="L18" s="2">
        <f t="shared" si="4"/>
        <v>2878.670000000001</v>
      </c>
      <c r="M18" s="2">
        <f t="shared" si="4"/>
        <v>4135.0200000000004</v>
      </c>
      <c r="N18" s="2">
        <f t="shared" si="4"/>
        <v>3074.6000000000004</v>
      </c>
      <c r="O18" s="2">
        <f t="shared" si="4"/>
        <v>4059.0000000000005</v>
      </c>
      <c r="P18" s="2">
        <f t="shared" si="4"/>
        <v>4848.6000000000004</v>
      </c>
      <c r="Q18" s="2">
        <f t="shared" si="4"/>
        <v>5649.4800000000005</v>
      </c>
      <c r="R18" s="2">
        <f t="shared" si="4"/>
        <v>4996.5200000000004</v>
      </c>
      <c r="S18" s="2">
        <f t="shared" si="4"/>
        <v>4319.4800000000005</v>
      </c>
      <c r="T18" s="2">
        <f t="shared" si="4"/>
        <v>3987.3300000000004</v>
      </c>
      <c r="U18" s="2">
        <f t="shared" si="4"/>
        <v>3655.1800000000003</v>
      </c>
      <c r="V18" s="2">
        <f t="shared" si="4"/>
        <v>3323.03</v>
      </c>
      <c r="W18" s="2">
        <f t="shared" si="4"/>
        <v>2990.88</v>
      </c>
      <c r="X18" s="2">
        <f t="shared" si="4"/>
        <v>2990.88</v>
      </c>
      <c r="Y18" s="2">
        <f t="shared" si="4"/>
        <v>2006.48</v>
      </c>
      <c r="Z18" s="2">
        <f t="shared" si="4"/>
        <v>2006.48</v>
      </c>
      <c r="AA18" s="2">
        <f t="shared" si="4"/>
        <v>2006.48</v>
      </c>
    </row>
    <row r="19" spans="1:27" x14ac:dyDescent="0.25">
      <c r="A19" s="9" t="s">
        <v>13</v>
      </c>
      <c r="B19" s="2">
        <f>B$4-B10</f>
        <v>0</v>
      </c>
      <c r="C19" s="2">
        <f t="shared" ref="C19:AA19" si="5">C$4-C10</f>
        <v>0</v>
      </c>
      <c r="D19" s="2">
        <f t="shared" si="5"/>
        <v>0</v>
      </c>
      <c r="E19" s="2">
        <f t="shared" si="5"/>
        <v>0</v>
      </c>
      <c r="F19" s="2">
        <f t="shared" si="5"/>
        <v>0</v>
      </c>
      <c r="G19" s="2">
        <f t="shared" si="5"/>
        <v>0</v>
      </c>
      <c r="H19" s="2">
        <f t="shared" si="5"/>
        <v>931.19999999999709</v>
      </c>
      <c r="I19" s="2">
        <f t="shared" si="5"/>
        <v>463.19999999999709</v>
      </c>
      <c r="J19" s="2">
        <f t="shared" si="5"/>
        <v>-520</v>
      </c>
      <c r="K19" s="2">
        <f t="shared" si="5"/>
        <v>1069.9500000000007</v>
      </c>
      <c r="L19" s="2">
        <f t="shared" si="5"/>
        <v>4351.6000000000004</v>
      </c>
      <c r="M19" s="2">
        <f t="shared" si="5"/>
        <v>3594.6200000000003</v>
      </c>
      <c r="N19" s="2">
        <f t="shared" si="5"/>
        <v>3864.2000000000003</v>
      </c>
      <c r="O19" s="2">
        <f t="shared" si="5"/>
        <v>5525.64</v>
      </c>
      <c r="P19" s="2">
        <f t="shared" si="5"/>
        <v>6326.52</v>
      </c>
      <c r="Q19" s="2">
        <f t="shared" si="5"/>
        <v>6326.52</v>
      </c>
      <c r="R19" s="2">
        <f t="shared" si="5"/>
        <v>4996.5200000000004</v>
      </c>
      <c r="S19" s="2">
        <f t="shared" si="5"/>
        <v>4319.4800000000005</v>
      </c>
      <c r="T19" s="2">
        <f t="shared" si="5"/>
        <v>3987.3300000000004</v>
      </c>
      <c r="U19" s="2">
        <f t="shared" si="5"/>
        <v>3655.1800000000003</v>
      </c>
      <c r="V19" s="2">
        <f t="shared" si="5"/>
        <v>3323.03</v>
      </c>
      <c r="W19" s="2">
        <f t="shared" si="5"/>
        <v>2990.88</v>
      </c>
      <c r="X19" s="2">
        <f t="shared" si="5"/>
        <v>2990.88</v>
      </c>
      <c r="Y19" s="2">
        <f t="shared" si="5"/>
        <v>2006.48</v>
      </c>
      <c r="Z19" s="2">
        <f t="shared" si="5"/>
        <v>2006.48</v>
      </c>
      <c r="AA19" s="2">
        <f t="shared" si="5"/>
        <v>2006.48</v>
      </c>
    </row>
    <row r="20" spans="1:27" x14ac:dyDescent="0.25">
      <c r="A20" s="9" t="s">
        <v>14</v>
      </c>
      <c r="B20" s="2">
        <f>B9-B10</f>
        <v>0</v>
      </c>
      <c r="C20" s="2">
        <f t="shared" ref="C20:AA20" si="6">C9-C10</f>
        <v>0</v>
      </c>
      <c r="D20" s="2">
        <f t="shared" si="6"/>
        <v>-1362.5499999999993</v>
      </c>
      <c r="E20" s="2">
        <f t="shared" si="6"/>
        <v>-332.15000000000146</v>
      </c>
      <c r="F20" s="2">
        <f t="shared" si="6"/>
        <v>-515.20000000000073</v>
      </c>
      <c r="G20" s="2">
        <f t="shared" si="6"/>
        <v>-515.20000000000073</v>
      </c>
      <c r="H20" s="2">
        <f t="shared" si="6"/>
        <v>416</v>
      </c>
      <c r="I20" s="2">
        <f t="shared" si="6"/>
        <v>-468</v>
      </c>
      <c r="J20" s="2">
        <f t="shared" si="6"/>
        <v>-2400.2000000000007</v>
      </c>
      <c r="K20" s="2">
        <f t="shared" si="6"/>
        <v>-837.39999999999964</v>
      </c>
      <c r="L20" s="2">
        <f t="shared" si="6"/>
        <v>1472.9299999999994</v>
      </c>
      <c r="M20" s="2">
        <f t="shared" si="6"/>
        <v>-540.40000000000009</v>
      </c>
      <c r="N20" s="2">
        <f t="shared" si="6"/>
        <v>789.59999999999991</v>
      </c>
      <c r="O20" s="2">
        <f t="shared" si="6"/>
        <v>1466.6399999999999</v>
      </c>
      <c r="P20" s="2">
        <f t="shared" si="6"/>
        <v>1477.92</v>
      </c>
      <c r="Q20" s="2">
        <f t="shared" si="6"/>
        <v>677.04</v>
      </c>
      <c r="R20" s="2">
        <f t="shared" si="6"/>
        <v>0</v>
      </c>
      <c r="S20" s="2">
        <f t="shared" si="6"/>
        <v>0</v>
      </c>
      <c r="T20" s="2">
        <f t="shared" si="6"/>
        <v>0</v>
      </c>
      <c r="U20" s="2">
        <f t="shared" si="6"/>
        <v>0</v>
      </c>
      <c r="V20" s="2">
        <f t="shared" si="6"/>
        <v>0</v>
      </c>
      <c r="W20" s="2">
        <f t="shared" si="6"/>
        <v>0</v>
      </c>
      <c r="X20" s="2">
        <f t="shared" si="6"/>
        <v>0</v>
      </c>
      <c r="Y20" s="2">
        <f t="shared" si="6"/>
        <v>0</v>
      </c>
      <c r="Z20" s="2">
        <f t="shared" si="6"/>
        <v>0</v>
      </c>
      <c r="AA20" s="2">
        <f t="shared" si="6"/>
        <v>0</v>
      </c>
    </row>
    <row r="21" spans="1:2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1C2F-F57D-4139-B55E-549CD7843490}">
  <dimension ref="A1:AA31"/>
  <sheetViews>
    <sheetView zoomScale="80" zoomScaleNormal="80" workbookViewId="0">
      <selection activeCell="P35" sqref="P35"/>
    </sheetView>
  </sheetViews>
  <sheetFormatPr defaultRowHeight="15" x14ac:dyDescent="0.25"/>
  <cols>
    <col min="1" max="1" width="29.140625" customWidth="1"/>
  </cols>
  <sheetData>
    <row r="1" spans="1:27" ht="24" x14ac:dyDescent="0.4">
      <c r="A1" s="1" t="s">
        <v>2</v>
      </c>
    </row>
    <row r="2" spans="1:27" x14ac:dyDescent="0.25">
      <c r="A2" s="6"/>
      <c r="B2" s="6">
        <v>2025</v>
      </c>
      <c r="C2" s="6">
        <f>B2+1</f>
        <v>2026</v>
      </c>
      <c r="D2" s="6">
        <f t="shared" ref="D2:AA2" si="0">C2+1</f>
        <v>2027</v>
      </c>
      <c r="E2" s="6">
        <f t="shared" si="0"/>
        <v>2028</v>
      </c>
      <c r="F2" s="6">
        <f t="shared" si="0"/>
        <v>2029</v>
      </c>
      <c r="G2" s="6">
        <f t="shared" si="0"/>
        <v>2030</v>
      </c>
      <c r="H2" s="6">
        <f t="shared" si="0"/>
        <v>2031</v>
      </c>
      <c r="I2" s="6">
        <f t="shared" si="0"/>
        <v>2032</v>
      </c>
      <c r="J2" s="6">
        <f t="shared" si="0"/>
        <v>2033</v>
      </c>
      <c r="K2" s="6">
        <f t="shared" si="0"/>
        <v>2034</v>
      </c>
      <c r="L2" s="6">
        <f t="shared" si="0"/>
        <v>2035</v>
      </c>
      <c r="M2" s="6">
        <f t="shared" si="0"/>
        <v>2036</v>
      </c>
      <c r="N2" s="6">
        <f t="shared" si="0"/>
        <v>2037</v>
      </c>
      <c r="O2" s="6">
        <f t="shared" si="0"/>
        <v>2038</v>
      </c>
      <c r="P2" s="6">
        <f t="shared" si="0"/>
        <v>2039</v>
      </c>
      <c r="Q2" s="6">
        <f t="shared" si="0"/>
        <v>2040</v>
      </c>
      <c r="R2" s="6">
        <f t="shared" si="0"/>
        <v>2041</v>
      </c>
      <c r="S2" s="6">
        <f t="shared" si="0"/>
        <v>2042</v>
      </c>
      <c r="T2" s="6">
        <f t="shared" si="0"/>
        <v>2043</v>
      </c>
      <c r="U2" s="6">
        <f t="shared" si="0"/>
        <v>2044</v>
      </c>
      <c r="V2" s="6">
        <f t="shared" si="0"/>
        <v>2045</v>
      </c>
      <c r="W2" s="6">
        <f t="shared" si="0"/>
        <v>2046</v>
      </c>
      <c r="X2" s="6">
        <f t="shared" si="0"/>
        <v>2047</v>
      </c>
      <c r="Y2" s="6">
        <f t="shared" si="0"/>
        <v>2048</v>
      </c>
      <c r="Z2" s="6">
        <f t="shared" si="0"/>
        <v>2049</v>
      </c>
      <c r="AA2" s="6">
        <f t="shared" si="0"/>
        <v>2050</v>
      </c>
    </row>
    <row r="3" spans="1:27" x14ac:dyDescent="0.25">
      <c r="A3" s="5" t="s">
        <v>22</v>
      </c>
    </row>
    <row r="4" spans="1:27" x14ac:dyDescent="0.25">
      <c r="A4" t="s">
        <v>0</v>
      </c>
      <c r="B4" s="2">
        <v>32246.721689999998</v>
      </c>
      <c r="C4" s="2">
        <v>35701.641689999997</v>
      </c>
      <c r="D4" s="2">
        <v>39428.241689999995</v>
      </c>
      <c r="E4" s="2">
        <v>44057.717689999998</v>
      </c>
      <c r="F4" s="2">
        <v>49867.117690000006</v>
      </c>
      <c r="G4" s="2">
        <v>54357.117690000006</v>
      </c>
      <c r="H4" s="2">
        <v>55276.117690000006</v>
      </c>
      <c r="I4" s="2">
        <v>55506.117690000006</v>
      </c>
      <c r="J4" s="2">
        <v>57206.117690000006</v>
      </c>
      <c r="K4" s="2">
        <v>60164.117690000006</v>
      </c>
      <c r="L4" s="2">
        <v>62939.917690000002</v>
      </c>
      <c r="M4" s="2">
        <v>65019.917690000002</v>
      </c>
      <c r="N4" s="2">
        <v>69690.917690000002</v>
      </c>
      <c r="O4" s="2">
        <v>73775.917690000002</v>
      </c>
      <c r="P4" s="2">
        <v>74302.917589999997</v>
      </c>
      <c r="Q4" s="2">
        <v>78005.917589999997</v>
      </c>
      <c r="R4" s="2">
        <v>82661.917589999997</v>
      </c>
      <c r="S4" s="2">
        <v>84341.917589999997</v>
      </c>
      <c r="T4" s="2">
        <v>88811.917589999997</v>
      </c>
      <c r="U4" s="2">
        <v>90813.917589999997</v>
      </c>
      <c r="V4" s="2">
        <v>92918.917589999997</v>
      </c>
      <c r="W4" s="2">
        <v>95998.917589999997</v>
      </c>
      <c r="X4" s="2">
        <v>98138.917589999997</v>
      </c>
      <c r="Y4" s="2">
        <v>98493.46759</v>
      </c>
      <c r="Z4" s="2">
        <v>100083.46759</v>
      </c>
      <c r="AA4" s="2">
        <v>102074.06758999998</v>
      </c>
    </row>
    <row r="5" spans="1:27" x14ac:dyDescent="0.25">
      <c r="A5" t="s">
        <v>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9" t="s">
        <v>1</v>
      </c>
      <c r="B6" s="2">
        <v>32246.721689999998</v>
      </c>
      <c r="C6" s="2">
        <v>35651.641690000004</v>
      </c>
      <c r="D6" s="2">
        <v>39428.241690000003</v>
      </c>
      <c r="E6" s="2">
        <v>46592.891689999997</v>
      </c>
      <c r="F6" s="2">
        <v>56847.891690000004</v>
      </c>
      <c r="G6" s="2">
        <v>64427.291689999998</v>
      </c>
      <c r="H6" s="2">
        <v>70695.317689999982</v>
      </c>
      <c r="I6" s="2">
        <v>76676.117689999985</v>
      </c>
      <c r="J6" s="2">
        <v>81077.617689999985</v>
      </c>
      <c r="K6" s="2">
        <v>86606.617689999985</v>
      </c>
      <c r="L6" s="2">
        <v>92301.417689999987</v>
      </c>
      <c r="M6" s="2">
        <v>98492.417689999987</v>
      </c>
      <c r="N6" s="2">
        <v>102513.41769</v>
      </c>
      <c r="O6" s="2">
        <v>105633.41769</v>
      </c>
      <c r="P6" s="2">
        <v>106815.41759</v>
      </c>
      <c r="Q6" s="2">
        <v>109968.41759</v>
      </c>
      <c r="R6" s="2">
        <v>112488.41759</v>
      </c>
      <c r="S6" s="2">
        <v>114378.41759</v>
      </c>
      <c r="T6" s="2">
        <v>117048.41759</v>
      </c>
      <c r="U6" s="2">
        <v>118568.41759</v>
      </c>
      <c r="V6" s="2">
        <v>120373.41759</v>
      </c>
      <c r="W6" s="2">
        <v>123757.91759</v>
      </c>
      <c r="X6" s="2">
        <v>124997.91758999998</v>
      </c>
      <c r="Y6" s="2">
        <v>125652.46758999999</v>
      </c>
      <c r="Z6" s="2">
        <v>126892.46758999999</v>
      </c>
      <c r="AA6" s="2">
        <v>128628.56758999999</v>
      </c>
    </row>
    <row r="7" spans="1:27" x14ac:dyDescent="0.25">
      <c r="A7" s="9" t="s">
        <v>9</v>
      </c>
      <c r="B7" s="2">
        <v>32246.721689999998</v>
      </c>
      <c r="C7" s="2">
        <v>35651.641690000004</v>
      </c>
      <c r="D7" s="2">
        <v>39428.241690000003</v>
      </c>
      <c r="E7" s="2">
        <v>44082.717689999998</v>
      </c>
      <c r="F7" s="2">
        <v>49917.117689999999</v>
      </c>
      <c r="G7" s="2">
        <v>54407.117689999999</v>
      </c>
      <c r="H7" s="2">
        <v>63154.117689999999</v>
      </c>
      <c r="I7" s="2">
        <v>69514.117689999985</v>
      </c>
      <c r="J7" s="2">
        <v>81033.917689999987</v>
      </c>
      <c r="K7" s="2">
        <v>88511.917689999987</v>
      </c>
      <c r="L7" s="2">
        <v>91677.917689999987</v>
      </c>
      <c r="M7" s="2">
        <v>95737.917689999987</v>
      </c>
      <c r="N7" s="2">
        <v>99837.917689999987</v>
      </c>
      <c r="O7" s="2">
        <v>103237.91768999999</v>
      </c>
      <c r="P7" s="2">
        <v>104744.91759</v>
      </c>
      <c r="Q7" s="2">
        <v>107337.91759</v>
      </c>
      <c r="R7" s="2">
        <v>110368.91759</v>
      </c>
      <c r="S7" s="2">
        <v>112648.91759</v>
      </c>
      <c r="T7" s="2">
        <v>115468.91759</v>
      </c>
      <c r="U7" s="2">
        <v>116438.91759</v>
      </c>
      <c r="V7" s="2">
        <v>117768.91759</v>
      </c>
      <c r="W7" s="2">
        <v>121048.91759</v>
      </c>
      <c r="X7" s="2">
        <v>122688.91759</v>
      </c>
      <c r="Y7" s="2">
        <v>123043.46759</v>
      </c>
      <c r="Z7" s="2">
        <v>124633.46759</v>
      </c>
      <c r="AA7" s="2">
        <v>126424.06758999999</v>
      </c>
    </row>
    <row r="8" spans="1:27" x14ac:dyDescent="0.25">
      <c r="A8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9" t="s">
        <v>1</v>
      </c>
      <c r="B9" s="2">
        <v>32246.721689999998</v>
      </c>
      <c r="C9" s="2">
        <v>35651.641689999997</v>
      </c>
      <c r="D9" s="2">
        <v>39117.44169</v>
      </c>
      <c r="E9" s="2">
        <v>44933.891689999997</v>
      </c>
      <c r="F9" s="2">
        <v>52050.891689999997</v>
      </c>
      <c r="G9" s="2">
        <v>58304.891689999997</v>
      </c>
      <c r="H9" s="2">
        <v>61628.917689999995</v>
      </c>
      <c r="I9" s="2">
        <v>66034.717690000005</v>
      </c>
      <c r="J9" s="2">
        <v>69908.617689999999</v>
      </c>
      <c r="K9" s="2">
        <v>76216.617689999999</v>
      </c>
      <c r="L9" s="2">
        <v>81896.417690000002</v>
      </c>
      <c r="M9" s="2">
        <v>87877.417690000002</v>
      </c>
      <c r="N9" s="2">
        <v>92573.417690000002</v>
      </c>
      <c r="O9" s="2">
        <v>95643.417690000002</v>
      </c>
      <c r="P9" s="2">
        <v>98900.417589999997</v>
      </c>
      <c r="Q9" s="2">
        <v>103393.41759</v>
      </c>
      <c r="R9" s="2">
        <v>106713.41759</v>
      </c>
      <c r="S9" s="2">
        <v>109588.41759</v>
      </c>
      <c r="T9" s="2">
        <v>112418.41759</v>
      </c>
      <c r="U9" s="2">
        <v>114098.41759</v>
      </c>
      <c r="V9" s="2">
        <v>116023.41759</v>
      </c>
      <c r="W9" s="2">
        <v>119327.91759</v>
      </c>
      <c r="X9" s="2">
        <v>120527.91758999998</v>
      </c>
      <c r="Y9" s="2">
        <v>121142.46758999999</v>
      </c>
      <c r="Z9" s="2">
        <v>122342.46758999999</v>
      </c>
      <c r="AA9" s="2">
        <v>124678.56758999999</v>
      </c>
    </row>
    <row r="10" spans="1:27" x14ac:dyDescent="0.25">
      <c r="A10" s="9" t="s">
        <v>9</v>
      </c>
      <c r="B10" s="2">
        <v>32246.721689999998</v>
      </c>
      <c r="C10" s="2">
        <v>35651.641689999997</v>
      </c>
      <c r="D10" s="2">
        <v>39428.241690000003</v>
      </c>
      <c r="E10" s="2">
        <v>44082.717689999998</v>
      </c>
      <c r="F10" s="2">
        <v>49917.117690000006</v>
      </c>
      <c r="G10" s="2">
        <v>54407.117690000006</v>
      </c>
      <c r="H10" s="2">
        <v>59126.117690000006</v>
      </c>
      <c r="I10" s="2">
        <v>63486.117690000006</v>
      </c>
      <c r="J10" s="2">
        <v>70566.917689999987</v>
      </c>
      <c r="K10" s="2">
        <v>77534.917690000002</v>
      </c>
      <c r="L10" s="2">
        <v>83757.917690000002</v>
      </c>
      <c r="M10" s="2">
        <v>88287.917690000002</v>
      </c>
      <c r="N10" s="2">
        <v>94187.917690000002</v>
      </c>
      <c r="O10" s="2">
        <v>99357.917690000002</v>
      </c>
      <c r="P10" s="2">
        <v>101064.91759</v>
      </c>
      <c r="Q10" s="2">
        <v>104017.91759</v>
      </c>
      <c r="R10" s="2">
        <v>108008.91759</v>
      </c>
      <c r="S10" s="2">
        <v>110208.91759</v>
      </c>
      <c r="T10" s="2">
        <v>112988.91759</v>
      </c>
      <c r="U10" s="2">
        <v>113888.91759</v>
      </c>
      <c r="V10" s="2">
        <v>115168.91759</v>
      </c>
      <c r="W10" s="2">
        <v>118368.91759</v>
      </c>
      <c r="X10" s="2">
        <v>119968.91759</v>
      </c>
      <c r="Y10" s="2">
        <v>120283.46759</v>
      </c>
      <c r="Z10" s="2">
        <v>121633.46759</v>
      </c>
      <c r="AA10" s="2">
        <v>123224.06758999999</v>
      </c>
    </row>
    <row r="12" spans="1:27" x14ac:dyDescent="0.25">
      <c r="A12" s="5" t="s">
        <v>3</v>
      </c>
    </row>
    <row r="13" spans="1:27" x14ac:dyDescent="0.25">
      <c r="A13" t="s">
        <v>28</v>
      </c>
    </row>
    <row r="14" spans="1:27" x14ac:dyDescent="0.25">
      <c r="A14" s="9" t="s">
        <v>12</v>
      </c>
      <c r="B14" s="2">
        <f>B$4-B6</f>
        <v>0</v>
      </c>
      <c r="C14" s="2">
        <f t="shared" ref="C14:AA14" si="1">C4-C6</f>
        <v>49.999999999992724</v>
      </c>
      <c r="D14" s="2">
        <f t="shared" si="1"/>
        <v>0</v>
      </c>
      <c r="E14" s="2">
        <f t="shared" si="1"/>
        <v>-2535.1739999999991</v>
      </c>
      <c r="F14" s="2">
        <f t="shared" si="1"/>
        <v>-6980.7739999999976</v>
      </c>
      <c r="G14" s="2">
        <f t="shared" si="1"/>
        <v>-10070.173999999992</v>
      </c>
      <c r="H14" s="2">
        <f t="shared" si="1"/>
        <v>-15419.199999999975</v>
      </c>
      <c r="I14" s="2">
        <f t="shared" si="1"/>
        <v>-21169.999999999978</v>
      </c>
      <c r="J14" s="2">
        <f t="shared" si="1"/>
        <v>-23871.499999999978</v>
      </c>
      <c r="K14" s="2">
        <f t="shared" si="1"/>
        <v>-26442.499999999978</v>
      </c>
      <c r="L14" s="2">
        <f t="shared" si="1"/>
        <v>-29361.499999999985</v>
      </c>
      <c r="M14" s="2">
        <f t="shared" si="1"/>
        <v>-33472.499999999985</v>
      </c>
      <c r="N14" s="2">
        <f t="shared" si="1"/>
        <v>-32822.5</v>
      </c>
      <c r="O14" s="2">
        <f t="shared" si="1"/>
        <v>-31857.5</v>
      </c>
      <c r="P14" s="2">
        <f t="shared" si="1"/>
        <v>-32512.5</v>
      </c>
      <c r="Q14" s="2">
        <f t="shared" si="1"/>
        <v>-31962.5</v>
      </c>
      <c r="R14" s="2">
        <f t="shared" si="1"/>
        <v>-29826.5</v>
      </c>
      <c r="S14" s="2">
        <f t="shared" si="1"/>
        <v>-30036.5</v>
      </c>
      <c r="T14" s="2">
        <f t="shared" si="1"/>
        <v>-28236.5</v>
      </c>
      <c r="U14" s="2">
        <f t="shared" si="1"/>
        <v>-27754.5</v>
      </c>
      <c r="V14" s="2">
        <f t="shared" si="1"/>
        <v>-27454.5</v>
      </c>
      <c r="W14" s="2">
        <f t="shared" si="1"/>
        <v>-27759</v>
      </c>
      <c r="X14" s="2">
        <f t="shared" si="1"/>
        <v>-26858.999999999985</v>
      </c>
      <c r="Y14" s="2">
        <f t="shared" si="1"/>
        <v>-27158.999999999985</v>
      </c>
      <c r="Z14" s="2">
        <f t="shared" si="1"/>
        <v>-26808.999999999985</v>
      </c>
      <c r="AA14" s="2">
        <f t="shared" si="1"/>
        <v>-26554.500000000015</v>
      </c>
    </row>
    <row r="15" spans="1:27" x14ac:dyDescent="0.25">
      <c r="A15" s="9" t="s">
        <v>13</v>
      </c>
      <c r="B15" s="2">
        <f>B$4-B7</f>
        <v>0</v>
      </c>
      <c r="C15" s="2">
        <f t="shared" ref="C15:AA15" si="2">C$4-C7</f>
        <v>49.999999999992724</v>
      </c>
      <c r="D15" s="2">
        <f t="shared" si="2"/>
        <v>0</v>
      </c>
      <c r="E15" s="2">
        <f t="shared" si="2"/>
        <v>-25</v>
      </c>
      <c r="F15" s="2">
        <f t="shared" si="2"/>
        <v>-49.999999999992724</v>
      </c>
      <c r="G15" s="2">
        <f t="shared" si="2"/>
        <v>-49.999999999992724</v>
      </c>
      <c r="H15" s="2">
        <f t="shared" si="2"/>
        <v>-7877.9999999999927</v>
      </c>
      <c r="I15" s="2">
        <f t="shared" si="2"/>
        <v>-14007.999999999978</v>
      </c>
      <c r="J15" s="2">
        <f t="shared" si="2"/>
        <v>-23827.799999999981</v>
      </c>
      <c r="K15" s="2">
        <f t="shared" si="2"/>
        <v>-28347.799999999981</v>
      </c>
      <c r="L15" s="2">
        <f t="shared" si="2"/>
        <v>-28737.999999999985</v>
      </c>
      <c r="M15" s="2">
        <f t="shared" si="2"/>
        <v>-30717.999999999985</v>
      </c>
      <c r="N15" s="2">
        <f t="shared" si="2"/>
        <v>-30146.999999999985</v>
      </c>
      <c r="O15" s="2">
        <f t="shared" si="2"/>
        <v>-29461.999999999985</v>
      </c>
      <c r="P15" s="2">
        <f t="shared" si="2"/>
        <v>-30442</v>
      </c>
      <c r="Q15" s="2">
        <f t="shared" si="2"/>
        <v>-29332</v>
      </c>
      <c r="R15" s="2">
        <f t="shared" si="2"/>
        <v>-27707</v>
      </c>
      <c r="S15" s="2">
        <f t="shared" si="2"/>
        <v>-28307</v>
      </c>
      <c r="T15" s="2">
        <f t="shared" si="2"/>
        <v>-26657</v>
      </c>
      <c r="U15" s="2">
        <f t="shared" si="2"/>
        <v>-25625</v>
      </c>
      <c r="V15" s="2">
        <f t="shared" si="2"/>
        <v>-24850</v>
      </c>
      <c r="W15" s="2">
        <f t="shared" si="2"/>
        <v>-25050</v>
      </c>
      <c r="X15" s="2">
        <f t="shared" si="2"/>
        <v>-24550</v>
      </c>
      <c r="Y15" s="2">
        <f t="shared" si="2"/>
        <v>-24550</v>
      </c>
      <c r="Z15" s="2">
        <f t="shared" si="2"/>
        <v>-24550</v>
      </c>
      <c r="AA15" s="2">
        <f t="shared" si="2"/>
        <v>-24350.000000000015</v>
      </c>
    </row>
    <row r="16" spans="1:27" x14ac:dyDescent="0.25">
      <c r="A16" s="9" t="s">
        <v>14</v>
      </c>
      <c r="B16" s="2">
        <f>B6-B7</f>
        <v>0</v>
      </c>
      <c r="C16" s="2">
        <f t="shared" ref="C16:AA16" si="3">C6-C7</f>
        <v>0</v>
      </c>
      <c r="D16" s="2">
        <f t="shared" si="3"/>
        <v>0</v>
      </c>
      <c r="E16" s="2">
        <f t="shared" si="3"/>
        <v>2510.1739999999991</v>
      </c>
      <c r="F16" s="2">
        <f t="shared" si="3"/>
        <v>6930.7740000000049</v>
      </c>
      <c r="G16" s="2">
        <f t="shared" si="3"/>
        <v>10020.173999999999</v>
      </c>
      <c r="H16" s="2">
        <f t="shared" si="3"/>
        <v>7541.1999999999825</v>
      </c>
      <c r="I16" s="2">
        <f t="shared" si="3"/>
        <v>7162</v>
      </c>
      <c r="J16" s="2">
        <f t="shared" si="3"/>
        <v>43.69999999999709</v>
      </c>
      <c r="K16" s="2">
        <f t="shared" si="3"/>
        <v>-1905.3000000000029</v>
      </c>
      <c r="L16" s="2">
        <f t="shared" si="3"/>
        <v>623.5</v>
      </c>
      <c r="M16" s="2">
        <f t="shared" si="3"/>
        <v>2754.5</v>
      </c>
      <c r="N16" s="2">
        <f t="shared" si="3"/>
        <v>2675.5000000000146</v>
      </c>
      <c r="O16" s="2">
        <f t="shared" si="3"/>
        <v>2395.5000000000146</v>
      </c>
      <c r="P16" s="2">
        <f t="shared" si="3"/>
        <v>2070.5</v>
      </c>
      <c r="Q16" s="2">
        <f t="shared" si="3"/>
        <v>2630.5</v>
      </c>
      <c r="R16" s="2">
        <f t="shared" si="3"/>
        <v>2119.5</v>
      </c>
      <c r="S16" s="2">
        <f t="shared" si="3"/>
        <v>1729.5</v>
      </c>
      <c r="T16" s="2">
        <f t="shared" si="3"/>
        <v>1579.5</v>
      </c>
      <c r="U16" s="2">
        <f t="shared" si="3"/>
        <v>2129.5</v>
      </c>
      <c r="V16" s="2">
        <f t="shared" si="3"/>
        <v>2604.5</v>
      </c>
      <c r="W16" s="2">
        <f t="shared" si="3"/>
        <v>2709</v>
      </c>
      <c r="X16" s="2">
        <f t="shared" si="3"/>
        <v>2308.9999999999854</v>
      </c>
      <c r="Y16" s="2">
        <f t="shared" si="3"/>
        <v>2608.9999999999854</v>
      </c>
      <c r="Z16" s="2">
        <f t="shared" si="3"/>
        <v>2258.9999999999854</v>
      </c>
      <c r="AA16" s="2">
        <f t="shared" si="3"/>
        <v>2204.5</v>
      </c>
    </row>
    <row r="17" spans="1:27" x14ac:dyDescent="0.25">
      <c r="A17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9" t="s">
        <v>12</v>
      </c>
      <c r="B18" s="2">
        <f>B$4-B9</f>
        <v>0</v>
      </c>
      <c r="C18" s="2">
        <f t="shared" ref="C18:AA18" si="4">C$4-C9</f>
        <v>50</v>
      </c>
      <c r="D18" s="2">
        <f t="shared" si="4"/>
        <v>310.79999999999563</v>
      </c>
      <c r="E18" s="2">
        <f t="shared" si="4"/>
        <v>-876.17399999999907</v>
      </c>
      <c r="F18" s="2">
        <f t="shared" si="4"/>
        <v>-2183.7739999999903</v>
      </c>
      <c r="G18" s="2">
        <f t="shared" si="4"/>
        <v>-3947.7739999999903</v>
      </c>
      <c r="H18" s="2">
        <f t="shared" si="4"/>
        <v>-6352.7999999999884</v>
      </c>
      <c r="I18" s="2">
        <f t="shared" si="4"/>
        <v>-10528.599999999999</v>
      </c>
      <c r="J18" s="2">
        <f t="shared" si="4"/>
        <v>-12702.499999999993</v>
      </c>
      <c r="K18" s="2">
        <f t="shared" si="4"/>
        <v>-16052.499999999993</v>
      </c>
      <c r="L18" s="2">
        <f t="shared" si="4"/>
        <v>-18956.5</v>
      </c>
      <c r="M18" s="2">
        <f t="shared" si="4"/>
        <v>-22857.5</v>
      </c>
      <c r="N18" s="2">
        <f t="shared" si="4"/>
        <v>-22882.5</v>
      </c>
      <c r="O18" s="2">
        <f t="shared" si="4"/>
        <v>-21867.5</v>
      </c>
      <c r="P18" s="2">
        <f t="shared" si="4"/>
        <v>-24597.5</v>
      </c>
      <c r="Q18" s="2">
        <f t="shared" si="4"/>
        <v>-25387.5</v>
      </c>
      <c r="R18" s="2">
        <f t="shared" si="4"/>
        <v>-24051.5</v>
      </c>
      <c r="S18" s="2">
        <f t="shared" si="4"/>
        <v>-25246.5</v>
      </c>
      <c r="T18" s="2">
        <f t="shared" si="4"/>
        <v>-23606.5</v>
      </c>
      <c r="U18" s="2">
        <f t="shared" si="4"/>
        <v>-23284.5</v>
      </c>
      <c r="V18" s="2">
        <f t="shared" si="4"/>
        <v>-23104.5</v>
      </c>
      <c r="W18" s="2">
        <f t="shared" si="4"/>
        <v>-23329</v>
      </c>
      <c r="X18" s="2">
        <f t="shared" si="4"/>
        <v>-22388.999999999985</v>
      </c>
      <c r="Y18" s="2">
        <f t="shared" si="4"/>
        <v>-22648.999999999985</v>
      </c>
      <c r="Z18" s="2">
        <f t="shared" si="4"/>
        <v>-22258.999999999985</v>
      </c>
      <c r="AA18" s="2">
        <f t="shared" si="4"/>
        <v>-22604.500000000015</v>
      </c>
    </row>
    <row r="19" spans="1:27" x14ac:dyDescent="0.25">
      <c r="A19" s="9" t="s">
        <v>13</v>
      </c>
      <c r="B19" s="2">
        <f>B$4-B10</f>
        <v>0</v>
      </c>
      <c r="C19" s="2">
        <f t="shared" ref="C19:AA19" si="5">C$4-C10</f>
        <v>50</v>
      </c>
      <c r="D19" s="2">
        <f t="shared" si="5"/>
        <v>0</v>
      </c>
      <c r="E19" s="2">
        <f t="shared" si="5"/>
        <v>-25</v>
      </c>
      <c r="F19" s="2">
        <f t="shared" si="5"/>
        <v>-50</v>
      </c>
      <c r="G19" s="2">
        <f t="shared" si="5"/>
        <v>-50</v>
      </c>
      <c r="H19" s="2">
        <f t="shared" si="5"/>
        <v>-3850</v>
      </c>
      <c r="I19" s="2">
        <f t="shared" si="5"/>
        <v>-7980</v>
      </c>
      <c r="J19" s="2">
        <f t="shared" si="5"/>
        <v>-13360.799999999981</v>
      </c>
      <c r="K19" s="2">
        <f t="shared" si="5"/>
        <v>-17370.799999999996</v>
      </c>
      <c r="L19" s="2">
        <f t="shared" si="5"/>
        <v>-20818</v>
      </c>
      <c r="M19" s="2">
        <f t="shared" si="5"/>
        <v>-23268</v>
      </c>
      <c r="N19" s="2">
        <f t="shared" si="5"/>
        <v>-24497</v>
      </c>
      <c r="O19" s="2">
        <f t="shared" si="5"/>
        <v>-25582</v>
      </c>
      <c r="P19" s="2">
        <f t="shared" si="5"/>
        <v>-26762</v>
      </c>
      <c r="Q19" s="2">
        <f t="shared" si="5"/>
        <v>-26012</v>
      </c>
      <c r="R19" s="2">
        <f t="shared" si="5"/>
        <v>-25347</v>
      </c>
      <c r="S19" s="2">
        <f t="shared" si="5"/>
        <v>-25867</v>
      </c>
      <c r="T19" s="2">
        <f t="shared" si="5"/>
        <v>-24177</v>
      </c>
      <c r="U19" s="2">
        <f t="shared" si="5"/>
        <v>-23075</v>
      </c>
      <c r="V19" s="2">
        <f t="shared" si="5"/>
        <v>-22250</v>
      </c>
      <c r="W19" s="2">
        <f t="shared" si="5"/>
        <v>-22370</v>
      </c>
      <c r="X19" s="2">
        <f t="shared" si="5"/>
        <v>-21830</v>
      </c>
      <c r="Y19" s="2">
        <f t="shared" si="5"/>
        <v>-21790</v>
      </c>
      <c r="Z19" s="2">
        <f t="shared" si="5"/>
        <v>-21550</v>
      </c>
      <c r="AA19" s="2">
        <f t="shared" si="5"/>
        <v>-21150.000000000015</v>
      </c>
    </row>
    <row r="20" spans="1:27" x14ac:dyDescent="0.25">
      <c r="A20" s="9" t="s">
        <v>14</v>
      </c>
      <c r="B20" s="2">
        <f>B9-B10</f>
        <v>0</v>
      </c>
      <c r="C20" s="2">
        <f t="shared" ref="C20:AA20" si="6">C9-C10</f>
        <v>0</v>
      </c>
      <c r="D20" s="2">
        <f t="shared" si="6"/>
        <v>-310.80000000000291</v>
      </c>
      <c r="E20" s="2">
        <f t="shared" si="6"/>
        <v>851.17399999999907</v>
      </c>
      <c r="F20" s="2">
        <f t="shared" si="6"/>
        <v>2133.7739999999903</v>
      </c>
      <c r="G20" s="2">
        <f t="shared" si="6"/>
        <v>3897.7739999999903</v>
      </c>
      <c r="H20" s="2">
        <f t="shared" si="6"/>
        <v>2502.7999999999884</v>
      </c>
      <c r="I20" s="2">
        <f t="shared" si="6"/>
        <v>2548.5999999999985</v>
      </c>
      <c r="J20" s="2">
        <f t="shared" si="6"/>
        <v>-658.29999999998836</v>
      </c>
      <c r="K20" s="2">
        <f t="shared" si="6"/>
        <v>-1318.3000000000029</v>
      </c>
      <c r="L20" s="2">
        <f t="shared" si="6"/>
        <v>-1861.5</v>
      </c>
      <c r="M20" s="2">
        <f t="shared" si="6"/>
        <v>-410.5</v>
      </c>
      <c r="N20" s="2">
        <f t="shared" si="6"/>
        <v>-1614.5</v>
      </c>
      <c r="O20" s="2">
        <f t="shared" si="6"/>
        <v>-3714.5</v>
      </c>
      <c r="P20" s="2">
        <f t="shared" si="6"/>
        <v>-2164.5</v>
      </c>
      <c r="Q20" s="2">
        <f t="shared" si="6"/>
        <v>-624.5</v>
      </c>
      <c r="R20" s="2">
        <f t="shared" si="6"/>
        <v>-1295.5</v>
      </c>
      <c r="S20" s="2">
        <f t="shared" si="6"/>
        <v>-620.5</v>
      </c>
      <c r="T20" s="2">
        <f t="shared" si="6"/>
        <v>-570.5</v>
      </c>
      <c r="U20" s="2">
        <f t="shared" si="6"/>
        <v>209.5</v>
      </c>
      <c r="V20" s="2">
        <f t="shared" si="6"/>
        <v>854.5</v>
      </c>
      <c r="W20" s="2">
        <f t="shared" si="6"/>
        <v>959</v>
      </c>
      <c r="X20" s="2">
        <f t="shared" si="6"/>
        <v>558.99999999998545</v>
      </c>
      <c r="Y20" s="2">
        <f t="shared" si="6"/>
        <v>858.99999999998545</v>
      </c>
      <c r="Z20" s="2">
        <f t="shared" si="6"/>
        <v>708.99999999998545</v>
      </c>
      <c r="AA20" s="2">
        <f t="shared" si="6"/>
        <v>1454.5</v>
      </c>
    </row>
    <row r="21" spans="1:2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5" t="s">
        <v>23</v>
      </c>
    </row>
    <row r="23" spans="1:27" x14ac:dyDescent="0.25">
      <c r="A23" t="s">
        <v>28</v>
      </c>
    </row>
    <row r="24" spans="1:27" x14ac:dyDescent="0.25">
      <c r="A24" s="9" t="s">
        <v>0</v>
      </c>
      <c r="B24" s="8">
        <v>0.46929248941114027</v>
      </c>
      <c r="C24" s="8">
        <v>0.49881049394406235</v>
      </c>
      <c r="D24" s="8">
        <v>0.52509899818929784</v>
      </c>
      <c r="E24" s="8">
        <v>0.56828588551869763</v>
      </c>
      <c r="F24" s="8">
        <v>0.62375103481515159</v>
      </c>
      <c r="G24" s="8">
        <v>0.65455567254167812</v>
      </c>
      <c r="H24" s="8">
        <v>0.67265312351147599</v>
      </c>
      <c r="I24" s="8">
        <v>0.67584209386651295</v>
      </c>
      <c r="J24" s="8">
        <v>0.68942523976307446</v>
      </c>
      <c r="K24" s="8">
        <v>0.70949364278210025</v>
      </c>
      <c r="L24" s="8">
        <v>0.73755381625485172</v>
      </c>
      <c r="M24" s="8">
        <v>0.75088559134859378</v>
      </c>
      <c r="N24" s="8">
        <v>0.77297421939168809</v>
      </c>
      <c r="O24" s="8">
        <v>0.79101628749404418</v>
      </c>
      <c r="P24" s="8">
        <v>0.7922589315802665</v>
      </c>
      <c r="Q24" s="8">
        <v>0.80819256833165154</v>
      </c>
      <c r="R24" s="8">
        <v>0.82839226305527458</v>
      </c>
      <c r="S24" s="8">
        <v>0.82669543551740388</v>
      </c>
      <c r="T24" s="8">
        <v>0.84453082310416461</v>
      </c>
      <c r="U24" s="8">
        <v>0.84805470853243237</v>
      </c>
      <c r="V24" s="8">
        <v>0.8536242798939353</v>
      </c>
      <c r="W24" s="8">
        <v>0.86164259631833351</v>
      </c>
      <c r="X24" s="8">
        <v>0.86723369538125417</v>
      </c>
      <c r="Y24" s="8">
        <v>0.86941839867707471</v>
      </c>
      <c r="Z24" s="8">
        <v>0.8690475876825704</v>
      </c>
      <c r="AA24" s="8">
        <v>0.87328128824584161</v>
      </c>
    </row>
    <row r="25" spans="1:27" x14ac:dyDescent="0.25">
      <c r="A25" s="9" t="s">
        <v>1</v>
      </c>
      <c r="B25" s="8">
        <v>0.46790740807866166</v>
      </c>
      <c r="C25" s="8">
        <v>0.49744711882208281</v>
      </c>
      <c r="D25" s="8">
        <v>0.53434776017413987</v>
      </c>
      <c r="E25" s="8">
        <v>0.62392182560778664</v>
      </c>
      <c r="F25" s="8">
        <v>0.71474932611366149</v>
      </c>
      <c r="G25" s="8">
        <v>0.7666812633725768</v>
      </c>
      <c r="H25" s="8">
        <v>0.80020933543289718</v>
      </c>
      <c r="I25" s="8">
        <v>0.83409346523340766</v>
      </c>
      <c r="J25" s="8">
        <v>0.8545948889166991</v>
      </c>
      <c r="K25" s="8">
        <v>0.87898981992594716</v>
      </c>
      <c r="L25" s="8">
        <v>0.91857867124297776</v>
      </c>
      <c r="M25" s="8">
        <v>0.94280278188763389</v>
      </c>
      <c r="N25" s="8">
        <v>0.95363692312526682</v>
      </c>
      <c r="O25" s="8">
        <v>0.95781378333519152</v>
      </c>
      <c r="P25" s="8">
        <v>0.95950733714712888</v>
      </c>
      <c r="Q25" s="8">
        <v>0.96478578071413079</v>
      </c>
      <c r="R25" s="8">
        <v>0.96783838847623904</v>
      </c>
      <c r="S25" s="8">
        <v>0.96634438883087914</v>
      </c>
      <c r="T25" s="8">
        <v>0.96698399817000447</v>
      </c>
      <c r="U25" s="8">
        <v>0.9667058564870995</v>
      </c>
      <c r="V25" s="8">
        <v>0.96820396444621404</v>
      </c>
      <c r="W25" s="8">
        <v>0.97006723539891093</v>
      </c>
      <c r="X25" s="8">
        <v>0.97019303580294391</v>
      </c>
      <c r="Y25" s="8">
        <v>0.96957145942284229</v>
      </c>
      <c r="Z25" s="8">
        <v>0.96862430154503287</v>
      </c>
      <c r="AA25" s="8">
        <v>0.96875097536331622</v>
      </c>
    </row>
    <row r="26" spans="1:27" x14ac:dyDescent="0.25">
      <c r="A26" s="9" t="s">
        <v>9</v>
      </c>
      <c r="B26" s="8">
        <v>0.4692924894074707</v>
      </c>
      <c r="C26" s="8">
        <v>0.49881051398069831</v>
      </c>
      <c r="D26" s="8">
        <v>0.5253601264536677</v>
      </c>
      <c r="E26" s="8">
        <v>0.56862355114675189</v>
      </c>
      <c r="F26" s="8">
        <v>0.62413851436826306</v>
      </c>
      <c r="G26" s="8">
        <v>0.663446917494524</v>
      </c>
      <c r="H26" s="8">
        <v>0.77334617865947719</v>
      </c>
      <c r="I26" s="8">
        <v>0.81641991291803451</v>
      </c>
      <c r="J26" s="8">
        <v>0.88416142014812926</v>
      </c>
      <c r="K26" s="8">
        <v>0.91184712018125447</v>
      </c>
      <c r="L26" s="8">
        <v>0.93297111226377072</v>
      </c>
      <c r="M26" s="8">
        <v>0.94149215848315448</v>
      </c>
      <c r="N26" s="8">
        <v>0.95443623753682016</v>
      </c>
      <c r="O26" s="8">
        <v>0.95791357361385088</v>
      </c>
      <c r="P26" s="8">
        <v>0.95768595392473965</v>
      </c>
      <c r="Q26" s="8">
        <v>0.96058017881252133</v>
      </c>
      <c r="R26" s="8">
        <v>0.96480781066561772</v>
      </c>
      <c r="S26" s="8">
        <v>0.96223124872506216</v>
      </c>
      <c r="T26" s="8">
        <v>0.96494851115705471</v>
      </c>
      <c r="U26" s="8">
        <v>0.96330190201512411</v>
      </c>
      <c r="V26" s="8">
        <v>0.96339646055482164</v>
      </c>
      <c r="W26" s="8">
        <v>0.96698164036771006</v>
      </c>
      <c r="X26" s="8">
        <v>0.96747850624773035</v>
      </c>
      <c r="Y26" s="8">
        <v>0.96613560404147425</v>
      </c>
      <c r="Z26" s="8">
        <v>0.96532253356969033</v>
      </c>
      <c r="AA26" s="8">
        <v>0.96529295871205556</v>
      </c>
    </row>
    <row r="27" spans="1:27" x14ac:dyDescent="0.25">
      <c r="A27" t="s">
        <v>29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5">
      <c r="A28" s="9" t="s">
        <v>0</v>
      </c>
      <c r="B28" s="8">
        <f>B24</f>
        <v>0.46929248941114027</v>
      </c>
      <c r="C28" s="8">
        <f t="shared" ref="C28:AA28" si="7">C24</f>
        <v>0.49881049394406235</v>
      </c>
      <c r="D28" s="8">
        <f t="shared" si="7"/>
        <v>0.52509899818929784</v>
      </c>
      <c r="E28" s="8">
        <f t="shared" si="7"/>
        <v>0.56828588551869763</v>
      </c>
      <c r="F28" s="8">
        <f t="shared" si="7"/>
        <v>0.62375103481515159</v>
      </c>
      <c r="G28" s="8">
        <f t="shared" si="7"/>
        <v>0.65455567254167812</v>
      </c>
      <c r="H28" s="8">
        <f t="shared" si="7"/>
        <v>0.67265312351147599</v>
      </c>
      <c r="I28" s="8">
        <f t="shared" si="7"/>
        <v>0.67584209386651295</v>
      </c>
      <c r="J28" s="8">
        <f t="shared" si="7"/>
        <v>0.68942523976307446</v>
      </c>
      <c r="K28" s="8">
        <f t="shared" si="7"/>
        <v>0.70949364278210025</v>
      </c>
      <c r="L28" s="8">
        <f t="shared" si="7"/>
        <v>0.73755381625485172</v>
      </c>
      <c r="M28" s="8">
        <f t="shared" si="7"/>
        <v>0.75088559134859378</v>
      </c>
      <c r="N28" s="8">
        <f t="shared" si="7"/>
        <v>0.77297421939168809</v>
      </c>
      <c r="O28" s="8">
        <f t="shared" si="7"/>
        <v>0.79101628749404418</v>
      </c>
      <c r="P28" s="8">
        <f t="shared" si="7"/>
        <v>0.7922589315802665</v>
      </c>
      <c r="Q28" s="8">
        <f t="shared" si="7"/>
        <v>0.80819256833165154</v>
      </c>
      <c r="R28" s="8">
        <f t="shared" si="7"/>
        <v>0.82839226305527458</v>
      </c>
      <c r="S28" s="8">
        <f t="shared" si="7"/>
        <v>0.82669543551740388</v>
      </c>
      <c r="T28" s="8">
        <f t="shared" si="7"/>
        <v>0.84453082310416461</v>
      </c>
      <c r="U28" s="8">
        <f t="shared" si="7"/>
        <v>0.84805470853243237</v>
      </c>
      <c r="V28" s="8">
        <f t="shared" si="7"/>
        <v>0.8536242798939353</v>
      </c>
      <c r="W28" s="8">
        <f t="shared" si="7"/>
        <v>0.86164259631833351</v>
      </c>
      <c r="X28" s="8">
        <f t="shared" si="7"/>
        <v>0.86723369538125417</v>
      </c>
      <c r="Y28" s="8">
        <f t="shared" si="7"/>
        <v>0.86941839867707471</v>
      </c>
      <c r="Z28" s="8">
        <f t="shared" si="7"/>
        <v>0.8690475876825704</v>
      </c>
      <c r="AA28" s="8">
        <f t="shared" si="7"/>
        <v>0.87328128824584161</v>
      </c>
    </row>
    <row r="29" spans="1:27" x14ac:dyDescent="0.25">
      <c r="A29" s="9" t="s">
        <v>1</v>
      </c>
      <c r="B29" s="8">
        <v>0.46790740807866166</v>
      </c>
      <c r="C29" s="8">
        <v>0.49744711882208281</v>
      </c>
      <c r="D29" s="8">
        <v>0.53287629051604002</v>
      </c>
      <c r="E29" s="8">
        <v>0.60409644678871277</v>
      </c>
      <c r="F29" s="8">
        <v>0.6676389699307177</v>
      </c>
      <c r="G29" s="8">
        <v>0.71367215939828776</v>
      </c>
      <c r="H29" s="8">
        <v>0.73672616329962848</v>
      </c>
      <c r="I29" s="8">
        <v>0.76612787627628987</v>
      </c>
      <c r="J29" s="8">
        <v>0.78961330672926799</v>
      </c>
      <c r="K29" s="8">
        <v>0.82332345842897448</v>
      </c>
      <c r="L29" s="8">
        <v>0.861531731018915</v>
      </c>
      <c r="M29" s="8">
        <v>0.89423185652593717</v>
      </c>
      <c r="N29" s="8">
        <v>0.91199070225006307</v>
      </c>
      <c r="O29" s="8">
        <v>0.91938485029407513</v>
      </c>
      <c r="P29" s="8">
        <v>0.93052547092234761</v>
      </c>
      <c r="Q29" s="8">
        <v>0.94220134080848439</v>
      </c>
      <c r="R29" s="8">
        <v>0.95126215942286363</v>
      </c>
      <c r="S29" s="8">
        <v>0.95213360931004165</v>
      </c>
      <c r="T29" s="8">
        <v>0.95372667106629394</v>
      </c>
      <c r="U29" s="8">
        <v>0.95411636833104152</v>
      </c>
      <c r="V29" s="8">
        <v>0.95608978743348683</v>
      </c>
      <c r="W29" s="8">
        <v>0.95833975491584755</v>
      </c>
      <c r="X29" s="8">
        <v>0.95834248267688904</v>
      </c>
      <c r="Y29" s="8">
        <v>0.9582350884017875</v>
      </c>
      <c r="Z29" s="8">
        <v>0.95729839465423228</v>
      </c>
      <c r="AA29" s="8">
        <v>0.95817234263303841</v>
      </c>
    </row>
    <row r="30" spans="1:27" x14ac:dyDescent="0.25">
      <c r="A30" s="9" t="s">
        <v>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</row>
    <row r="31" spans="1:2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26E5-5E3A-4B5F-B44B-0541F0EDBF1E}">
  <dimension ref="A1:AD38"/>
  <sheetViews>
    <sheetView tabSelected="1" zoomScale="80" zoomScaleNormal="80" workbookViewId="0">
      <selection activeCell="AB6" sqref="AB6"/>
    </sheetView>
  </sheetViews>
  <sheetFormatPr defaultRowHeight="15" x14ac:dyDescent="0.25"/>
  <cols>
    <col min="1" max="1" width="26.85546875" customWidth="1"/>
    <col min="2" max="2" width="11.5703125" bestFit="1" customWidth="1"/>
  </cols>
  <sheetData>
    <row r="1" spans="1:30" ht="24" x14ac:dyDescent="0.4">
      <c r="A1" s="1" t="s">
        <v>6</v>
      </c>
      <c r="D1" s="3">
        <v>7.3999999999999996E-2</v>
      </c>
    </row>
    <row r="2" spans="1:30" x14ac:dyDescent="0.25">
      <c r="A2" s="7"/>
      <c r="B2" s="7">
        <v>2026</v>
      </c>
      <c r="C2" s="7">
        <f t="shared" ref="C2:Z2" si="0">B2+1</f>
        <v>2027</v>
      </c>
      <c r="D2" s="7">
        <f t="shared" si="0"/>
        <v>2028</v>
      </c>
      <c r="E2" s="7">
        <f t="shared" si="0"/>
        <v>2029</v>
      </c>
      <c r="F2" s="7">
        <f t="shared" si="0"/>
        <v>2030</v>
      </c>
      <c r="G2" s="7">
        <f t="shared" si="0"/>
        <v>2031</v>
      </c>
      <c r="H2" s="7">
        <f t="shared" si="0"/>
        <v>2032</v>
      </c>
      <c r="I2" s="7">
        <f t="shared" si="0"/>
        <v>2033</v>
      </c>
      <c r="J2" s="7">
        <f t="shared" si="0"/>
        <v>2034</v>
      </c>
      <c r="K2" s="7">
        <f t="shared" si="0"/>
        <v>2035</v>
      </c>
      <c r="L2" s="7">
        <f t="shared" si="0"/>
        <v>2036</v>
      </c>
      <c r="M2" s="7">
        <f t="shared" si="0"/>
        <v>2037</v>
      </c>
      <c r="N2" s="7">
        <f t="shared" si="0"/>
        <v>2038</v>
      </c>
      <c r="O2" s="7">
        <f t="shared" si="0"/>
        <v>2039</v>
      </c>
      <c r="P2" s="7">
        <f t="shared" si="0"/>
        <v>2040</v>
      </c>
      <c r="Q2" s="7">
        <f t="shared" si="0"/>
        <v>2041</v>
      </c>
      <c r="R2" s="7">
        <f t="shared" si="0"/>
        <v>2042</v>
      </c>
      <c r="S2" s="7">
        <f t="shared" si="0"/>
        <v>2043</v>
      </c>
      <c r="T2" s="7">
        <f t="shared" si="0"/>
        <v>2044</v>
      </c>
      <c r="U2" s="7">
        <f t="shared" si="0"/>
        <v>2045</v>
      </c>
      <c r="V2" s="7">
        <f t="shared" si="0"/>
        <v>2046</v>
      </c>
      <c r="W2" s="7">
        <f t="shared" si="0"/>
        <v>2047</v>
      </c>
      <c r="X2" s="7">
        <f t="shared" si="0"/>
        <v>2048</v>
      </c>
      <c r="Y2" s="7">
        <f t="shared" si="0"/>
        <v>2049</v>
      </c>
      <c r="Z2" s="7">
        <f t="shared" si="0"/>
        <v>2050</v>
      </c>
    </row>
    <row r="3" spans="1:30" x14ac:dyDescent="0.25">
      <c r="A3" s="5" t="s">
        <v>10</v>
      </c>
    </row>
    <row r="4" spans="1:30" x14ac:dyDescent="0.25">
      <c r="A4" t="s">
        <v>0</v>
      </c>
      <c r="B4" s="2">
        <v>31450.313819981548</v>
      </c>
      <c r="C4" s="2">
        <v>32906.823432065539</v>
      </c>
      <c r="D4" s="2">
        <v>38930.642391472706</v>
      </c>
      <c r="E4" s="2">
        <v>37758.593553489605</v>
      </c>
      <c r="F4" s="2">
        <v>43812.224863000003</v>
      </c>
      <c r="G4" s="2">
        <v>33241.03620694518</v>
      </c>
      <c r="H4" s="2">
        <v>28167.281729578219</v>
      </c>
      <c r="I4" s="2">
        <v>23988.538726982319</v>
      </c>
      <c r="J4" s="2">
        <v>30199.684259123791</v>
      </c>
      <c r="K4" s="2">
        <v>26379.073353613523</v>
      </c>
      <c r="L4" s="2">
        <v>25336.174272913799</v>
      </c>
      <c r="M4" s="2">
        <v>42208.994491193233</v>
      </c>
      <c r="N4" s="2">
        <v>29708.722493739682</v>
      </c>
      <c r="O4" s="2">
        <v>20616.351675150738</v>
      </c>
      <c r="P4" s="2">
        <v>31321.555744400262</v>
      </c>
      <c r="Q4" s="2">
        <v>28187.505488321029</v>
      </c>
      <c r="R4" s="2">
        <v>23359.183285497973</v>
      </c>
      <c r="S4" s="2">
        <v>35214.416590791639</v>
      </c>
      <c r="T4" s="2">
        <v>27353.662011170829</v>
      </c>
      <c r="U4" s="2">
        <v>25303.368516890645</v>
      </c>
      <c r="V4" s="2">
        <v>25405.873874871904</v>
      </c>
      <c r="W4" s="2">
        <v>25289.391025148248</v>
      </c>
      <c r="X4" s="2">
        <v>21774.025570068185</v>
      </c>
      <c r="Y4" s="2">
        <v>22572.440503837894</v>
      </c>
      <c r="Z4" s="2">
        <v>22465.861263683713</v>
      </c>
      <c r="AB4" s="2">
        <f>SUM(B4:Z4)</f>
        <v>732951.73914393224</v>
      </c>
    </row>
    <row r="5" spans="1:30" x14ac:dyDescent="0.25">
      <c r="A5" t="s">
        <v>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B5" s="2"/>
    </row>
    <row r="6" spans="1:30" x14ac:dyDescent="0.25">
      <c r="A6" s="9" t="s">
        <v>1</v>
      </c>
      <c r="B6" s="2">
        <v>31497.572906695896</v>
      </c>
      <c r="C6" s="2">
        <v>32924.981970283123</v>
      </c>
      <c r="D6" s="2">
        <v>46285.162226959044</v>
      </c>
      <c r="E6" s="2">
        <v>52292.752759014773</v>
      </c>
      <c r="F6" s="2">
        <v>50929.78205322854</v>
      </c>
      <c r="G6" s="2">
        <v>46358.36510541779</v>
      </c>
      <c r="H6" s="2">
        <v>55758.502812024359</v>
      </c>
      <c r="I6" s="2">
        <v>36170.323231250783</v>
      </c>
      <c r="J6" s="2">
        <v>34602.86298295841</v>
      </c>
      <c r="K6" s="2">
        <v>36227.603682751775</v>
      </c>
      <c r="L6" s="2">
        <v>41396.705948231858</v>
      </c>
      <c r="M6" s="2">
        <v>39824.656824745449</v>
      </c>
      <c r="N6" s="2">
        <v>36836.328533395543</v>
      </c>
      <c r="O6" s="2">
        <v>17759.814041732181</v>
      </c>
      <c r="P6" s="2">
        <v>23754.935936680202</v>
      </c>
      <c r="Q6" s="2">
        <v>21671.040187581661</v>
      </c>
      <c r="R6" s="2">
        <v>19310.121586591722</v>
      </c>
      <c r="S6" s="2">
        <v>25321.837423258552</v>
      </c>
      <c r="T6" s="2">
        <v>19833.62821551918</v>
      </c>
      <c r="U6" s="2">
        <v>19200.077232496551</v>
      </c>
      <c r="V6" s="2">
        <v>21753.504362447791</v>
      </c>
      <c r="W6" s="2">
        <v>17436.076933101449</v>
      </c>
      <c r="X6" s="2">
        <v>15536.003607022014</v>
      </c>
      <c r="Y6" s="2">
        <v>15148.380404167729</v>
      </c>
      <c r="Z6" s="2">
        <v>20173.819333036063</v>
      </c>
      <c r="AB6" s="2">
        <f t="shared" ref="AB6:AB7" si="1">SUM(B6:Z6)</f>
        <v>778004.84030059236</v>
      </c>
    </row>
    <row r="7" spans="1:30" x14ac:dyDescent="0.25">
      <c r="A7" s="9" t="s">
        <v>9</v>
      </c>
      <c r="B7" s="2">
        <v>31450.3137925345</v>
      </c>
      <c r="C7" s="2">
        <v>32900.455824189092</v>
      </c>
      <c r="D7" s="2">
        <v>38990.981068542271</v>
      </c>
      <c r="E7" s="2">
        <v>37818.697548554235</v>
      </c>
      <c r="F7" s="2">
        <v>44189.027884979005</v>
      </c>
      <c r="G7" s="2">
        <v>59404.174511102967</v>
      </c>
      <c r="H7" s="2">
        <v>45789.524728266319</v>
      </c>
      <c r="I7" s="2">
        <v>56322.142021316315</v>
      </c>
      <c r="J7" s="2">
        <v>40090.019920991654</v>
      </c>
      <c r="K7" s="2">
        <v>26786.526720181875</v>
      </c>
      <c r="L7" s="2">
        <v>24189.891045002121</v>
      </c>
      <c r="M7" s="2">
        <v>37205.457946645685</v>
      </c>
      <c r="N7" s="2">
        <v>24246.383958590162</v>
      </c>
      <c r="O7" s="2">
        <v>19421.614348108356</v>
      </c>
      <c r="P7" s="2">
        <v>19581.534128455492</v>
      </c>
      <c r="Q7" s="2">
        <v>19654.35463786191</v>
      </c>
      <c r="R7" s="2">
        <v>21364.04463274388</v>
      </c>
      <c r="S7" s="2">
        <v>29371.265724153156</v>
      </c>
      <c r="T7" s="2">
        <v>22813.4397564151</v>
      </c>
      <c r="U7" s="2">
        <v>20298.721275819426</v>
      </c>
      <c r="V7" s="2">
        <v>24966.032263504301</v>
      </c>
      <c r="W7" s="2">
        <v>20697.510674319907</v>
      </c>
      <c r="X7" s="2">
        <v>18302.252941077702</v>
      </c>
      <c r="Y7" s="2">
        <v>19860.360394113857</v>
      </c>
      <c r="Z7" s="2">
        <v>19346.360084195541</v>
      </c>
      <c r="AB7" s="2">
        <f t="shared" si="1"/>
        <v>755061.08783166483</v>
      </c>
      <c r="AC7" s="2">
        <f>AB6-AB7</f>
        <v>22943.752468927531</v>
      </c>
      <c r="AD7">
        <f>AC7/AB7</f>
        <v>3.0386617505102669E-2</v>
      </c>
    </row>
    <row r="8" spans="1:30" x14ac:dyDescent="0.25">
      <c r="A8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B8" s="2"/>
      <c r="AC8" s="2"/>
    </row>
    <row r="9" spans="1:30" x14ac:dyDescent="0.25">
      <c r="A9" s="9" t="s">
        <v>1</v>
      </c>
      <c r="B9" s="2">
        <v>31497.572906695896</v>
      </c>
      <c r="C9" s="2">
        <v>32453.359756157693</v>
      </c>
      <c r="D9" s="2">
        <v>42079.07099183675</v>
      </c>
      <c r="E9" s="2">
        <v>41374.897494941622</v>
      </c>
      <c r="F9" s="2">
        <v>46876.443952958289</v>
      </c>
      <c r="G9" s="2">
        <v>38187.519108739172</v>
      </c>
      <c r="H9" s="2">
        <v>50728.348280591083</v>
      </c>
      <c r="I9" s="2">
        <v>34692.967233247422</v>
      </c>
      <c r="J9" s="2">
        <v>37413.568742237738</v>
      </c>
      <c r="K9" s="2">
        <v>38331.578922793087</v>
      </c>
      <c r="L9" s="2">
        <v>41793.626467505826</v>
      </c>
      <c r="M9" s="2">
        <v>39519.064481860631</v>
      </c>
      <c r="N9" s="2">
        <v>40009.040189900668</v>
      </c>
      <c r="O9" s="2">
        <v>25051.35117129736</v>
      </c>
      <c r="P9" s="2">
        <v>28473.172658388336</v>
      </c>
      <c r="Q9" s="2">
        <v>25217.300784385061</v>
      </c>
      <c r="R9" s="2">
        <v>23449.383289021403</v>
      </c>
      <c r="S9" s="2">
        <v>26370.222617685034</v>
      </c>
      <c r="T9" s="2">
        <v>20867.516442757671</v>
      </c>
      <c r="U9" s="2">
        <v>20232.00860153748</v>
      </c>
      <c r="V9" s="2">
        <v>22116.388455722801</v>
      </c>
      <c r="W9" s="2">
        <v>17818.152266925325</v>
      </c>
      <c r="X9" s="2">
        <v>15884.464053596841</v>
      </c>
      <c r="Y9" s="2">
        <v>15507.809162213878</v>
      </c>
      <c r="Z9" s="2">
        <v>22506.177635055989</v>
      </c>
      <c r="AB9" s="2">
        <f t="shared" ref="AB9:AB10" si="2">SUM(B9:Z9)</f>
        <v>778451.00566805305</v>
      </c>
    </row>
    <row r="10" spans="1:30" x14ac:dyDescent="0.25">
      <c r="A10" s="9" t="s">
        <v>9</v>
      </c>
      <c r="B10" s="2">
        <v>31450.3137925345</v>
      </c>
      <c r="C10" s="2">
        <v>32900.455824189092</v>
      </c>
      <c r="D10" s="2">
        <v>38990.981068542271</v>
      </c>
      <c r="E10" s="2">
        <v>37818.697548554235</v>
      </c>
      <c r="F10" s="2">
        <v>43796.301889225302</v>
      </c>
      <c r="G10" s="2">
        <v>44528.963911563675</v>
      </c>
      <c r="H10" s="2">
        <v>36060.577003213359</v>
      </c>
      <c r="I10" s="2">
        <v>39754.767184250653</v>
      </c>
      <c r="J10" s="2">
        <v>37904.037780060047</v>
      </c>
      <c r="K10" s="2">
        <v>39641.855119935535</v>
      </c>
      <c r="L10" s="2">
        <v>30799.829134340802</v>
      </c>
      <c r="M10" s="2">
        <v>45798.018196423232</v>
      </c>
      <c r="N10" s="2">
        <v>29883.316732754989</v>
      </c>
      <c r="O10" s="2">
        <v>19950.065304069616</v>
      </c>
      <c r="P10" s="2">
        <v>20093.430980833829</v>
      </c>
      <c r="Q10" s="2">
        <v>21449.772756637361</v>
      </c>
      <c r="R10" s="2">
        <v>20325.02412118846</v>
      </c>
      <c r="S10" s="2">
        <v>27908.300822356287</v>
      </c>
      <c r="T10" s="2">
        <v>21632.573449443444</v>
      </c>
      <c r="U10" s="2">
        <v>18715.000999729011</v>
      </c>
      <c r="V10" s="2">
        <v>22991.666356023154</v>
      </c>
      <c r="W10" s="2">
        <v>18556.484719846711</v>
      </c>
      <c r="X10" s="2">
        <v>16080.912035641466</v>
      </c>
      <c r="Y10" s="2">
        <v>16933.85996057963</v>
      </c>
      <c r="Z10" s="2">
        <v>16424.595498114162</v>
      </c>
      <c r="AB10" s="2">
        <f t="shared" si="2"/>
        <v>730389.80219005083</v>
      </c>
      <c r="AC10" s="2">
        <f>AB9-AB10</f>
        <v>48061.203478002222</v>
      </c>
      <c r="AD10">
        <f>AC10/AB10</f>
        <v>6.5802128307230215E-2</v>
      </c>
    </row>
    <row r="12" spans="1:30" x14ac:dyDescent="0.25">
      <c r="A12" s="5" t="s">
        <v>11</v>
      </c>
    </row>
    <row r="13" spans="1:30" x14ac:dyDescent="0.25">
      <c r="A13" t="s">
        <v>28</v>
      </c>
    </row>
    <row r="14" spans="1:30" x14ac:dyDescent="0.25">
      <c r="A14" s="9" t="s">
        <v>12</v>
      </c>
      <c r="B14" s="2">
        <f>B$4-B6</f>
        <v>-47.259086714348086</v>
      </c>
      <c r="C14" s="2">
        <f t="shared" ref="C14:Z14" si="3">C4-C6</f>
        <v>-18.158538217583555</v>
      </c>
      <c r="D14" s="2">
        <f t="shared" si="3"/>
        <v>-7354.5198354863387</v>
      </c>
      <c r="E14" s="2">
        <f t="shared" si="3"/>
        <v>-14534.159205525168</v>
      </c>
      <c r="F14" s="2">
        <f t="shared" si="3"/>
        <v>-7117.5571902285374</v>
      </c>
      <c r="G14" s="2">
        <f t="shared" si="3"/>
        <v>-13117.32889847261</v>
      </c>
      <c r="H14" s="2">
        <f t="shared" si="3"/>
        <v>-27591.22108244614</v>
      </c>
      <c r="I14" s="2">
        <f t="shared" si="3"/>
        <v>-12181.784504268464</v>
      </c>
      <c r="J14" s="2">
        <f t="shared" si="3"/>
        <v>-4403.1787238346187</v>
      </c>
      <c r="K14" s="2">
        <f t="shared" si="3"/>
        <v>-9848.5303291382515</v>
      </c>
      <c r="L14" s="2">
        <f t="shared" si="3"/>
        <v>-16060.53167531806</v>
      </c>
      <c r="M14" s="2">
        <f t="shared" si="3"/>
        <v>2384.3376664477837</v>
      </c>
      <c r="N14" s="2">
        <f t="shared" si="3"/>
        <v>-7127.6060396558605</v>
      </c>
      <c r="O14" s="2">
        <f t="shared" si="3"/>
        <v>2856.5376334185567</v>
      </c>
      <c r="P14" s="2">
        <f t="shared" si="3"/>
        <v>7566.6198077200606</v>
      </c>
      <c r="Q14" s="2">
        <f t="shared" si="3"/>
        <v>6516.4653007393681</v>
      </c>
      <c r="R14" s="2">
        <f t="shared" si="3"/>
        <v>4049.061698906251</v>
      </c>
      <c r="S14" s="2">
        <f t="shared" si="3"/>
        <v>9892.5791675330875</v>
      </c>
      <c r="T14" s="2">
        <f t="shared" si="3"/>
        <v>7520.0337956516487</v>
      </c>
      <c r="U14" s="2">
        <f t="shared" si="3"/>
        <v>6103.291284394094</v>
      </c>
      <c r="V14" s="2">
        <f t="shared" si="3"/>
        <v>3652.3695124241131</v>
      </c>
      <c r="W14" s="2">
        <f t="shared" si="3"/>
        <v>7853.3140920467995</v>
      </c>
      <c r="X14" s="2">
        <f t="shared" si="3"/>
        <v>6238.0219630461706</v>
      </c>
      <c r="Y14" s="2">
        <f t="shared" si="3"/>
        <v>7424.0600996701651</v>
      </c>
      <c r="Z14" s="2">
        <f t="shared" si="3"/>
        <v>2292.0419306476506</v>
      </c>
      <c r="AB14" t="s">
        <v>15</v>
      </c>
    </row>
    <row r="15" spans="1:30" x14ac:dyDescent="0.25">
      <c r="A15" s="9" t="s">
        <v>13</v>
      </c>
      <c r="B15" s="2">
        <f t="shared" ref="B15:Z15" si="4">B$4-B7</f>
        <v>2.7447047614259645E-5</v>
      </c>
      <c r="C15" s="2">
        <f t="shared" si="4"/>
        <v>6.3676078764474369</v>
      </c>
      <c r="D15" s="2">
        <f t="shared" si="4"/>
        <v>-60.338677069565165</v>
      </c>
      <c r="E15" s="2">
        <f t="shared" si="4"/>
        <v>-60.103995064629999</v>
      </c>
      <c r="F15" s="2">
        <f t="shared" si="4"/>
        <v>-376.80302197900164</v>
      </c>
      <c r="G15" s="2">
        <f t="shared" si="4"/>
        <v>-26163.138304157786</v>
      </c>
      <c r="H15" s="2">
        <f t="shared" si="4"/>
        <v>-17622.2429986881</v>
      </c>
      <c r="I15" s="2">
        <f t="shared" si="4"/>
        <v>-32333.603294333996</v>
      </c>
      <c r="J15" s="2">
        <f t="shared" si="4"/>
        <v>-9890.3356618678627</v>
      </c>
      <c r="K15" s="2">
        <f t="shared" si="4"/>
        <v>-407.45336656835207</v>
      </c>
      <c r="L15" s="2">
        <f t="shared" si="4"/>
        <v>1146.2832279116774</v>
      </c>
      <c r="M15" s="2">
        <f t="shared" si="4"/>
        <v>5003.5365445475472</v>
      </c>
      <c r="N15" s="2">
        <f t="shared" si="4"/>
        <v>5462.3385351495199</v>
      </c>
      <c r="O15" s="2">
        <f t="shared" si="4"/>
        <v>1194.7373270423814</v>
      </c>
      <c r="P15" s="2">
        <f t="shared" si="4"/>
        <v>11740.02161594477</v>
      </c>
      <c r="Q15" s="2">
        <f t="shared" si="4"/>
        <v>8533.1508504591184</v>
      </c>
      <c r="R15" s="2">
        <f t="shared" si="4"/>
        <v>1995.1386527540926</v>
      </c>
      <c r="S15" s="2">
        <f t="shared" si="4"/>
        <v>5843.1508666384834</v>
      </c>
      <c r="T15" s="2">
        <f t="shared" si="4"/>
        <v>4540.2222547557285</v>
      </c>
      <c r="U15" s="2">
        <f t="shared" si="4"/>
        <v>5004.6472410712195</v>
      </c>
      <c r="V15" s="2">
        <f t="shared" si="4"/>
        <v>439.84161136760304</v>
      </c>
      <c r="W15" s="2">
        <f t="shared" si="4"/>
        <v>4591.8803508283418</v>
      </c>
      <c r="X15" s="2">
        <f t="shared" si="4"/>
        <v>3471.7726289904822</v>
      </c>
      <c r="Y15" s="2">
        <f t="shared" si="4"/>
        <v>2712.0801097240364</v>
      </c>
      <c r="Z15" s="2">
        <f t="shared" si="4"/>
        <v>3119.5011794881721</v>
      </c>
      <c r="AB15" t="s">
        <v>15</v>
      </c>
    </row>
    <row r="16" spans="1:30" x14ac:dyDescent="0.25">
      <c r="A16" s="9" t="s">
        <v>14</v>
      </c>
      <c r="B16" s="2">
        <f>B6-B7</f>
        <v>47.259114161395701</v>
      </c>
      <c r="C16" s="2">
        <f t="shared" ref="C16:Z16" si="5">C6-C7</f>
        <v>24.526146094030992</v>
      </c>
      <c r="D16" s="2">
        <f t="shared" si="5"/>
        <v>7294.1811584167735</v>
      </c>
      <c r="E16" s="2">
        <f t="shared" si="5"/>
        <v>14474.055210460538</v>
      </c>
      <c r="F16" s="2">
        <f t="shared" si="5"/>
        <v>6740.7541682495357</v>
      </c>
      <c r="G16" s="2">
        <f t="shared" si="5"/>
        <v>-13045.809405685177</v>
      </c>
      <c r="H16" s="2">
        <f t="shared" si="5"/>
        <v>9968.9780837580402</v>
      </c>
      <c r="I16" s="2">
        <f t="shared" si="5"/>
        <v>-20151.818790065532</v>
      </c>
      <c r="J16" s="2">
        <f t="shared" si="5"/>
        <v>-5487.1569380332439</v>
      </c>
      <c r="K16" s="2">
        <f t="shared" si="5"/>
        <v>9441.0769625698995</v>
      </c>
      <c r="L16" s="2">
        <f t="shared" si="5"/>
        <v>17206.814903229737</v>
      </c>
      <c r="M16" s="2">
        <f t="shared" si="5"/>
        <v>2619.1988780997635</v>
      </c>
      <c r="N16" s="2">
        <f t="shared" si="5"/>
        <v>12589.94457480538</v>
      </c>
      <c r="O16" s="2">
        <f t="shared" si="5"/>
        <v>-1661.8003063761753</v>
      </c>
      <c r="P16" s="2">
        <f t="shared" si="5"/>
        <v>4173.4018082247094</v>
      </c>
      <c r="Q16" s="2">
        <f t="shared" si="5"/>
        <v>2016.6855497197503</v>
      </c>
      <c r="R16" s="2">
        <f t="shared" si="5"/>
        <v>-2053.9230461521583</v>
      </c>
      <c r="S16" s="2">
        <f t="shared" si="5"/>
        <v>-4049.428300894604</v>
      </c>
      <c r="T16" s="2">
        <f t="shared" si="5"/>
        <v>-2979.8115408959202</v>
      </c>
      <c r="U16" s="2">
        <f t="shared" si="5"/>
        <v>-1098.6440433228745</v>
      </c>
      <c r="V16" s="2">
        <f t="shared" si="5"/>
        <v>-3212.52790105651</v>
      </c>
      <c r="W16" s="2">
        <f t="shared" si="5"/>
        <v>-3261.4337412184577</v>
      </c>
      <c r="X16" s="2">
        <f t="shared" si="5"/>
        <v>-2766.2493340556885</v>
      </c>
      <c r="Y16" s="2">
        <f t="shared" si="5"/>
        <v>-4711.9799899461286</v>
      </c>
      <c r="Z16" s="2">
        <f t="shared" si="5"/>
        <v>827.45924884052147</v>
      </c>
      <c r="AB16" t="s">
        <v>16</v>
      </c>
    </row>
    <row r="17" spans="1:28" x14ac:dyDescent="0.25">
      <c r="A17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8" x14ac:dyDescent="0.25">
      <c r="A18" s="9" t="s">
        <v>12</v>
      </c>
      <c r="B18" s="2">
        <f>B$4-B9</f>
        <v>-47.259086714348086</v>
      </c>
      <c r="C18" s="2">
        <f t="shared" ref="C18:Z18" si="6">C$4-C9</f>
        <v>453.46367590784575</v>
      </c>
      <c r="D18" s="2">
        <f t="shared" si="6"/>
        <v>-3148.4286003640445</v>
      </c>
      <c r="E18" s="2">
        <f t="shared" si="6"/>
        <v>-3616.3039414520172</v>
      </c>
      <c r="F18" s="2">
        <f t="shared" si="6"/>
        <v>-3064.2190899582856</v>
      </c>
      <c r="G18" s="2">
        <f t="shared" si="6"/>
        <v>-4946.4829017939919</v>
      </c>
      <c r="H18" s="2">
        <f t="shared" si="6"/>
        <v>-22561.066551012864</v>
      </c>
      <c r="I18" s="2">
        <f t="shared" si="6"/>
        <v>-10704.428506265103</v>
      </c>
      <c r="J18" s="2">
        <f t="shared" si="6"/>
        <v>-7213.8844831139468</v>
      </c>
      <c r="K18" s="2">
        <f t="shared" si="6"/>
        <v>-11952.505569179564</v>
      </c>
      <c r="L18" s="2">
        <f t="shared" si="6"/>
        <v>-16457.452194592028</v>
      </c>
      <c r="M18" s="2">
        <f t="shared" si="6"/>
        <v>2689.9300093326019</v>
      </c>
      <c r="N18" s="2">
        <f t="shared" si="6"/>
        <v>-10300.317696160986</v>
      </c>
      <c r="O18" s="2">
        <f t="shared" si="6"/>
        <v>-4434.9994961466218</v>
      </c>
      <c r="P18" s="2">
        <f t="shared" si="6"/>
        <v>2848.3830860119269</v>
      </c>
      <c r="Q18" s="2">
        <f t="shared" si="6"/>
        <v>2970.2047039359677</v>
      </c>
      <c r="R18" s="2">
        <f t="shared" si="6"/>
        <v>-90.200003523430496</v>
      </c>
      <c r="S18" s="2">
        <f t="shared" si="6"/>
        <v>8844.193973106605</v>
      </c>
      <c r="T18" s="2">
        <f t="shared" si="6"/>
        <v>6486.1455684131579</v>
      </c>
      <c r="U18" s="2">
        <f t="shared" si="6"/>
        <v>5071.359915353165</v>
      </c>
      <c r="V18" s="2">
        <f t="shared" si="6"/>
        <v>3289.4854191491031</v>
      </c>
      <c r="W18" s="2">
        <f t="shared" si="6"/>
        <v>7471.2387582229239</v>
      </c>
      <c r="X18" s="2">
        <f t="shared" si="6"/>
        <v>5889.5615164713436</v>
      </c>
      <c r="Y18" s="2">
        <f t="shared" si="6"/>
        <v>7064.6313416240155</v>
      </c>
      <c r="Z18" s="2">
        <f t="shared" si="6"/>
        <v>-40.316371372275171</v>
      </c>
    </row>
    <row r="19" spans="1:28" x14ac:dyDescent="0.25">
      <c r="A19" s="9" t="s">
        <v>13</v>
      </c>
      <c r="B19" s="2">
        <f>B$4-B10</f>
        <v>2.7447047614259645E-5</v>
      </c>
      <c r="C19" s="2">
        <f t="shared" ref="C19:Z19" si="7">C$4-C10</f>
        <v>6.3676078764474369</v>
      </c>
      <c r="D19" s="2">
        <f t="shared" si="7"/>
        <v>-60.338677069565165</v>
      </c>
      <c r="E19" s="2">
        <f t="shared" si="7"/>
        <v>-60.103995064629999</v>
      </c>
      <c r="F19" s="2">
        <f t="shared" si="7"/>
        <v>15.922973774700949</v>
      </c>
      <c r="G19" s="2">
        <f t="shared" si="7"/>
        <v>-11287.927704618494</v>
      </c>
      <c r="H19" s="2">
        <f t="shared" si="7"/>
        <v>-7893.2952736351399</v>
      </c>
      <c r="I19" s="2">
        <f t="shared" si="7"/>
        <v>-15766.228457268335</v>
      </c>
      <c r="J19" s="2">
        <f t="shared" si="7"/>
        <v>-7704.3535209362562</v>
      </c>
      <c r="K19" s="2">
        <f t="shared" si="7"/>
        <v>-13262.781766322012</v>
      </c>
      <c r="L19" s="2">
        <f t="shared" si="7"/>
        <v>-5463.6548614270032</v>
      </c>
      <c r="M19" s="2">
        <f t="shared" si="7"/>
        <v>-3589.0237052299999</v>
      </c>
      <c r="N19" s="2">
        <f t="shared" si="7"/>
        <v>-174.59423901530681</v>
      </c>
      <c r="O19" s="2">
        <f t="shared" si="7"/>
        <v>666.28637108112162</v>
      </c>
      <c r="P19" s="2">
        <f t="shared" si="7"/>
        <v>11228.124763566433</v>
      </c>
      <c r="Q19" s="2">
        <f t="shared" si="7"/>
        <v>6737.7327316836672</v>
      </c>
      <c r="R19" s="2">
        <f t="shared" si="7"/>
        <v>3034.1591643095126</v>
      </c>
      <c r="S19" s="2">
        <f t="shared" si="7"/>
        <v>7306.1157684353529</v>
      </c>
      <c r="T19" s="2">
        <f t="shared" si="7"/>
        <v>5721.0885617273852</v>
      </c>
      <c r="U19" s="2">
        <f t="shared" si="7"/>
        <v>6588.3675171616342</v>
      </c>
      <c r="V19" s="2">
        <f t="shared" si="7"/>
        <v>2414.2075188487506</v>
      </c>
      <c r="W19" s="2">
        <f t="shared" si="7"/>
        <v>6732.9063053015379</v>
      </c>
      <c r="X19" s="2">
        <f t="shared" si="7"/>
        <v>5693.1135344267186</v>
      </c>
      <c r="Y19" s="2">
        <f t="shared" si="7"/>
        <v>5638.5805432582638</v>
      </c>
      <c r="Z19" s="2">
        <f t="shared" si="7"/>
        <v>6041.2657655695511</v>
      </c>
    </row>
    <row r="20" spans="1:28" x14ac:dyDescent="0.25">
      <c r="A20" s="9" t="s">
        <v>14</v>
      </c>
      <c r="B20" s="2">
        <f>B9-B10</f>
        <v>47.259114161395701</v>
      </c>
      <c r="C20" s="2">
        <f t="shared" ref="C20:Z20" si="8">C9-C10</f>
        <v>-447.09606803139832</v>
      </c>
      <c r="D20" s="2">
        <f t="shared" si="8"/>
        <v>3088.0899232944794</v>
      </c>
      <c r="E20" s="2">
        <f t="shared" si="8"/>
        <v>3556.1999463873872</v>
      </c>
      <c r="F20" s="2">
        <f t="shared" si="8"/>
        <v>3080.1420637329866</v>
      </c>
      <c r="G20" s="2">
        <f t="shared" si="8"/>
        <v>-6341.4448028245024</v>
      </c>
      <c r="H20" s="2">
        <f t="shared" si="8"/>
        <v>14667.771277377724</v>
      </c>
      <c r="I20" s="2">
        <f t="shared" si="8"/>
        <v>-5061.7999510032314</v>
      </c>
      <c r="J20" s="2">
        <f t="shared" si="8"/>
        <v>-490.46903782230947</v>
      </c>
      <c r="K20" s="2">
        <f t="shared" si="8"/>
        <v>-1310.2761971424479</v>
      </c>
      <c r="L20" s="2">
        <f t="shared" si="8"/>
        <v>10993.797333165025</v>
      </c>
      <c r="M20" s="2">
        <f t="shared" si="8"/>
        <v>-6278.9537145626018</v>
      </c>
      <c r="N20" s="2">
        <f t="shared" si="8"/>
        <v>10125.723457145679</v>
      </c>
      <c r="O20" s="2">
        <f t="shared" si="8"/>
        <v>5101.2858672277434</v>
      </c>
      <c r="P20" s="2">
        <f t="shared" si="8"/>
        <v>8379.7416775545062</v>
      </c>
      <c r="Q20" s="2">
        <f t="shared" si="8"/>
        <v>3767.5280277476995</v>
      </c>
      <c r="R20" s="2">
        <f t="shared" si="8"/>
        <v>3124.3591678329431</v>
      </c>
      <c r="S20" s="2">
        <f t="shared" si="8"/>
        <v>-1538.078204671252</v>
      </c>
      <c r="T20" s="2">
        <f t="shared" si="8"/>
        <v>-765.05700668577265</v>
      </c>
      <c r="U20" s="2">
        <f t="shared" si="8"/>
        <v>1517.0076018084692</v>
      </c>
      <c r="V20" s="2">
        <f t="shared" si="8"/>
        <v>-875.27790030035248</v>
      </c>
      <c r="W20" s="2">
        <f t="shared" si="8"/>
        <v>-738.33245292138599</v>
      </c>
      <c r="X20" s="2">
        <f t="shared" si="8"/>
        <v>-196.44798204462495</v>
      </c>
      <c r="Y20" s="2">
        <f t="shared" si="8"/>
        <v>-1426.0507983657517</v>
      </c>
      <c r="Z20" s="2">
        <f t="shared" si="8"/>
        <v>6081.5821369418263</v>
      </c>
    </row>
    <row r="22" spans="1:28" x14ac:dyDescent="0.25">
      <c r="A22" s="5" t="s">
        <v>7</v>
      </c>
    </row>
    <row r="23" spans="1:28" x14ac:dyDescent="0.25">
      <c r="A23" t="s">
        <v>0</v>
      </c>
      <c r="B23" s="4">
        <f>NPV(D1,B4:Z4)</f>
        <v>350697.42050092132</v>
      </c>
    </row>
    <row r="24" spans="1:28" x14ac:dyDescent="0.25">
      <c r="A24" t="s">
        <v>28</v>
      </c>
      <c r="B24" s="4"/>
    </row>
    <row r="25" spans="1:28" x14ac:dyDescent="0.25">
      <c r="A25" s="9" t="s">
        <v>1</v>
      </c>
      <c r="B25" s="4">
        <f>NPV(D1,B6:Z6)</f>
        <v>402590.47704741295</v>
      </c>
      <c r="C25" s="4">
        <f>B23-B25</f>
        <v>-51893.056546491629</v>
      </c>
      <c r="AB25" t="s">
        <v>17</v>
      </c>
    </row>
    <row r="26" spans="1:28" x14ac:dyDescent="0.25">
      <c r="A26" s="9" t="s">
        <v>9</v>
      </c>
      <c r="B26" s="4">
        <f>NPV(D1,B7:Z7)</f>
        <v>383145.77103577828</v>
      </c>
      <c r="C26" s="4">
        <f>B23-B26</f>
        <v>-32448.35053485696</v>
      </c>
      <c r="D26" s="4">
        <f>B26-B25</f>
        <v>-19444.706011634669</v>
      </c>
      <c r="AB26" t="s">
        <v>17</v>
      </c>
    </row>
    <row r="27" spans="1:28" x14ac:dyDescent="0.25">
      <c r="A27" t="s">
        <v>29</v>
      </c>
      <c r="B27" s="4"/>
      <c r="C27" s="4"/>
      <c r="D27" s="4"/>
    </row>
    <row r="28" spans="1:28" x14ac:dyDescent="0.25">
      <c r="A28" s="9" t="s">
        <v>1</v>
      </c>
      <c r="B28" s="4">
        <f>NPV(D$1,B9:Z9)</f>
        <v>390498.27768019994</v>
      </c>
      <c r="C28" s="4">
        <f>B23-B28</f>
        <v>-39800.857179278624</v>
      </c>
    </row>
    <row r="29" spans="1:28" x14ac:dyDescent="0.25">
      <c r="A29" s="9" t="s">
        <v>9</v>
      </c>
      <c r="B29" s="4">
        <f>NPV(D$1,B10:Z10)</f>
        <v>369164.96110384137</v>
      </c>
      <c r="C29" s="4">
        <f>B23-B29</f>
        <v>-18467.540602920053</v>
      </c>
      <c r="D29" s="4">
        <f>B29-B28</f>
        <v>-21333.316576358571</v>
      </c>
    </row>
    <row r="31" spans="1:28" x14ac:dyDescent="0.25">
      <c r="A31" s="5" t="s">
        <v>8</v>
      </c>
    </row>
    <row r="32" spans="1:28" x14ac:dyDescent="0.25">
      <c r="A32" t="s">
        <v>28</v>
      </c>
    </row>
    <row r="33" spans="1:26" x14ac:dyDescent="0.25">
      <c r="A33" s="9" t="s">
        <v>12</v>
      </c>
      <c r="B33" s="4">
        <f>-C25/NPV(D$1,Emissions!C14:AA14)</f>
        <v>145.64860192319085</v>
      </c>
    </row>
    <row r="34" spans="1:26" x14ac:dyDescent="0.25">
      <c r="A34" s="9" t="s">
        <v>13</v>
      </c>
      <c r="B34" s="4">
        <f>-C26/NPV(D$1,Emissions!C15:AA15)</f>
        <v>95.1421726631648</v>
      </c>
    </row>
    <row r="35" spans="1:26" x14ac:dyDescent="0.25">
      <c r="A35" t="s">
        <v>29</v>
      </c>
      <c r="B35" s="4"/>
    </row>
    <row r="36" spans="1:26" x14ac:dyDescent="0.25">
      <c r="A36" s="9" t="s">
        <v>12</v>
      </c>
      <c r="B36" s="4">
        <f>-C28/NPV(D$1,Emissions!C18:AA18)</f>
        <v>153.63795533275552</v>
      </c>
    </row>
    <row r="37" spans="1:26" x14ac:dyDescent="0.25">
      <c r="A37" s="9" t="s">
        <v>13</v>
      </c>
      <c r="B37" s="4">
        <f>-C29/NPV(D$1,Emissions!C19:AA19)</f>
        <v>77.297981905404555</v>
      </c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E088-04E3-459A-8825-5A206C2CCBEE}">
  <dimension ref="A1:Z48"/>
  <sheetViews>
    <sheetView zoomScale="80" zoomScaleNormal="80" workbookViewId="0">
      <selection activeCell="K32" sqref="K32"/>
    </sheetView>
  </sheetViews>
  <sheetFormatPr defaultRowHeight="15" x14ac:dyDescent="0.25"/>
  <cols>
    <col min="1" max="1" width="28.85546875" customWidth="1"/>
  </cols>
  <sheetData>
    <row r="1" spans="1:26" ht="24" x14ac:dyDescent="0.4">
      <c r="A1" s="1" t="s">
        <v>26</v>
      </c>
    </row>
    <row r="2" spans="1:26" x14ac:dyDescent="0.25">
      <c r="A2" s="7"/>
      <c r="B2" s="7">
        <v>2026</v>
      </c>
      <c r="C2" s="7">
        <f t="shared" ref="C2:Z2" si="0">B2+1</f>
        <v>2027</v>
      </c>
      <c r="D2" s="7">
        <f t="shared" si="0"/>
        <v>2028</v>
      </c>
      <c r="E2" s="7">
        <f t="shared" si="0"/>
        <v>2029</v>
      </c>
      <c r="F2" s="7">
        <f t="shared" si="0"/>
        <v>2030</v>
      </c>
      <c r="G2" s="7">
        <f t="shared" si="0"/>
        <v>2031</v>
      </c>
      <c r="H2" s="7">
        <f t="shared" si="0"/>
        <v>2032</v>
      </c>
      <c r="I2" s="7">
        <f t="shared" si="0"/>
        <v>2033</v>
      </c>
      <c r="J2" s="7">
        <f t="shared" si="0"/>
        <v>2034</v>
      </c>
      <c r="K2" s="7">
        <f t="shared" si="0"/>
        <v>2035</v>
      </c>
      <c r="L2" s="7">
        <f t="shared" si="0"/>
        <v>2036</v>
      </c>
      <c r="M2" s="7">
        <f t="shared" si="0"/>
        <v>2037</v>
      </c>
      <c r="N2" s="7">
        <f t="shared" si="0"/>
        <v>2038</v>
      </c>
      <c r="O2" s="7">
        <f t="shared" si="0"/>
        <v>2039</v>
      </c>
      <c r="P2" s="7">
        <f t="shared" si="0"/>
        <v>2040</v>
      </c>
      <c r="Q2" s="7">
        <f t="shared" si="0"/>
        <v>2041</v>
      </c>
      <c r="R2" s="7">
        <f t="shared" si="0"/>
        <v>2042</v>
      </c>
      <c r="S2" s="7">
        <f t="shared" si="0"/>
        <v>2043</v>
      </c>
      <c r="T2" s="7">
        <f t="shared" si="0"/>
        <v>2044</v>
      </c>
      <c r="U2" s="7">
        <f t="shared" si="0"/>
        <v>2045</v>
      </c>
      <c r="V2" s="7">
        <f t="shared" si="0"/>
        <v>2046</v>
      </c>
      <c r="W2" s="7">
        <f t="shared" si="0"/>
        <v>2047</v>
      </c>
      <c r="X2" s="7">
        <f t="shared" si="0"/>
        <v>2048</v>
      </c>
      <c r="Y2" s="7">
        <f t="shared" si="0"/>
        <v>2049</v>
      </c>
      <c r="Z2" s="7">
        <f t="shared" si="0"/>
        <v>2050</v>
      </c>
    </row>
    <row r="3" spans="1:26" x14ac:dyDescent="0.25">
      <c r="A3" s="5" t="s">
        <v>27</v>
      </c>
    </row>
    <row r="4" spans="1:26" x14ac:dyDescent="0.25">
      <c r="A4" t="s">
        <v>24</v>
      </c>
    </row>
    <row r="5" spans="1:26" x14ac:dyDescent="0.25">
      <c r="A5" s="9" t="s">
        <v>28</v>
      </c>
    </row>
    <row r="6" spans="1:26" x14ac:dyDescent="0.25">
      <c r="A6" s="10" t="s">
        <v>0</v>
      </c>
      <c r="B6" s="2">
        <v>107.70461597175552</v>
      </c>
      <c r="C6" s="2">
        <v>97.06104223579905</v>
      </c>
      <c r="D6" s="2">
        <v>70.54425928939699</v>
      </c>
      <c r="E6" s="2">
        <v>55.474413684926269</v>
      </c>
      <c r="F6" s="2">
        <v>37.875298459696957</v>
      </c>
      <c r="G6" s="2">
        <v>48.238114429590368</v>
      </c>
      <c r="H6" s="2">
        <v>59.629735339117708</v>
      </c>
      <c r="I6" s="2">
        <v>75.178400316818283</v>
      </c>
      <c r="J6" s="2">
        <v>87.065499765550413</v>
      </c>
      <c r="K6" s="2">
        <v>98.205012037989107</v>
      </c>
      <c r="L6" s="2">
        <v>98.941180209281455</v>
      </c>
      <c r="M6" s="2">
        <v>101.82418506423943</v>
      </c>
      <c r="N6" s="2">
        <v>101.8638315875305</v>
      </c>
      <c r="O6" s="2">
        <v>97.713162868978813</v>
      </c>
      <c r="P6" s="2">
        <v>102.39807232457827</v>
      </c>
      <c r="Q6" s="2">
        <v>101.87441546511975</v>
      </c>
      <c r="R6" s="2">
        <v>104.644122395436</v>
      </c>
      <c r="S6" s="2">
        <v>104.56383618571623</v>
      </c>
      <c r="T6" s="2">
        <v>106.74483856864771</v>
      </c>
      <c r="U6" s="2">
        <v>109.52893826256492</v>
      </c>
      <c r="V6" s="2">
        <v>108.2289542520104</v>
      </c>
      <c r="W6" s="2">
        <v>110.00050223570888</v>
      </c>
      <c r="X6" s="2">
        <v>108.73012327460658</v>
      </c>
      <c r="Y6" s="2">
        <v>107.98613261788088</v>
      </c>
      <c r="Z6" s="2">
        <v>103.68641987034572</v>
      </c>
    </row>
    <row r="7" spans="1:26" x14ac:dyDescent="0.25">
      <c r="A7" s="10" t="s">
        <v>1</v>
      </c>
      <c r="B7" s="2">
        <v>107.70461597175552</v>
      </c>
      <c r="C7" s="2">
        <v>113.91761522853164</v>
      </c>
      <c r="D7" s="2">
        <v>64.755613479508398</v>
      </c>
      <c r="E7" s="2">
        <v>41.01138425189977</v>
      </c>
      <c r="F7" s="2">
        <v>37.216653599723713</v>
      </c>
      <c r="G7" s="2">
        <v>88.957705992458727</v>
      </c>
      <c r="H7" s="2">
        <v>99.567842580983736</v>
      </c>
      <c r="I7" s="2">
        <v>93.210676471308801</v>
      </c>
      <c r="J7" s="2">
        <v>94.947743835569469</v>
      </c>
      <c r="K7" s="2">
        <v>111.52447944999382</v>
      </c>
      <c r="L7" s="2">
        <v>111.0051816003907</v>
      </c>
      <c r="M7" s="2">
        <v>107.62922138563192</v>
      </c>
      <c r="N7" s="2">
        <v>110.19372892554023</v>
      </c>
      <c r="O7" s="2">
        <v>114.52534230994605</v>
      </c>
      <c r="P7" s="2">
        <v>113.8345358090485</v>
      </c>
      <c r="Q7" s="2">
        <v>114.58388849675168</v>
      </c>
      <c r="R7" s="2">
        <v>120.64087921173599</v>
      </c>
      <c r="S7" s="2">
        <v>125.48123915315941</v>
      </c>
      <c r="T7" s="2">
        <v>132.93005578491599</v>
      </c>
      <c r="U7" s="2">
        <v>135.27376869534876</v>
      </c>
      <c r="V7" s="2">
        <v>136.70983618564719</v>
      </c>
      <c r="W7" s="2">
        <v>139.98948763522179</v>
      </c>
      <c r="X7" s="2">
        <v>145.43237438642313</v>
      </c>
      <c r="Y7" s="2">
        <v>152.61671027798059</v>
      </c>
      <c r="Z7" s="2">
        <v>156.24148245046905</v>
      </c>
    </row>
    <row r="8" spans="1:26" x14ac:dyDescent="0.25">
      <c r="A8" s="10" t="s">
        <v>9</v>
      </c>
      <c r="B8" s="2">
        <v>107.70461597175552</v>
      </c>
      <c r="C8" s="2">
        <v>97.06104223579905</v>
      </c>
      <c r="D8" s="2">
        <v>70.55008122626657</v>
      </c>
      <c r="E8" s="2">
        <v>55.544745737369901</v>
      </c>
      <c r="F8" s="2">
        <v>49.06569229604078</v>
      </c>
      <c r="G8" s="2">
        <v>119.07867021289687</v>
      </c>
      <c r="H8" s="2">
        <v>121.33135153167841</v>
      </c>
      <c r="I8" s="2">
        <v>99.211422763198996</v>
      </c>
      <c r="J8" s="2">
        <v>97.179048532985149</v>
      </c>
      <c r="K8" s="2">
        <v>119.42442917413686</v>
      </c>
      <c r="L8" s="2">
        <v>116.24698119568239</v>
      </c>
      <c r="M8" s="2">
        <v>107.38676727479833</v>
      </c>
      <c r="N8" s="2">
        <v>100.27764935729392</v>
      </c>
      <c r="O8" s="2">
        <v>109.35565758056032</v>
      </c>
      <c r="P8" s="2">
        <v>109.74895594079783</v>
      </c>
      <c r="Q8" s="2">
        <v>103.89958642602528</v>
      </c>
      <c r="R8" s="2">
        <v>110.8555107401598</v>
      </c>
      <c r="S8" s="2">
        <v>110.69706843961484</v>
      </c>
      <c r="T8" s="2">
        <v>121.53281695722541</v>
      </c>
      <c r="U8" s="2">
        <v>119.91665955227951</v>
      </c>
      <c r="V8" s="2">
        <v>108.06153535049708</v>
      </c>
      <c r="W8" s="2">
        <v>100.82882341843909</v>
      </c>
      <c r="X8" s="2">
        <v>103.75949630041056</v>
      </c>
      <c r="Y8" s="2">
        <v>105.77385433596328</v>
      </c>
      <c r="Z8" s="2">
        <v>101.46172332674527</v>
      </c>
    </row>
    <row r="9" spans="1:26" x14ac:dyDescent="0.25">
      <c r="A9" s="9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0" t="s">
        <v>0</v>
      </c>
      <c r="B10" s="2">
        <f>B6</f>
        <v>107.70461597175552</v>
      </c>
      <c r="C10" s="2">
        <f t="shared" ref="C10:Z10" si="1">C6</f>
        <v>97.06104223579905</v>
      </c>
      <c r="D10" s="2">
        <f t="shared" si="1"/>
        <v>70.54425928939699</v>
      </c>
      <c r="E10" s="2">
        <f t="shared" si="1"/>
        <v>55.474413684926269</v>
      </c>
      <c r="F10" s="2">
        <f t="shared" si="1"/>
        <v>37.875298459696957</v>
      </c>
      <c r="G10" s="2">
        <f t="shared" si="1"/>
        <v>48.238114429590368</v>
      </c>
      <c r="H10" s="2">
        <f t="shared" si="1"/>
        <v>59.629735339117708</v>
      </c>
      <c r="I10" s="2">
        <f t="shared" si="1"/>
        <v>75.178400316818283</v>
      </c>
      <c r="J10" s="2">
        <f t="shared" si="1"/>
        <v>87.065499765550413</v>
      </c>
      <c r="K10" s="2">
        <f t="shared" si="1"/>
        <v>98.205012037989107</v>
      </c>
      <c r="L10" s="2">
        <f t="shared" si="1"/>
        <v>98.941180209281455</v>
      </c>
      <c r="M10" s="2">
        <f t="shared" si="1"/>
        <v>101.82418506423943</v>
      </c>
      <c r="N10" s="2">
        <f t="shared" si="1"/>
        <v>101.8638315875305</v>
      </c>
      <c r="O10" s="2">
        <f t="shared" si="1"/>
        <v>97.713162868978813</v>
      </c>
      <c r="P10" s="2">
        <f t="shared" si="1"/>
        <v>102.39807232457827</v>
      </c>
      <c r="Q10" s="2">
        <f t="shared" si="1"/>
        <v>101.87441546511975</v>
      </c>
      <c r="R10" s="2">
        <f t="shared" si="1"/>
        <v>104.644122395436</v>
      </c>
      <c r="S10" s="2">
        <f t="shared" si="1"/>
        <v>104.56383618571623</v>
      </c>
      <c r="T10" s="2">
        <f t="shared" si="1"/>
        <v>106.74483856864771</v>
      </c>
      <c r="U10" s="2">
        <f t="shared" si="1"/>
        <v>109.52893826256492</v>
      </c>
      <c r="V10" s="2">
        <f t="shared" si="1"/>
        <v>108.2289542520104</v>
      </c>
      <c r="W10" s="2">
        <f t="shared" si="1"/>
        <v>110.00050223570888</v>
      </c>
      <c r="X10" s="2">
        <f t="shared" si="1"/>
        <v>108.73012327460658</v>
      </c>
      <c r="Y10" s="2">
        <f t="shared" si="1"/>
        <v>107.98613261788088</v>
      </c>
      <c r="Z10" s="2">
        <f t="shared" si="1"/>
        <v>103.68641987034572</v>
      </c>
    </row>
    <row r="11" spans="1:26" x14ac:dyDescent="0.25">
      <c r="A11" s="10" t="s">
        <v>1</v>
      </c>
      <c r="B11" s="2">
        <v>107.70461597175552</v>
      </c>
      <c r="C11" s="2">
        <v>114.60974422451821</v>
      </c>
      <c r="D11" s="2">
        <v>71.117732304213831</v>
      </c>
      <c r="E11" s="2">
        <v>53.485348005927285</v>
      </c>
      <c r="F11" s="2">
        <v>38.543965994566165</v>
      </c>
      <c r="G11" s="2">
        <v>68.557411928667307</v>
      </c>
      <c r="H11" s="2">
        <v>70.277375498815402</v>
      </c>
      <c r="I11" s="2">
        <v>75.757560619336431</v>
      </c>
      <c r="J11" s="2">
        <v>72.672645359738681</v>
      </c>
      <c r="K11" s="2">
        <v>92.119482790592556</v>
      </c>
      <c r="L11" s="2">
        <v>93.571451656475858</v>
      </c>
      <c r="M11" s="2">
        <v>89.619144771871362</v>
      </c>
      <c r="N11" s="2">
        <v>96.452080097400113</v>
      </c>
      <c r="O11" s="2">
        <v>91.30980426622628</v>
      </c>
      <c r="P11" s="2">
        <v>90.580436316937949</v>
      </c>
      <c r="Q11" s="2">
        <v>94.51239552405039</v>
      </c>
      <c r="R11" s="2">
        <v>94.375831372619388</v>
      </c>
      <c r="S11" s="2">
        <v>97.689268497833368</v>
      </c>
      <c r="T11" s="2">
        <v>103.62310740455763</v>
      </c>
      <c r="U11" s="2">
        <v>105.58743523845399</v>
      </c>
      <c r="V11" s="2">
        <v>104.56866072302226</v>
      </c>
      <c r="W11" s="2">
        <v>106.84421720097447</v>
      </c>
      <c r="X11" s="2">
        <v>108.38140088061675</v>
      </c>
      <c r="Y11" s="2">
        <v>113.23745336923986</v>
      </c>
      <c r="Z11" s="2">
        <v>111.25031647557353</v>
      </c>
    </row>
    <row r="12" spans="1:26" x14ac:dyDescent="0.25">
      <c r="A12" s="10" t="s">
        <v>9</v>
      </c>
      <c r="B12" s="2">
        <v>107.70368782928033</v>
      </c>
      <c r="C12" s="2">
        <v>97.060142596316084</v>
      </c>
      <c r="D12" s="2">
        <v>70.548891530936544</v>
      </c>
      <c r="E12" s="2">
        <v>55.542935849330846</v>
      </c>
      <c r="F12" s="2">
        <v>37.689540653143077</v>
      </c>
      <c r="G12" s="2">
        <v>75.648764755638041</v>
      </c>
      <c r="H12" s="2">
        <v>73.982923755385414</v>
      </c>
      <c r="I12" s="2">
        <v>71.96212166848693</v>
      </c>
      <c r="J12" s="2">
        <v>81.619713457762472</v>
      </c>
      <c r="K12" s="2">
        <v>93.617950413589071</v>
      </c>
      <c r="L12" s="2">
        <v>94.550797923755596</v>
      </c>
      <c r="M12" s="2">
        <v>88.077130608486286</v>
      </c>
      <c r="N12" s="2">
        <v>84.155785154137746</v>
      </c>
      <c r="O12" s="2">
        <v>97.132054986736577</v>
      </c>
      <c r="P12" s="2">
        <v>100.16041034621486</v>
      </c>
      <c r="Q12" s="2">
        <v>94.679995346803196</v>
      </c>
      <c r="R12" s="2">
        <v>98.844213457861613</v>
      </c>
      <c r="S12" s="2">
        <v>102.44563270732721</v>
      </c>
      <c r="T12" s="2">
        <v>115.33876774540174</v>
      </c>
      <c r="U12" s="2">
        <v>116.38108699750377</v>
      </c>
      <c r="V12" s="2">
        <v>111.53885562431763</v>
      </c>
      <c r="W12" s="2">
        <v>109.82482973850978</v>
      </c>
      <c r="X12" s="2">
        <v>117.0698127785127</v>
      </c>
      <c r="Y12" s="2">
        <v>117.40990105748618</v>
      </c>
      <c r="Z12" s="2">
        <v>112.67748374468127</v>
      </c>
    </row>
    <row r="13" spans="1:26" x14ac:dyDescent="0.25">
      <c r="A13" t="s">
        <v>25</v>
      </c>
    </row>
    <row r="14" spans="1:26" x14ac:dyDescent="0.25">
      <c r="A14" s="9" t="s">
        <v>28</v>
      </c>
    </row>
    <row r="15" spans="1:26" x14ac:dyDescent="0.25">
      <c r="A15" s="10" t="s">
        <v>0</v>
      </c>
      <c r="B15" s="2">
        <v>81.480243652927314</v>
      </c>
      <c r="C15" s="2">
        <v>72.782507145941224</v>
      </c>
      <c r="D15" s="2">
        <v>58.879670159889052</v>
      </c>
      <c r="E15" s="2">
        <v>53.307286429505389</v>
      </c>
      <c r="F15" s="2">
        <v>35.16372421826857</v>
      </c>
      <c r="G15" s="2">
        <v>45.066736768494273</v>
      </c>
      <c r="H15" s="2">
        <v>55.197681687025288</v>
      </c>
      <c r="I15" s="2">
        <v>66.491717772461129</v>
      </c>
      <c r="J15" s="2">
        <v>66.641474865565371</v>
      </c>
      <c r="K15" s="2">
        <v>81.988775452154911</v>
      </c>
      <c r="L15" s="2">
        <v>89.96239399586652</v>
      </c>
      <c r="M15" s="2">
        <v>92.840428675065908</v>
      </c>
      <c r="N15" s="2">
        <v>87.266152991545511</v>
      </c>
      <c r="O15" s="2">
        <v>83.756038703678172</v>
      </c>
      <c r="P15" s="2">
        <v>86.61595067984517</v>
      </c>
      <c r="Q15" s="2">
        <v>88.783816748104314</v>
      </c>
      <c r="R15" s="2">
        <v>91.984554148052993</v>
      </c>
      <c r="S15" s="2">
        <v>96.345534519954413</v>
      </c>
      <c r="T15" s="2">
        <v>98.405909983378606</v>
      </c>
      <c r="U15" s="2">
        <v>101.35736079151913</v>
      </c>
      <c r="V15" s="2">
        <v>97.478210958642251</v>
      </c>
      <c r="W15" s="2">
        <v>103.7933076385531</v>
      </c>
      <c r="X15" s="2">
        <v>104.7364792836147</v>
      </c>
      <c r="Y15" s="2">
        <v>103.43264602395823</v>
      </c>
      <c r="Z15" s="2">
        <v>100.45810137652585</v>
      </c>
    </row>
    <row r="16" spans="1:26" x14ac:dyDescent="0.25">
      <c r="A16" s="10" t="s">
        <v>1</v>
      </c>
      <c r="B16" s="2">
        <v>81.480243652927314</v>
      </c>
      <c r="C16" s="2">
        <v>79.210675998651126</v>
      </c>
      <c r="D16" s="2">
        <v>51.292957470839745</v>
      </c>
      <c r="E16" s="2">
        <v>39.525607603784238</v>
      </c>
      <c r="F16" s="2">
        <v>34.443016502234812</v>
      </c>
      <c r="G16" s="2">
        <v>85.715464334593378</v>
      </c>
      <c r="H16" s="2">
        <v>89.20676176900426</v>
      </c>
      <c r="I16" s="2">
        <v>85.171664641030745</v>
      </c>
      <c r="J16" s="2">
        <v>89.372031782712682</v>
      </c>
      <c r="K16" s="2">
        <v>105.70485290635938</v>
      </c>
      <c r="L16" s="2">
        <v>107.21003271243728</v>
      </c>
      <c r="M16" s="2">
        <v>105.16485661545246</v>
      </c>
      <c r="N16" s="2">
        <v>108.25988801844898</v>
      </c>
      <c r="O16" s="2">
        <v>112.46689834523394</v>
      </c>
      <c r="P16" s="2">
        <v>111.82652908879433</v>
      </c>
      <c r="Q16" s="2">
        <v>113.18781391454505</v>
      </c>
      <c r="R16" s="2">
        <v>119.16567825930267</v>
      </c>
      <c r="S16" s="2">
        <v>124.18306970239644</v>
      </c>
      <c r="T16" s="2">
        <v>131.64062634057717</v>
      </c>
      <c r="U16" s="2">
        <v>134.64034425693092</v>
      </c>
      <c r="V16" s="2">
        <v>134.72815162062423</v>
      </c>
      <c r="W16" s="2">
        <v>137.79015035662945</v>
      </c>
      <c r="X16" s="2">
        <v>143.56971572703384</v>
      </c>
      <c r="Y16" s="2">
        <v>150.47569662328428</v>
      </c>
      <c r="Z16" s="2">
        <v>155.07070589382903</v>
      </c>
    </row>
    <row r="17" spans="1:26" x14ac:dyDescent="0.25">
      <c r="A17" s="10" t="s">
        <v>9</v>
      </c>
      <c r="B17" s="2">
        <v>81.480243652927314</v>
      </c>
      <c r="C17" s="2">
        <v>72.782507145941224</v>
      </c>
      <c r="D17" s="2">
        <v>58.886859096764212</v>
      </c>
      <c r="E17" s="2">
        <v>53.356974565622316</v>
      </c>
      <c r="F17" s="2">
        <v>44.37010096785383</v>
      </c>
      <c r="G17" s="2">
        <v>118.80073956003936</v>
      </c>
      <c r="H17" s="2">
        <v>121.88604919163244</v>
      </c>
      <c r="I17" s="2">
        <v>100.03512624792798</v>
      </c>
      <c r="J17" s="2">
        <v>98.75533057511916</v>
      </c>
      <c r="K17" s="2">
        <v>114.48506611180751</v>
      </c>
      <c r="L17" s="2">
        <v>112.19164046904598</v>
      </c>
      <c r="M17" s="2">
        <v>103.58713252555008</v>
      </c>
      <c r="N17" s="2">
        <v>96.319112485069326</v>
      </c>
      <c r="O17" s="2">
        <v>104.12327450925758</v>
      </c>
      <c r="P17" s="2">
        <v>98.370528801946421</v>
      </c>
      <c r="Q17" s="2">
        <v>100.29921031834238</v>
      </c>
      <c r="R17" s="2">
        <v>105.75028976845194</v>
      </c>
      <c r="S17" s="2">
        <v>107.25115155631727</v>
      </c>
      <c r="T17" s="2">
        <v>117.46471357968791</v>
      </c>
      <c r="U17" s="2">
        <v>116.43690444578885</v>
      </c>
      <c r="V17" s="2">
        <v>103.92771327341627</v>
      </c>
      <c r="W17" s="2">
        <v>97.933166993578652</v>
      </c>
      <c r="X17" s="2">
        <v>101.91580439968365</v>
      </c>
      <c r="Y17" s="2">
        <v>103.42455659167456</v>
      </c>
      <c r="Z17" s="2">
        <v>100.19026544938167</v>
      </c>
    </row>
    <row r="18" spans="1:26" x14ac:dyDescent="0.25">
      <c r="A18" s="9" t="s">
        <v>29</v>
      </c>
    </row>
    <row r="19" spans="1:26" x14ac:dyDescent="0.25">
      <c r="A19" s="10" t="s">
        <v>0</v>
      </c>
      <c r="B19" s="2">
        <f>B15</f>
        <v>81.480243652927314</v>
      </c>
      <c r="C19" s="2">
        <f t="shared" ref="C19:Z19" si="2">C15</f>
        <v>72.782507145941224</v>
      </c>
      <c r="D19" s="2">
        <f t="shared" si="2"/>
        <v>58.879670159889052</v>
      </c>
      <c r="E19" s="2">
        <f t="shared" si="2"/>
        <v>53.307286429505389</v>
      </c>
      <c r="F19" s="2">
        <f t="shared" si="2"/>
        <v>35.16372421826857</v>
      </c>
      <c r="G19" s="2">
        <f t="shared" si="2"/>
        <v>45.066736768494273</v>
      </c>
      <c r="H19" s="2">
        <f t="shared" si="2"/>
        <v>55.197681687025288</v>
      </c>
      <c r="I19" s="2">
        <f t="shared" si="2"/>
        <v>66.491717772461129</v>
      </c>
      <c r="J19" s="2">
        <f t="shared" si="2"/>
        <v>66.641474865565371</v>
      </c>
      <c r="K19" s="2">
        <f t="shared" si="2"/>
        <v>81.988775452154911</v>
      </c>
      <c r="L19" s="2">
        <f t="shared" si="2"/>
        <v>89.96239399586652</v>
      </c>
      <c r="M19" s="2">
        <f t="shared" si="2"/>
        <v>92.840428675065908</v>
      </c>
      <c r="N19" s="2">
        <f t="shared" si="2"/>
        <v>87.266152991545511</v>
      </c>
      <c r="O19" s="2">
        <f t="shared" si="2"/>
        <v>83.756038703678172</v>
      </c>
      <c r="P19" s="2">
        <f t="shared" si="2"/>
        <v>86.61595067984517</v>
      </c>
      <c r="Q19" s="2">
        <f t="shared" si="2"/>
        <v>88.783816748104314</v>
      </c>
      <c r="R19" s="2">
        <f t="shared" si="2"/>
        <v>91.984554148052993</v>
      </c>
      <c r="S19" s="2">
        <f t="shared" si="2"/>
        <v>96.345534519954413</v>
      </c>
      <c r="T19" s="2">
        <f t="shared" si="2"/>
        <v>98.405909983378606</v>
      </c>
      <c r="U19" s="2">
        <f t="shared" si="2"/>
        <v>101.35736079151913</v>
      </c>
      <c r="V19" s="2">
        <f t="shared" si="2"/>
        <v>97.478210958642251</v>
      </c>
      <c r="W19" s="2">
        <f t="shared" si="2"/>
        <v>103.7933076385531</v>
      </c>
      <c r="X19" s="2">
        <f t="shared" si="2"/>
        <v>104.7364792836147</v>
      </c>
      <c r="Y19" s="2">
        <f t="shared" si="2"/>
        <v>103.43264602395823</v>
      </c>
      <c r="Z19" s="2">
        <f t="shared" si="2"/>
        <v>100.45810137652585</v>
      </c>
    </row>
    <row r="20" spans="1:26" x14ac:dyDescent="0.25">
      <c r="A20" s="10" t="s">
        <v>1</v>
      </c>
      <c r="B20" s="2">
        <v>81.480243652927314</v>
      </c>
      <c r="C20" s="2">
        <v>79.417161015217985</v>
      </c>
      <c r="D20" s="2">
        <v>58.327657155719841</v>
      </c>
      <c r="E20" s="2">
        <v>51.886492740383574</v>
      </c>
      <c r="F20" s="2">
        <v>37.525168716776847</v>
      </c>
      <c r="G20" s="2">
        <v>67.645580038517039</v>
      </c>
      <c r="H20" s="2">
        <v>68.509780583810709</v>
      </c>
      <c r="I20" s="2">
        <v>72.846756993077832</v>
      </c>
      <c r="J20" s="2">
        <v>67.307696622938465</v>
      </c>
      <c r="K20" s="2">
        <v>80.323311752712272</v>
      </c>
      <c r="L20" s="2">
        <v>84.047280452585085</v>
      </c>
      <c r="M20" s="2">
        <v>81.179031352061088</v>
      </c>
      <c r="N20" s="2">
        <v>91.569923913610026</v>
      </c>
      <c r="O20" s="2">
        <v>86.273413704292096</v>
      </c>
      <c r="P20" s="2">
        <v>86.295016465733113</v>
      </c>
      <c r="Q20" s="2">
        <v>90.896920729564755</v>
      </c>
      <c r="R20" s="2">
        <v>91.350549562481092</v>
      </c>
      <c r="S20" s="2">
        <v>94.912102866521508</v>
      </c>
      <c r="T20" s="2">
        <v>100.99181147724514</v>
      </c>
      <c r="U20" s="2">
        <v>104.07794580221537</v>
      </c>
      <c r="V20" s="2">
        <v>101.27051712560873</v>
      </c>
      <c r="W20" s="2">
        <v>103.34770803538578</v>
      </c>
      <c r="X20" s="2">
        <v>105.57526194553475</v>
      </c>
      <c r="Y20" s="2">
        <v>110.24623658424275</v>
      </c>
      <c r="Z20" s="2">
        <v>109.46270593267343</v>
      </c>
    </row>
    <row r="21" spans="1:26" x14ac:dyDescent="0.25">
      <c r="A21" s="10" t="s">
        <v>9</v>
      </c>
      <c r="B21" s="2">
        <v>81.47719483156591</v>
      </c>
      <c r="C21" s="2">
        <v>72.779176157966234</v>
      </c>
      <c r="D21" s="2">
        <v>58.884193329442638</v>
      </c>
      <c r="E21" s="2">
        <v>53.354742206223705</v>
      </c>
      <c r="F21" s="2">
        <v>35.024986865763644</v>
      </c>
      <c r="G21" s="2">
        <v>72.906178397737747</v>
      </c>
      <c r="H21" s="2">
        <v>70.756847594395936</v>
      </c>
      <c r="I21" s="2">
        <v>67.449143111139364</v>
      </c>
      <c r="J21" s="2">
        <v>75.037889359663822</v>
      </c>
      <c r="K21" s="2">
        <v>87.662060884064203</v>
      </c>
      <c r="L21" s="2">
        <v>89.197896305705783</v>
      </c>
      <c r="M21" s="2">
        <v>82.544985641576517</v>
      </c>
      <c r="N21" s="2">
        <v>80.564350626328789</v>
      </c>
      <c r="O21" s="2">
        <v>92.428848419183183</v>
      </c>
      <c r="P21" s="2">
        <v>89.589487858692252</v>
      </c>
      <c r="Q21" s="2">
        <v>91.019254542062725</v>
      </c>
      <c r="R21" s="2">
        <v>94.294683932382796</v>
      </c>
      <c r="S21" s="2">
        <v>98.36744154926852</v>
      </c>
      <c r="T21" s="2">
        <v>110.66779260111085</v>
      </c>
      <c r="U21" s="2">
        <v>112.55584877590229</v>
      </c>
      <c r="V21" s="2">
        <v>106.44449419355796</v>
      </c>
      <c r="W21" s="2">
        <v>106.16487783964583</v>
      </c>
      <c r="X21" s="2">
        <v>114.74109665261854</v>
      </c>
      <c r="Y21" s="2">
        <v>114.72292613870312</v>
      </c>
      <c r="Z21" s="2">
        <v>111.23350191989749</v>
      </c>
    </row>
    <row r="22" spans="1:26" x14ac:dyDescent="0.25">
      <c r="A22" s="5"/>
    </row>
    <row r="24" spans="1:26" x14ac:dyDescent="0.25">
      <c r="A24" s="9"/>
    </row>
    <row r="25" spans="1:26" x14ac:dyDescent="0.25">
      <c r="A25" s="1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1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9"/>
    </row>
    <row r="29" spans="1:26" x14ac:dyDescent="0.25">
      <c r="A29" s="1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9"/>
    </row>
    <row r="33" spans="1:26" x14ac:dyDescent="0.25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7" spans="1:26" x14ac:dyDescent="0.25">
      <c r="A37" s="9"/>
    </row>
    <row r="38" spans="1:26" x14ac:dyDescent="0.25">
      <c r="A38" s="10"/>
    </row>
    <row r="39" spans="1:26" x14ac:dyDescent="0.25">
      <c r="A39" s="10"/>
    </row>
    <row r="40" spans="1:26" x14ac:dyDescent="0.25">
      <c r="A40" s="10"/>
    </row>
    <row r="41" spans="1:26" x14ac:dyDescent="0.25">
      <c r="A41" s="9"/>
    </row>
    <row r="42" spans="1:26" x14ac:dyDescent="0.25">
      <c r="A42" s="10"/>
    </row>
    <row r="43" spans="1:26" x14ac:dyDescent="0.25">
      <c r="A43" s="10"/>
    </row>
    <row r="44" spans="1:26" x14ac:dyDescent="0.25">
      <c r="A44" s="10"/>
    </row>
    <row r="45" spans="1:26" x14ac:dyDescent="0.25">
      <c r="A45" s="9"/>
    </row>
    <row r="46" spans="1:26" x14ac:dyDescent="0.25">
      <c r="A46" s="10"/>
    </row>
    <row r="47" spans="1:26" x14ac:dyDescent="0.25">
      <c r="A47" s="10"/>
    </row>
    <row r="48" spans="1:26" x14ac:dyDescent="0.25">
      <c r="A48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Emissions</vt:lpstr>
      <vt:lpstr>CoalCapacity</vt:lpstr>
      <vt:lpstr>REBuild</vt:lpstr>
      <vt:lpstr>ResourceCosts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Gerardi, Walter</dc:creator>
  <cp:lastModifiedBy>Dominic Jones</cp:lastModifiedBy>
  <dcterms:created xsi:type="dcterms:W3CDTF">2025-07-02T03:45:53Z</dcterms:created>
  <dcterms:modified xsi:type="dcterms:W3CDTF">2025-08-05T06:55:12Z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2025-07-02T03:46:12Z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15d8bd03-ec64-4934-93d8-0f260fcf7c8d</vt:lpwstr>
  </property>
  <property fmtid="{D5CDD505-2E9C-101B-9397-08002B2CF9AE}" pid="8" name="MSIP_Label_fbc029f1-7b6e-4e10-8282-fc5331153e31_ContentBits">
    <vt:lpwstr>0</vt:lpwstr>
  </property>
  <property fmtid="{D5CDD505-2E9C-101B-9397-08002B2CF9AE}" pid="9" name="MSIP_Label_fbc029f1-7b6e-4e10-8282-fc5331153e31_Tag">
    <vt:lpwstr>10, 0, 1, 1</vt:lpwstr>
  </property>
</Properties>
</file>