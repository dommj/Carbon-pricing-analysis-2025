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dominic_jones_grattaninstitute_edu_au/Documents/Energy/Analysis/analysis_cp_dj_2025/Data/Jacobs/"/>
    </mc:Choice>
  </mc:AlternateContent>
  <xr:revisionPtr revIDLastSave="225" documentId="8_{7D5D0D17-E02D-414F-946E-C91F85332CDB}" xr6:coauthVersionLast="47" xr6:coauthVersionMax="47" xr10:uidLastSave="{CD3EB193-4FC0-4D9D-AA0F-03890249AF77}"/>
  <bookViews>
    <workbookView xWindow="28680" yWindow="-120" windowWidth="29040" windowHeight="15840" activeTab="4" xr2:uid="{653D7857-72C1-4788-95B7-D499B7C275EB}"/>
  </bookViews>
  <sheets>
    <sheet name="Summary" sheetId="4" r:id="rId1"/>
    <sheet name="NEM demand data" sheetId="8" r:id="rId2"/>
    <sheet name="WEM demand data" sheetId="6" r:id="rId3"/>
    <sheet name="notes" sheetId="5" r:id="rId4"/>
    <sheet name="Carbon budget" sheetId="9" r:id="rId5"/>
    <sheet name="CCA Emissions intensity" sheetId="10" r:id="rId6"/>
    <sheet name="NEM Emissions" sheetId="11" r:id="rId7"/>
  </sheets>
  <definedNames>
    <definedName name="Summary_CDP">'NEM Emissions'!#REF!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11" l="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B47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B46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B37" i="11"/>
  <c r="C39" i="11"/>
  <c r="C42" i="11" s="1"/>
  <c r="B39" i="11"/>
  <c r="B42" i="11" s="1"/>
  <c r="B7" i="9"/>
  <c r="E6" i="9" s="1"/>
  <c r="K36" i="4"/>
  <c r="L36" i="4"/>
  <c r="M36" i="4"/>
  <c r="N36" i="4"/>
  <c r="O36" i="4"/>
  <c r="P36" i="4"/>
  <c r="Q36" i="4"/>
  <c r="R36" i="4"/>
  <c r="S36" i="4"/>
  <c r="T36" i="4"/>
  <c r="J36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K19" i="4"/>
  <c r="J19" i="4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B36" i="11"/>
  <c r="C11" i="11"/>
  <c r="B11" i="11"/>
  <c r="P51" i="10"/>
  <c r="P52" i="10" s="1"/>
  <c r="O51" i="10"/>
  <c r="O52" i="10" s="1"/>
  <c r="N51" i="10"/>
  <c r="N52" i="10" s="1"/>
  <c r="M51" i="10"/>
  <c r="M52" i="10" s="1"/>
  <c r="L51" i="10"/>
  <c r="L52" i="10" s="1"/>
  <c r="K51" i="10"/>
  <c r="K52" i="10" s="1"/>
  <c r="G51" i="10"/>
  <c r="G52" i="10" s="1"/>
  <c r="F51" i="10"/>
  <c r="F52" i="10" s="1"/>
  <c r="E51" i="10"/>
  <c r="E52" i="10" s="1"/>
  <c r="D51" i="10"/>
  <c r="D52" i="10" s="1"/>
  <c r="C51" i="10"/>
  <c r="C52" i="10" s="1"/>
  <c r="B51" i="10"/>
  <c r="B52" i="10" s="1"/>
  <c r="Z3" i="9"/>
  <c r="Y3" i="9"/>
  <c r="X3" i="9"/>
  <c r="W3" i="9"/>
  <c r="U3" i="9"/>
  <c r="T3" i="9"/>
  <c r="S3" i="9"/>
  <c r="R3" i="9"/>
  <c r="P3" i="9"/>
  <c r="O3" i="9"/>
  <c r="N3" i="9"/>
  <c r="M3" i="9"/>
  <c r="K3" i="9"/>
  <c r="J3" i="9"/>
  <c r="I3" i="9"/>
  <c r="H3" i="9"/>
  <c r="F3" i="9"/>
  <c r="E3" i="9"/>
  <c r="D3" i="9"/>
  <c r="C3" i="9"/>
  <c r="AA3" i="9"/>
  <c r="V3" i="9"/>
  <c r="Q3" i="9"/>
  <c r="L3" i="9"/>
  <c r="G3" i="9"/>
  <c r="B3" i="9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J79" i="4"/>
  <c r="V35" i="4"/>
  <c r="W35" i="4"/>
  <c r="X35" i="4"/>
  <c r="Y35" i="4"/>
  <c r="Z35" i="4"/>
  <c r="AA35" i="4"/>
  <c r="AB35" i="4" s="1"/>
  <c r="AC35" i="4" s="1"/>
  <c r="AD35" i="4" s="1"/>
  <c r="AE35" i="4" s="1"/>
  <c r="AF35" i="4" s="1"/>
  <c r="AG35" i="4" s="1"/>
  <c r="AH35" i="4" s="1"/>
  <c r="AI35" i="4" s="1"/>
  <c r="AJ35" i="4" s="1"/>
  <c r="U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E35" i="4"/>
  <c r="AN15" i="4"/>
  <c r="J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K74" i="4"/>
  <c r="L74" i="4" s="1"/>
  <c r="AO15" i="4" l="1"/>
  <c r="AO14" i="4"/>
  <c r="M74" i="4"/>
  <c r="N74" i="4" s="1"/>
  <c r="O74" i="4" l="1"/>
  <c r="P74" i="4" s="1"/>
  <c r="Q74" i="4" s="1"/>
  <c r="J91" i="4" l="1"/>
  <c r="H93" i="4"/>
  <c r="I93" i="4"/>
  <c r="G93" i="4"/>
  <c r="G89" i="4" l="1"/>
  <c r="H89" i="4"/>
  <c r="I89" i="4"/>
  <c r="F89" i="4"/>
  <c r="E31" i="4"/>
  <c r="F31" i="4"/>
  <c r="G31" i="4"/>
  <c r="H31" i="4"/>
  <c r="I31" i="4"/>
  <c r="E34" i="4"/>
  <c r="F34" i="4"/>
  <c r="G34" i="4"/>
  <c r="H34" i="4"/>
  <c r="I34" i="4"/>
  <c r="E32" i="4"/>
  <c r="F32" i="4"/>
  <c r="G32" i="4"/>
  <c r="H32" i="4"/>
  <c r="I32" i="4"/>
  <c r="J33" i="4"/>
  <c r="J26" i="4"/>
  <c r="J27" i="4"/>
  <c r="J28" i="4"/>
  <c r="J29" i="4"/>
  <c r="J30" i="4"/>
  <c r="J31" i="4"/>
  <c r="J34" i="4"/>
  <c r="J32" i="4"/>
  <c r="T33" i="4"/>
  <c r="S33" i="4"/>
  <c r="R33" i="4"/>
  <c r="Q33" i="4"/>
  <c r="P33" i="4"/>
  <c r="O33" i="4"/>
  <c r="N33" i="4"/>
  <c r="M33" i="4"/>
  <c r="L33" i="4"/>
  <c r="K33" i="4"/>
  <c r="T32" i="4"/>
  <c r="S32" i="4"/>
  <c r="R32" i="4"/>
  <c r="Q32" i="4"/>
  <c r="P32" i="4"/>
  <c r="O32" i="4"/>
  <c r="N32" i="4"/>
  <c r="M32" i="4"/>
  <c r="L32" i="4"/>
  <c r="K32" i="4"/>
  <c r="T34" i="4"/>
  <c r="S34" i="4"/>
  <c r="R34" i="4"/>
  <c r="Q34" i="4"/>
  <c r="P34" i="4"/>
  <c r="O34" i="4"/>
  <c r="N34" i="4"/>
  <c r="M34" i="4"/>
  <c r="L34" i="4"/>
  <c r="K34" i="4"/>
  <c r="T31" i="4"/>
  <c r="S31" i="4"/>
  <c r="R31" i="4"/>
  <c r="Q31" i="4"/>
  <c r="P31" i="4"/>
  <c r="O31" i="4"/>
  <c r="N31" i="4"/>
  <c r="M31" i="4"/>
  <c r="L31" i="4"/>
  <c r="K31" i="4"/>
  <c r="T30" i="4"/>
  <c r="S30" i="4"/>
  <c r="R30" i="4"/>
  <c r="Q30" i="4"/>
  <c r="P30" i="4"/>
  <c r="O30" i="4"/>
  <c r="N30" i="4"/>
  <c r="M30" i="4"/>
  <c r="L30" i="4"/>
  <c r="K30" i="4"/>
  <c r="T29" i="4"/>
  <c r="S29" i="4"/>
  <c r="R29" i="4"/>
  <c r="Q29" i="4"/>
  <c r="P29" i="4"/>
  <c r="O29" i="4"/>
  <c r="N29" i="4"/>
  <c r="M29" i="4"/>
  <c r="L29" i="4"/>
  <c r="K29" i="4"/>
  <c r="T28" i="4"/>
  <c r="S28" i="4"/>
  <c r="R28" i="4"/>
  <c r="Q28" i="4"/>
  <c r="P28" i="4"/>
  <c r="O28" i="4"/>
  <c r="N28" i="4"/>
  <c r="M28" i="4"/>
  <c r="L28" i="4"/>
  <c r="K28" i="4"/>
  <c r="T27" i="4"/>
  <c r="S27" i="4"/>
  <c r="R27" i="4"/>
  <c r="Q27" i="4"/>
  <c r="P27" i="4"/>
  <c r="O27" i="4"/>
  <c r="N27" i="4"/>
  <c r="M27" i="4"/>
  <c r="L27" i="4"/>
  <c r="K27" i="4"/>
  <c r="T26" i="4"/>
  <c r="S26" i="4"/>
  <c r="R26" i="4"/>
  <c r="Q26" i="4"/>
  <c r="P26" i="4"/>
  <c r="O26" i="4"/>
  <c r="N26" i="4"/>
  <c r="M26" i="4"/>
  <c r="L26" i="4"/>
  <c r="K26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P84" i="5"/>
  <c r="L84" i="5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7" i="4"/>
  <c r="J18" i="4" s="1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T71" i="5"/>
  <c r="S71" i="5"/>
  <c r="R71" i="5"/>
  <c r="Q71" i="5"/>
  <c r="P71" i="5"/>
  <c r="O71" i="5"/>
  <c r="N71" i="5"/>
  <c r="M71" i="5"/>
  <c r="L71" i="5"/>
  <c r="K71" i="5"/>
  <c r="K44" i="4"/>
  <c r="K91" i="4"/>
  <c r="L91" i="4"/>
  <c r="M91" i="4"/>
  <c r="N91" i="4"/>
  <c r="O91" i="4"/>
  <c r="P91" i="4"/>
  <c r="Q91" i="4"/>
  <c r="R91" i="4"/>
  <c r="S91" i="4"/>
  <c r="M93" i="4"/>
  <c r="N93" i="4"/>
  <c r="O93" i="4"/>
  <c r="P93" i="4"/>
  <c r="Q93" i="4"/>
  <c r="R93" i="4"/>
  <c r="J93" i="4"/>
  <c r="I44" i="4"/>
  <c r="H44" i="4" s="1"/>
  <c r="G44" i="4" s="1"/>
  <c r="F44" i="4" s="1"/>
  <c r="H84" i="5"/>
  <c r="I84" i="5"/>
  <c r="J84" i="5"/>
  <c r="K84" i="5"/>
  <c r="M84" i="5"/>
  <c r="O84" i="5"/>
  <c r="Q84" i="5"/>
  <c r="S84" i="5"/>
  <c r="T84" i="5"/>
  <c r="G84" i="5"/>
  <c r="W66" i="5"/>
  <c r="X66" i="5"/>
  <c r="Y66" i="5" s="1"/>
  <c r="Z66" i="5" s="1"/>
  <c r="V66" i="5"/>
  <c r="T70" i="5"/>
  <c r="S70" i="5"/>
  <c r="R70" i="5"/>
  <c r="Q70" i="5"/>
  <c r="P70" i="5"/>
  <c r="O70" i="5"/>
  <c r="N70" i="5"/>
  <c r="M70" i="5"/>
  <c r="L70" i="5"/>
  <c r="K70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I16" i="5"/>
  <c r="D19" i="5"/>
  <c r="D22" i="5"/>
  <c r="K17" i="5"/>
  <c r="E18" i="5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X19" i="5" s="1"/>
  <c r="E15" i="5"/>
  <c r="F15" i="5" s="1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F94" i="4" l="1"/>
  <c r="S94" i="4"/>
  <c r="H94" i="4"/>
  <c r="L94" i="4"/>
  <c r="N94" i="4"/>
  <c r="P94" i="4"/>
  <c r="I94" i="4"/>
  <c r="G94" i="4"/>
  <c r="J94" i="4"/>
  <c r="K94" i="4"/>
  <c r="M94" i="4"/>
  <c r="J16" i="4"/>
  <c r="O94" i="4"/>
  <c r="Q94" i="4"/>
  <c r="R94" i="4"/>
  <c r="T94" i="4"/>
  <c r="W17" i="4"/>
  <c r="W18" i="4" s="1"/>
  <c r="AM17" i="4"/>
  <c r="AM18" i="4" s="1"/>
  <c r="X17" i="4"/>
  <c r="X18" i="4" s="1"/>
  <c r="AN17" i="4"/>
  <c r="AN18" i="4" s="1"/>
  <c r="Z17" i="4"/>
  <c r="Z18" i="4" s="1"/>
  <c r="L17" i="4"/>
  <c r="L18" i="4" s="1"/>
  <c r="AB17" i="4"/>
  <c r="AB18" i="4" s="1"/>
  <c r="M17" i="4"/>
  <c r="M18" i="4" s="1"/>
  <c r="AC17" i="4"/>
  <c r="AC18" i="4" s="1"/>
  <c r="N17" i="4"/>
  <c r="N18" i="4" s="1"/>
  <c r="AD17" i="4"/>
  <c r="AD18" i="4" s="1"/>
  <c r="O17" i="4"/>
  <c r="O18" i="4" s="1"/>
  <c r="AE17" i="4"/>
  <c r="AE18" i="4" s="1"/>
  <c r="P17" i="4"/>
  <c r="P18" i="4" s="1"/>
  <c r="AF17" i="4"/>
  <c r="AF18" i="4" s="1"/>
  <c r="Q17" i="4"/>
  <c r="Q18" i="4" s="1"/>
  <c r="AG17" i="4"/>
  <c r="AG18" i="4" s="1"/>
  <c r="R17" i="4"/>
  <c r="R18" i="4" s="1"/>
  <c r="AH17" i="4"/>
  <c r="AH18" i="4" s="1"/>
  <c r="J89" i="4"/>
  <c r="S17" i="4"/>
  <c r="S18" i="4" s="1"/>
  <c r="AI17" i="4"/>
  <c r="AI18" i="4" s="1"/>
  <c r="T17" i="4"/>
  <c r="T18" i="4" s="1"/>
  <c r="AJ17" i="4"/>
  <c r="AJ18" i="4" s="1"/>
  <c r="U17" i="4"/>
  <c r="U18" i="4" s="1"/>
  <c r="AK17" i="4"/>
  <c r="AK18" i="4" s="1"/>
  <c r="V17" i="4"/>
  <c r="V18" i="4" s="1"/>
  <c r="AL17" i="4"/>
  <c r="AL18" i="4" s="1"/>
  <c r="Y17" i="4"/>
  <c r="Y18" i="4" s="1"/>
  <c r="K17" i="4"/>
  <c r="K18" i="4" s="1"/>
  <c r="AA17" i="4"/>
  <c r="AA18" i="4" s="1"/>
  <c r="N84" i="5"/>
  <c r="O85" i="5" s="1"/>
  <c r="R84" i="5"/>
  <c r="R85" i="5" s="1"/>
  <c r="AO12" i="4"/>
  <c r="AO13" i="4"/>
  <c r="AO10" i="4"/>
  <c r="AO16" i="4"/>
  <c r="AO9" i="4"/>
  <c r="AO8" i="4"/>
  <c r="AO11" i="4"/>
  <c r="L85" i="5"/>
  <c r="I85" i="5"/>
  <c r="K85" i="5"/>
  <c r="T85" i="5"/>
  <c r="Q85" i="5"/>
  <c r="P85" i="5"/>
  <c r="M85" i="5"/>
  <c r="J85" i="5"/>
  <c r="H85" i="5"/>
  <c r="J90" i="4"/>
  <c r="J19" i="5"/>
  <c r="I19" i="5"/>
  <c r="H19" i="5"/>
  <c r="G19" i="5"/>
  <c r="F19" i="5"/>
  <c r="E19" i="5"/>
  <c r="K16" i="5"/>
  <c r="K19" i="5" s="1"/>
  <c r="S61" i="4"/>
  <c r="S70" i="4" s="1"/>
  <c r="R61" i="4"/>
  <c r="R70" i="4" s="1"/>
  <c r="Q61" i="4"/>
  <c r="Q70" i="4" s="1"/>
  <c r="P61" i="4"/>
  <c r="P70" i="4" s="1"/>
  <c r="O61" i="4"/>
  <c r="O70" i="4" s="1"/>
  <c r="N61" i="4"/>
  <c r="N70" i="4" s="1"/>
  <c r="M61" i="4"/>
  <c r="M70" i="4" s="1"/>
  <c r="L61" i="4"/>
  <c r="L70" i="4" s="1"/>
  <c r="K61" i="4"/>
  <c r="K70" i="4" s="1"/>
  <c r="J61" i="4"/>
  <c r="J70" i="4" s="1"/>
  <c r="I61" i="4"/>
  <c r="I70" i="4" s="1"/>
  <c r="H61" i="4"/>
  <c r="H70" i="4" s="1"/>
  <c r="G61" i="4"/>
  <c r="G70" i="4" s="1"/>
  <c r="F61" i="4"/>
  <c r="F70" i="4" s="1"/>
  <c r="E61" i="4"/>
  <c r="E70" i="4" s="1"/>
  <c r="D61" i="4"/>
  <c r="D70" i="4" s="1"/>
  <c r="C61" i="4"/>
  <c r="C70" i="4" s="1"/>
  <c r="AC88" i="4" l="1"/>
  <c r="AD88" i="4"/>
  <c r="B94" i="4"/>
  <c r="V94" i="4" s="1"/>
  <c r="AG88" i="4"/>
  <c r="W88" i="4"/>
  <c r="AE88" i="4"/>
  <c r="AI88" i="4"/>
  <c r="AF88" i="4"/>
  <c r="V88" i="4"/>
  <c r="Z88" i="4"/>
  <c r="T89" i="4"/>
  <c r="AH88" i="4"/>
  <c r="Y88" i="4"/>
  <c r="AA88" i="4"/>
  <c r="AJ88" i="4"/>
  <c r="X88" i="4"/>
  <c r="AB88" i="4"/>
  <c r="AO17" i="4"/>
  <c r="AO18" i="4" s="1"/>
  <c r="N88" i="4"/>
  <c r="J80" i="4"/>
  <c r="K89" i="4"/>
  <c r="R89" i="4"/>
  <c r="O89" i="4"/>
  <c r="L89" i="4"/>
  <c r="Q89" i="4"/>
  <c r="P89" i="4"/>
  <c r="M89" i="4"/>
  <c r="N89" i="4"/>
  <c r="S89" i="4"/>
  <c r="N85" i="5"/>
  <c r="S85" i="5"/>
  <c r="Q92" i="4"/>
  <c r="R92" i="4"/>
  <c r="S92" i="4"/>
  <c r="O92" i="4"/>
  <c r="P92" i="4"/>
  <c r="J92" i="4"/>
  <c r="K92" i="4"/>
  <c r="L92" i="4"/>
  <c r="M92" i="4"/>
  <c r="N92" i="4"/>
  <c r="L16" i="5"/>
  <c r="B89" i="4" l="1"/>
  <c r="W89" i="4" s="1"/>
  <c r="L88" i="4"/>
  <c r="S88" i="4"/>
  <c r="O88" i="4"/>
  <c r="Q88" i="4"/>
  <c r="R88" i="4"/>
  <c r="P88" i="4"/>
  <c r="M88" i="4"/>
  <c r="T88" i="4"/>
  <c r="K88" i="4"/>
  <c r="U88" i="4"/>
  <c r="AJ94" i="4"/>
  <c r="U94" i="4"/>
  <c r="AH94" i="4"/>
  <c r="AF94" i="4"/>
  <c r="AI94" i="4"/>
  <c r="AG94" i="4"/>
  <c r="AE94" i="4"/>
  <c r="AB94" i="4"/>
  <c r="AA94" i="4"/>
  <c r="W94" i="4"/>
  <c r="AD94" i="4"/>
  <c r="AC94" i="4"/>
  <c r="Z94" i="4"/>
  <c r="Y94" i="4"/>
  <c r="X94" i="4"/>
  <c r="W84" i="5"/>
  <c r="K90" i="4"/>
  <c r="I90" i="4"/>
  <c r="L44" i="4"/>
  <c r="M16" i="5"/>
  <c r="L19" i="5"/>
  <c r="X89" i="4" l="1"/>
  <c r="Y89" i="4"/>
  <c r="AA89" i="4"/>
  <c r="AF89" i="4"/>
  <c r="AE89" i="4"/>
  <c r="Z89" i="4"/>
  <c r="U89" i="4"/>
  <c r="U36" i="4" s="1"/>
  <c r="AJ89" i="4"/>
  <c r="AI89" i="4"/>
  <c r="AG89" i="4"/>
  <c r="AC89" i="4"/>
  <c r="AH89" i="4"/>
  <c r="AD89" i="4"/>
  <c r="V89" i="4"/>
  <c r="AB89" i="4"/>
  <c r="V36" i="4"/>
  <c r="L80" i="4"/>
  <c r="C2" i="9" s="1"/>
  <c r="C4" i="9" s="1"/>
  <c r="U34" i="4"/>
  <c r="U84" i="5"/>
  <c r="U85" i="5" s="1"/>
  <c r="X84" i="5"/>
  <c r="X85" i="5" s="1"/>
  <c r="V84" i="5"/>
  <c r="L90" i="4"/>
  <c r="H90" i="4"/>
  <c r="G90" i="4"/>
  <c r="M44" i="4"/>
  <c r="N16" i="5"/>
  <c r="M19" i="5"/>
  <c r="M80" i="4" l="1"/>
  <c r="D2" i="9" s="1"/>
  <c r="D4" i="9" s="1"/>
  <c r="W36" i="4"/>
  <c r="V34" i="4"/>
  <c r="V85" i="5"/>
  <c r="W85" i="5"/>
  <c r="Y84" i="5"/>
  <c r="Y85" i="5" s="1"/>
  <c r="M90" i="4"/>
  <c r="N44" i="4"/>
  <c r="O16" i="5"/>
  <c r="N19" i="5"/>
  <c r="N80" i="4" l="1"/>
  <c r="E2" i="9" s="1"/>
  <c r="E4" i="9" s="1"/>
  <c r="X36" i="4"/>
  <c r="W34" i="4"/>
  <c r="N90" i="4"/>
  <c r="O44" i="4"/>
  <c r="P16" i="5"/>
  <c r="O19" i="5"/>
  <c r="O80" i="4" l="1"/>
  <c r="F2" i="9" s="1"/>
  <c r="F4" i="9" s="1"/>
  <c r="Y36" i="4"/>
  <c r="X34" i="4"/>
  <c r="Z84" i="5"/>
  <c r="Z85" i="5" s="1"/>
  <c r="O90" i="4"/>
  <c r="P44" i="4"/>
  <c r="Q16" i="5"/>
  <c r="P19" i="5"/>
  <c r="P80" i="4" l="1"/>
  <c r="G2" i="9" s="1"/>
  <c r="G4" i="9" s="1"/>
  <c r="Z36" i="4"/>
  <c r="Y34" i="4"/>
  <c r="P90" i="4"/>
  <c r="Q44" i="4"/>
  <c r="R16" i="5"/>
  <c r="Q19" i="5"/>
  <c r="Q90" i="4" l="1"/>
  <c r="Q80" i="4"/>
  <c r="H2" i="9" s="1"/>
  <c r="H4" i="9" s="1"/>
  <c r="AA36" i="4"/>
  <c r="Z34" i="4"/>
  <c r="R44" i="4"/>
  <c r="S16" i="5"/>
  <c r="R19" i="5"/>
  <c r="R80" i="4" l="1"/>
  <c r="I2" i="9" s="1"/>
  <c r="I4" i="9" s="1"/>
  <c r="AB36" i="4"/>
  <c r="AA34" i="4"/>
  <c r="R90" i="4"/>
  <c r="S44" i="4"/>
  <c r="T16" i="5"/>
  <c r="S19" i="5"/>
  <c r="AC36" i="4" l="1"/>
  <c r="AB34" i="4"/>
  <c r="S90" i="4"/>
  <c r="T44" i="4"/>
  <c r="U16" i="5"/>
  <c r="T19" i="5"/>
  <c r="AD36" i="4" l="1"/>
  <c r="AC34" i="4"/>
  <c r="T90" i="4"/>
  <c r="T67" i="4" s="1"/>
  <c r="U44" i="4"/>
  <c r="V16" i="5"/>
  <c r="U19" i="5"/>
  <c r="AE36" i="4" l="1"/>
  <c r="AD34" i="4"/>
  <c r="T66" i="4"/>
  <c r="T65" i="4"/>
  <c r="T60" i="4"/>
  <c r="T59" i="4"/>
  <c r="T61" i="4"/>
  <c r="T52" i="4"/>
  <c r="T54" i="4"/>
  <c r="T92" i="4"/>
  <c r="T53" i="4"/>
  <c r="T55" i="4"/>
  <c r="V44" i="4"/>
  <c r="U90" i="4"/>
  <c r="W16" i="5"/>
  <c r="W19" i="5" s="1"/>
  <c r="V19" i="5"/>
  <c r="T70" i="4" l="1"/>
  <c r="AF36" i="4"/>
  <c r="W44" i="4"/>
  <c r="X44" i="4" s="1"/>
  <c r="U67" i="4"/>
  <c r="T91" i="4"/>
  <c r="AE34" i="4"/>
  <c r="U65" i="4"/>
  <c r="U66" i="4"/>
  <c r="U60" i="4"/>
  <c r="U55" i="4"/>
  <c r="V90" i="4"/>
  <c r="U54" i="4"/>
  <c r="U59" i="4"/>
  <c r="U53" i="4"/>
  <c r="U61" i="4"/>
  <c r="U52" i="4"/>
  <c r="V67" i="4" l="1"/>
  <c r="U91" i="4"/>
  <c r="U92" i="4"/>
  <c r="U70" i="4"/>
  <c r="AG36" i="4"/>
  <c r="W90" i="4"/>
  <c r="AF34" i="4"/>
  <c r="V66" i="4"/>
  <c r="W66" i="4" s="1"/>
  <c r="V65" i="4"/>
  <c r="W65" i="4" s="1"/>
  <c r="V52" i="4"/>
  <c r="V59" i="4"/>
  <c r="V54" i="4"/>
  <c r="V55" i="4"/>
  <c r="V91" i="4" s="1"/>
  <c r="X90" i="4"/>
  <c r="V60" i="4"/>
  <c r="V61" i="4"/>
  <c r="V53" i="4"/>
  <c r="Y44" i="4"/>
  <c r="W53" i="4" l="1"/>
  <c r="X53" i="4" s="1"/>
  <c r="W54" i="4"/>
  <c r="W60" i="4"/>
  <c r="X60" i="4" s="1"/>
  <c r="W59" i="4"/>
  <c r="X59" i="4" s="1"/>
  <c r="V70" i="4"/>
  <c r="AH36" i="4"/>
  <c r="W55" i="4"/>
  <c r="W67" i="4"/>
  <c r="X67" i="4" s="1"/>
  <c r="W52" i="4"/>
  <c r="X52" i="4" s="1"/>
  <c r="AG34" i="4"/>
  <c r="X65" i="4"/>
  <c r="X66" i="4"/>
  <c r="V92" i="4"/>
  <c r="X54" i="4"/>
  <c r="Z44" i="4"/>
  <c r="Y90" i="4"/>
  <c r="W61" i="4"/>
  <c r="Y67" i="4" l="1"/>
  <c r="W70" i="4"/>
  <c r="W91" i="4"/>
  <c r="AI36" i="4"/>
  <c r="X55" i="4"/>
  <c r="Z67" i="4"/>
  <c r="AH34" i="4"/>
  <c r="Y66" i="4"/>
  <c r="Y65" i="4"/>
  <c r="Y60" i="4"/>
  <c r="W92" i="4"/>
  <c r="Y59" i="4"/>
  <c r="Y52" i="4"/>
  <c r="X61" i="4"/>
  <c r="Y54" i="4"/>
  <c r="Y53" i="4"/>
  <c r="Z90" i="4"/>
  <c r="X91" i="4" l="1"/>
  <c r="Y55" i="4"/>
  <c r="AJ36" i="4"/>
  <c r="X92" i="4"/>
  <c r="X70" i="4"/>
  <c r="AI34" i="4"/>
  <c r="Z65" i="4"/>
  <c r="Z66" i="4"/>
  <c r="Y61" i="4"/>
  <c r="B90" i="4"/>
  <c r="AE90" i="4" s="1"/>
  <c r="Z59" i="4"/>
  <c r="Z54" i="4"/>
  <c r="Z52" i="4"/>
  <c r="Z53" i="4"/>
  <c r="Z60" i="4"/>
  <c r="Y92" i="4" l="1"/>
  <c r="Y70" i="4"/>
  <c r="Y91" i="4"/>
  <c r="Z55" i="4"/>
  <c r="AJ34" i="4"/>
  <c r="Z61" i="4"/>
  <c r="AF90" i="4"/>
  <c r="AH90" i="4"/>
  <c r="AI90" i="4"/>
  <c r="AD90" i="4"/>
  <c r="AB90" i="4"/>
  <c r="AG90" i="4"/>
  <c r="B91" i="4"/>
  <c r="B92" i="4" s="1"/>
  <c r="AA90" i="4"/>
  <c r="AC90" i="4"/>
  <c r="AJ90" i="4"/>
  <c r="Z91" i="4" l="1"/>
  <c r="Z92" i="4"/>
  <c r="Z70" i="4"/>
  <c r="AA53" i="4"/>
  <c r="AB53" i="4" s="1"/>
  <c r="AA67" i="4"/>
  <c r="AB67" i="4" s="1"/>
  <c r="AC67" i="4" s="1"/>
  <c r="AD67" i="4" s="1"/>
  <c r="AE67" i="4" s="1"/>
  <c r="AF67" i="4" s="1"/>
  <c r="AG67" i="4" s="1"/>
  <c r="AH67" i="4" s="1"/>
  <c r="AI67" i="4" s="1"/>
  <c r="AJ67" i="4" s="1"/>
  <c r="AA65" i="4"/>
  <c r="AB65" i="4" s="1"/>
  <c r="AC65" i="4" s="1"/>
  <c r="AD65" i="4" s="1"/>
  <c r="AE65" i="4" s="1"/>
  <c r="AF65" i="4" s="1"/>
  <c r="AG65" i="4" s="1"/>
  <c r="AH65" i="4" s="1"/>
  <c r="AI65" i="4" s="1"/>
  <c r="AJ65" i="4" s="1"/>
  <c r="AA66" i="4"/>
  <c r="AB66" i="4" s="1"/>
  <c r="AC66" i="4" s="1"/>
  <c r="AD66" i="4" s="1"/>
  <c r="AE66" i="4" s="1"/>
  <c r="AF66" i="4" s="1"/>
  <c r="AG66" i="4" s="1"/>
  <c r="AH66" i="4" s="1"/>
  <c r="AI66" i="4" s="1"/>
  <c r="AJ66" i="4" s="1"/>
  <c r="AA61" i="4"/>
  <c r="AC53" i="4"/>
  <c r="AD53" i="4" s="1"/>
  <c r="AE53" i="4" s="1"/>
  <c r="AF53" i="4" s="1"/>
  <c r="AG53" i="4" s="1"/>
  <c r="AH53" i="4" s="1"/>
  <c r="AI53" i="4" s="1"/>
  <c r="AJ53" i="4" s="1"/>
  <c r="AA44" i="4"/>
  <c r="AA55" i="4"/>
  <c r="AA59" i="4"/>
  <c r="AB59" i="4" s="1"/>
  <c r="AC59" i="4" s="1"/>
  <c r="AD59" i="4" s="1"/>
  <c r="AE59" i="4" s="1"/>
  <c r="AF59" i="4" s="1"/>
  <c r="AG59" i="4" s="1"/>
  <c r="AH59" i="4" s="1"/>
  <c r="AI59" i="4" s="1"/>
  <c r="AJ59" i="4" s="1"/>
  <c r="AA60" i="4"/>
  <c r="AB60" i="4" s="1"/>
  <c r="AC60" i="4" s="1"/>
  <c r="AD60" i="4" s="1"/>
  <c r="AE60" i="4" s="1"/>
  <c r="AF60" i="4" s="1"/>
  <c r="AG60" i="4" s="1"/>
  <c r="AH60" i="4" s="1"/>
  <c r="AI60" i="4" s="1"/>
  <c r="AJ60" i="4" s="1"/>
  <c r="AA54" i="4"/>
  <c r="AB54" i="4" s="1"/>
  <c r="AC54" i="4" s="1"/>
  <c r="AD54" i="4" s="1"/>
  <c r="AE54" i="4" s="1"/>
  <c r="AF54" i="4" s="1"/>
  <c r="AG54" i="4" s="1"/>
  <c r="AH54" i="4" s="1"/>
  <c r="AI54" i="4" s="1"/>
  <c r="AJ54" i="4" s="1"/>
  <c r="AA52" i="4"/>
  <c r="AB52" i="4" s="1"/>
  <c r="AC52" i="4" s="1"/>
  <c r="AD52" i="4" s="1"/>
  <c r="AE52" i="4" s="1"/>
  <c r="AF52" i="4" s="1"/>
  <c r="AG52" i="4" s="1"/>
  <c r="AH52" i="4" s="1"/>
  <c r="AI52" i="4" s="1"/>
  <c r="AJ52" i="4" s="1"/>
  <c r="AB44" i="4" l="1"/>
  <c r="AA92" i="4"/>
  <c r="AA70" i="4"/>
  <c r="AB61" i="4"/>
  <c r="AB55" i="4"/>
  <c r="AA91" i="4"/>
  <c r="AC61" i="4"/>
  <c r="AC92" i="4" l="1"/>
  <c r="AB92" i="4"/>
  <c r="AB70" i="4"/>
  <c r="AC44" i="4"/>
  <c r="AB91" i="4"/>
  <c r="AC55" i="4"/>
  <c r="AC70" i="4" s="1"/>
  <c r="AD61" i="4"/>
  <c r="AD92" i="4" l="1"/>
  <c r="AD44" i="4"/>
  <c r="AD55" i="4"/>
  <c r="AD70" i="4" s="1"/>
  <c r="AC91" i="4"/>
  <c r="AE61" i="4"/>
  <c r="AE92" i="4" l="1"/>
  <c r="AE44" i="4"/>
  <c r="AE55" i="4"/>
  <c r="AE70" i="4" s="1"/>
  <c r="AD91" i="4"/>
  <c r="AF61" i="4"/>
  <c r="AF92" i="4" l="1"/>
  <c r="AF44" i="4"/>
  <c r="AF55" i="4"/>
  <c r="AF70" i="4" s="1"/>
  <c r="AE91" i="4"/>
  <c r="AG61" i="4"/>
  <c r="AG92" i="4" l="1"/>
  <c r="AG44" i="4"/>
  <c r="AG55" i="4"/>
  <c r="AG70" i="4" s="1"/>
  <c r="AF91" i="4"/>
  <c r="AH61" i="4"/>
  <c r="AH92" i="4" l="1"/>
  <c r="AH44" i="4"/>
  <c r="AH55" i="4"/>
  <c r="AH70" i="4" s="1"/>
  <c r="AG91" i="4"/>
  <c r="AI61" i="4"/>
  <c r="AI92" i="4" l="1"/>
  <c r="AI44" i="4"/>
  <c r="AH91" i="4"/>
  <c r="AI55" i="4"/>
  <c r="AI70" i="4" s="1"/>
  <c r="AJ61" i="4"/>
  <c r="AJ44" i="4" l="1"/>
  <c r="AJ55" i="4"/>
  <c r="AJ91" i="4" s="1"/>
  <c r="AI91" i="4"/>
  <c r="AJ92" i="4"/>
  <c r="AJ70" i="4" l="1"/>
  <c r="K80" i="4"/>
  <c r="B2" i="9" s="1"/>
  <c r="B4" i="9" s="1"/>
  <c r="L93" i="4"/>
  <c r="K93" i="4"/>
  <c r="B93" i="4" s="1"/>
  <c r="AI93" i="4" l="1"/>
  <c r="T93" i="4"/>
  <c r="AJ93" i="4"/>
  <c r="W93" i="4"/>
  <c r="U93" i="4"/>
  <c r="S93" i="4"/>
  <c r="V93" i="4"/>
  <c r="X93" i="4"/>
  <c r="Z93" i="4"/>
  <c r="AB93" i="4"/>
  <c r="AC93" i="4"/>
  <c r="AD93" i="4"/>
  <c r="AE93" i="4"/>
  <c r="AA93" i="4"/>
  <c r="AF93" i="4"/>
  <c r="AG93" i="4"/>
  <c r="AH93" i="4"/>
  <c r="Y93" i="4"/>
  <c r="S80" i="4" l="1"/>
  <c r="J2" i="9" s="1"/>
  <c r="J4" i="9" s="1"/>
  <c r="T80" i="4" l="1"/>
  <c r="K2" i="9" s="1"/>
  <c r="K4" i="9" s="1"/>
  <c r="U80" i="4" l="1"/>
  <c r="L2" i="9" s="1"/>
  <c r="L4" i="9" s="1"/>
  <c r="V80" i="4" l="1"/>
  <c r="M2" i="9" s="1"/>
  <c r="M4" i="9" s="1"/>
  <c r="W80" i="4" l="1"/>
  <c r="N2" i="9" s="1"/>
  <c r="N4" i="9" s="1"/>
  <c r="X80" i="4" l="1"/>
  <c r="O2" i="9" s="1"/>
  <c r="O4" i="9" s="1"/>
  <c r="Y80" i="4" l="1"/>
  <c r="P2" i="9" s="1"/>
  <c r="P4" i="9" s="1"/>
  <c r="Z80" i="4" l="1"/>
  <c r="Q2" i="9" s="1"/>
  <c r="Q4" i="9" s="1"/>
  <c r="AA80" i="4" l="1"/>
  <c r="R2" i="9" s="1"/>
  <c r="R4" i="9" s="1"/>
  <c r="AB80" i="4" l="1"/>
  <c r="S2" i="9" s="1"/>
  <c r="S4" i="9" s="1"/>
  <c r="AC80" i="4" l="1"/>
  <c r="T2" i="9" s="1"/>
  <c r="T4" i="9" s="1"/>
  <c r="AD80" i="4" l="1"/>
  <c r="U2" i="9" s="1"/>
  <c r="U4" i="9" s="1"/>
  <c r="AE80" i="4" l="1"/>
  <c r="V2" i="9" s="1"/>
  <c r="V4" i="9" s="1"/>
  <c r="AF80" i="4" l="1"/>
  <c r="W2" i="9" s="1"/>
  <c r="W4" i="9" s="1"/>
  <c r="AG80" i="4" l="1"/>
  <c r="X2" i="9" s="1"/>
  <c r="X4" i="9" s="1"/>
  <c r="AH80" i="4" l="1"/>
  <c r="Y2" i="9" s="1"/>
  <c r="Y4" i="9" s="1"/>
  <c r="AI80" i="4" l="1"/>
  <c r="Z2" i="9" s="1"/>
  <c r="Z4" i="9" s="1"/>
  <c r="AJ80" i="4" l="1"/>
  <c r="AA2" i="9" s="1"/>
  <c r="AA4" i="9" s="1"/>
  <c r="B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tc={08B1CC50-BF2B-4065-B6A2-BE78C3B0C87D}</author>
  </authors>
  <commentList>
    <comment ref="H16" authorId="0" shapeId="0" xr:uid="{08B1CC50-BF2B-4065-B6A2-BE78C3B0C87D}">
      <text>
        <t>[Threaded comment]
Your version of Excel allows you to read this threaded comment; however, any edits to it will get removed if the file is opened in a newer version of Excel. Learn more: https://go.microsoft.com/fwlink/?linkid=870924
Comment:
    Set so Output matches FY2024 annual report amount</t>
      </text>
    </comment>
  </commentList>
</comments>
</file>

<file path=xl/sharedStrings.xml><?xml version="1.0" encoding="utf-8"?>
<sst xmlns="http://schemas.openxmlformats.org/spreadsheetml/2006/main" count="32253" uniqueCount="219">
  <si>
    <t>Financial Year</t>
  </si>
  <si>
    <t>Queensland</t>
  </si>
  <si>
    <t>GWh</t>
  </si>
  <si>
    <t>New South Wales</t>
  </si>
  <si>
    <t>Victoria</t>
  </si>
  <si>
    <t>South Australia</t>
  </si>
  <si>
    <t>Tasmania</t>
  </si>
  <si>
    <t>NEM</t>
  </si>
  <si>
    <t>WEM</t>
  </si>
  <si>
    <t>Source</t>
  </si>
  <si>
    <t>NWIS</t>
  </si>
  <si>
    <t>DKIS</t>
  </si>
  <si>
    <t>https://utilicom.nt.gov.au/electricity/reporting/electricity-outlook-report</t>
  </si>
  <si>
    <t>Darwin-Katherine Total Consumption</t>
  </si>
  <si>
    <t>Period ending</t>
  </si>
  <si>
    <t>Darwin</t>
  </si>
  <si>
    <t>Manton, Batchelor, Pine Creek</t>
  </si>
  <si>
    <t>Katherine</t>
  </si>
  <si>
    <t>https://utilicom.nt.gov.au/publications/reports-and-reviews/pre-2025/2023-northern-territory-electricity-outlook-report-data</t>
  </si>
  <si>
    <t>Total</t>
  </si>
  <si>
    <t>Annual System Consumption (period ending 31st August)</t>
  </si>
  <si>
    <t>https://aemo.com.au/-/media/files/electricity/wem/planning_and_forecasting/esoo/2024/2024-wem-electricity-statement-of-opportunities.pdf?la=en</t>
  </si>
  <si>
    <t>Queensland data from PowerLink (includes Mt Isa from 2032)</t>
  </si>
  <si>
    <t>https://www.powerlink.com.au/planning-report/transmission-annual-planning-report-2024</t>
  </si>
  <si>
    <t>PowerLink (Transmission Delivered)</t>
  </si>
  <si>
    <t>AEMO 2024 ESOO Step Change Op Sent Out (converted to Transmission Delievered)</t>
  </si>
  <si>
    <t>Difference to PowerLink</t>
  </si>
  <si>
    <t>Difference to AEMO Op Sent Out</t>
  </si>
  <si>
    <t>Report indicated Mt Isa being connected from 2032 @ 901GWh pa included above</t>
  </si>
  <si>
    <t>AEMO ESOO 2024</t>
  </si>
  <si>
    <t>https://nwis.com.au/media/cfkhzdic/tariff-setting-methodology.pdf</t>
  </si>
  <si>
    <t>https://www.horizonpower.com.au/globalassets/media/documents/annual-reports/20232024/horizon-power_annual-report-2024?v=4a6c54</t>
  </si>
  <si>
    <t>FY 2024</t>
  </si>
  <si>
    <t>1,124 GWh delivered</t>
  </si>
  <si>
    <t>p14 annual report</t>
  </si>
  <si>
    <t>P50 Peak demand</t>
  </si>
  <si>
    <t>Assumed LF</t>
  </si>
  <si>
    <t>Inferred Consumption forecast</t>
  </si>
  <si>
    <t>(Assumes constant load factor)</t>
  </si>
  <si>
    <t>kw</t>
  </si>
  <si>
    <t>Demand to mtach to</t>
  </si>
  <si>
    <t>Horizon Power Annual report</t>
  </si>
  <si>
    <t>Horizon Power Tariff setting methodology</t>
  </si>
  <si>
    <t>Clen Energy Finance Corporation</t>
  </si>
  <si>
    <t>Superpowering up Accelerating the electrification and decarbonisation of the Pilbara</t>
  </si>
  <si>
    <t>Figure 2.2 NWIS grid connected generation facilities</t>
  </si>
  <si>
    <t>Key demand fields highlighted in grey</t>
  </si>
  <si>
    <t>Powerlink report noted below</t>
  </si>
  <si>
    <t>Mt Isa load</t>
  </si>
  <si>
    <t>North West zone which includes Mt Isa connected from 2032</t>
  </si>
  <si>
    <t xml:space="preserve">MT ISA   </t>
  </si>
  <si>
    <t>Powerlink data on Mt Isa</t>
  </si>
  <si>
    <t>Rate of change for 2050 projection</t>
  </si>
  <si>
    <t>Whole of system Plan WA</t>
  </si>
  <si>
    <t>https://www.wa.gov.au/government/document-collections/whole-of-system-plan#:~:text=The%20Whole%20of%20System%20Plan,of%20our%20main%20electricity%20system.&amp;text=Whole%20of%20System%20Planning%20provides,like%20over%20the%20coming%20decades.</t>
  </si>
  <si>
    <t>20 YEAR PROJECTION 2020 TO 2040 FOR swis SYSTEM ONLY</t>
  </si>
  <si>
    <t>Techtopia senario (most like WA ESOO 2024)</t>
  </si>
  <si>
    <t>SWIS forecast (ESOO plus extension)</t>
  </si>
  <si>
    <t>TOTAL UNDERLYING</t>
  </si>
  <si>
    <t>ALICE</t>
  </si>
  <si>
    <t>MT ISA</t>
  </si>
  <si>
    <t>2050 FORECASTS</t>
  </si>
  <si>
    <t>2020-2025 avg</t>
  </si>
  <si>
    <t>2027-2040 average based on peak demand projection</t>
  </si>
  <si>
    <t>based off NWIS</t>
  </si>
  <si>
    <t>Generation (sent out)</t>
  </si>
  <si>
    <t>https://www.energy.gov.au/energy-data/australian-energy-statistics/electricity-generation</t>
  </si>
  <si>
    <t>2022-23</t>
  </si>
  <si>
    <t>TWh</t>
  </si>
  <si>
    <t>Publication</t>
  </si>
  <si>
    <t>Version</t>
  </si>
  <si>
    <t>Parent Category</t>
  </si>
  <si>
    <t>Category</t>
  </si>
  <si>
    <t>SubCategory</t>
  </si>
  <si>
    <t>Region</t>
  </si>
  <si>
    <t>Scenario</t>
  </si>
  <si>
    <t>Year</t>
  </si>
  <si>
    <t>Annual Consumption (TWh)</t>
  </si>
  <si>
    <t>WEM ESOO 2024</t>
  </si>
  <si>
    <t>2024-06-18</t>
  </si>
  <si>
    <t>Operational (Sent Out)</t>
  </si>
  <si>
    <t>SWIS</t>
  </si>
  <si>
    <t>Actual</t>
  </si>
  <si>
    <t>Losses</t>
  </si>
  <si>
    <t>Distribution losses</t>
  </si>
  <si>
    <t>Transmission Losses</t>
  </si>
  <si>
    <t>Small Non Scheduled Generation</t>
  </si>
  <si>
    <t>PVNSG generation</t>
  </si>
  <si>
    <t>Expected (Step Change)</t>
  </si>
  <si>
    <t>Residential</t>
  </si>
  <si>
    <t>Res grid demand</t>
  </si>
  <si>
    <t>Res SNSG offset</t>
  </si>
  <si>
    <t>Business</t>
  </si>
  <si>
    <t>Business SNSG offset</t>
  </si>
  <si>
    <t>Business mass market</t>
  </si>
  <si>
    <t>Large industrial loads</t>
  </si>
  <si>
    <t>Electrification</t>
  </si>
  <si>
    <t>Electric Vehicles</t>
  </si>
  <si>
    <t>EV load</t>
  </si>
  <si>
    <t>EV vehicle to home losses</t>
  </si>
  <si>
    <t>Hydrogen Production</t>
  </si>
  <si>
    <t>Domestic H2</t>
  </si>
  <si>
    <t>Export H2</t>
  </si>
  <si>
    <t>Rooftop PV</t>
  </si>
  <si>
    <t>ESOO 2024</t>
  </si>
  <si>
    <t>2024-08-29</t>
  </si>
  <si>
    <t>ONSG generation</t>
  </si>
  <si>
    <t>Operational (As Generated)</t>
  </si>
  <si>
    <t>Auxiliary</t>
  </si>
  <si>
    <t>Central</t>
  </si>
  <si>
    <t>LNG</t>
  </si>
  <si>
    <t>Green steel - H2</t>
  </si>
  <si>
    <t>Green steel - elec</t>
  </si>
  <si>
    <t>SWIS OPERATIONAL DEMAND</t>
  </si>
  <si>
    <t>NEM Demand breakdown</t>
  </si>
  <si>
    <t>WEM Demand breakdown</t>
  </si>
  <si>
    <t>Does not include SNSG for all of the NT and NWIS, or Rooftop PV for NWIS and Mt Isa</t>
  </si>
  <si>
    <t>Source: 2024 Expected Underlying Consumption (Fig. 6)</t>
  </si>
  <si>
    <t>Alice Springs</t>
  </si>
  <si>
    <t>Tenant Creek</t>
  </si>
  <si>
    <t>Aggregated historical and forecast distributed PV capacity</t>
  </si>
  <si>
    <t>Darwin-Katherine</t>
  </si>
  <si>
    <t>DKIS and Alice Springs Total Northern Territory</t>
  </si>
  <si>
    <t>Total generation figure from Commonwealth for Australia</t>
  </si>
  <si>
    <t xml:space="preserve">WA ESOO to 2034, then 2020-2024 historic growth used </t>
  </si>
  <si>
    <t>2021-2032 avg</t>
  </si>
  <si>
    <t>Operational (As Generated, incl Auxiliary) + Small Non Scheduled Generation</t>
  </si>
  <si>
    <t>Operational (Sent Out) + Small Non Scheduled Generation</t>
  </si>
  <si>
    <t>TOTAL WITHOUT ROOFTOP PV</t>
  </si>
  <si>
    <t>NGER Reports up until 2024</t>
  </si>
  <si>
    <t>NWIS forecast based on NGER figures</t>
  </si>
  <si>
    <t>NGER reports</t>
  </si>
  <si>
    <t>year</t>
  </si>
  <si>
    <t>Figure 13 Emissions intensity of generation over time</t>
  </si>
  <si>
    <r>
      <t>Mt CO</t>
    </r>
    <r>
      <rPr>
        <vertAlign val="subscript"/>
        <sz val="11"/>
        <color theme="1"/>
        <rFont val="Jacobs Chronos Light"/>
        <family val="2"/>
        <scheme val="minor"/>
      </rPr>
      <t>2</t>
    </r>
    <r>
      <rPr>
        <sz val="11"/>
        <color theme="1"/>
        <rFont val="Jacobs Chronos"/>
        <family val="2"/>
        <scheme val="major"/>
      </rPr>
      <t>-e / TWh</t>
    </r>
  </si>
  <si>
    <t>Generation Emissions Intensity</t>
  </si>
  <si>
    <t>A50/G2</t>
  </si>
  <si>
    <t>A40/G1.5</t>
  </si>
  <si>
    <t>emissions (mt co2-e)</t>
  </si>
  <si>
    <t>Total emissions budget 2025-2050 (mt co2-e)</t>
  </si>
  <si>
    <t>underlying demand (TWh)</t>
  </si>
  <si>
    <t>interpolated emissions intensity (mt co2-e / TWh)</t>
  </si>
  <si>
    <t>Notes:</t>
  </si>
  <si>
    <t>source:</t>
  </si>
  <si>
    <t>https://aemo.com.au/-/media/files/stakeholder_consultation/consultations/nem-consultations/2022/2023-inputs-assumptions-and-scenarios-consultation/supporting-materials-for-2023/csiro-climateworks-centre-2022-multisector-modelling-report.pdf</t>
  </si>
  <si>
    <t>Projected generation NEM, Climateworks/ CSIRO</t>
  </si>
  <si>
    <t>CCA intensity is for total generation (on and off grid), including distributed PV. Projected generation for the NEM in AusTIMES (see below) used by CSIRO for CCA A40/1.5  aligns closely in early years with our generation as defined by operational sent out + rooftop PV. Definition used for CCA modelling is likely comparable to ours.</t>
  </si>
  <si>
    <t>A50/G2: Electricity Generation Energy</t>
  </si>
  <si>
    <t>A40/G1.5: Electricity Generation Energy</t>
  </si>
  <si>
    <t>Black Coal</t>
  </si>
  <si>
    <t>Brown Coal</t>
  </si>
  <si>
    <t>Gas and liquids</t>
  </si>
  <si>
    <t>Wind</t>
  </si>
  <si>
    <t>Utility Solar</t>
  </si>
  <si>
    <t>Distributed Solar</t>
  </si>
  <si>
    <t>Hydro Generation</t>
  </si>
  <si>
    <t>sum</t>
  </si>
  <si>
    <t>per cent renewable</t>
  </si>
  <si>
    <t>ISP 2024</t>
  </si>
  <si>
    <t>Emissions (Mt CO2-e)</t>
  </si>
  <si>
    <t>2024-25</t>
  </si>
  <si>
    <t>2025-26</t>
  </si>
  <si>
    <t>2026-27</t>
  </si>
  <si>
    <t>2027-28</t>
  </si>
  <si>
    <t>2028-29</t>
  </si>
  <si>
    <t>2029-30</t>
  </si>
  <si>
    <t>2030-31</t>
  </si>
  <si>
    <t>2031-32</t>
  </si>
  <si>
    <t>2032-33</t>
  </si>
  <si>
    <t>2033-34</t>
  </si>
  <si>
    <t>2034-35</t>
  </si>
  <si>
    <t>2035-36</t>
  </si>
  <si>
    <t>2036-37</t>
  </si>
  <si>
    <t>2037-38</t>
  </si>
  <si>
    <t>2038-39</t>
  </si>
  <si>
    <t>2039-40</t>
  </si>
  <si>
    <t>2040-41</t>
  </si>
  <si>
    <t>2041-42</t>
  </si>
  <si>
    <t>2042-43</t>
  </si>
  <si>
    <t>2043-44</t>
  </si>
  <si>
    <t>2044-45</t>
  </si>
  <si>
    <t>2045-46</t>
  </si>
  <si>
    <t>2046-47</t>
  </si>
  <si>
    <t>2047-48</t>
  </si>
  <si>
    <t>2048-49</t>
  </si>
  <si>
    <t>2049-50</t>
  </si>
  <si>
    <t>2050-51</t>
  </si>
  <si>
    <t>CDP3</t>
  </si>
  <si>
    <t>2024-25 to 2049-2050</t>
  </si>
  <si>
    <t>2025-26 to 2050-2051</t>
  </si>
  <si>
    <t>As-generated generation (TWh)</t>
  </si>
  <si>
    <t>Black coal</t>
  </si>
  <si>
    <t>Brown coal</t>
  </si>
  <si>
    <t>Mid-merit gas</t>
  </si>
  <si>
    <t>Flexible gas with CCS</t>
  </si>
  <si>
    <t>Flexible gas</t>
  </si>
  <si>
    <t>Hydro</t>
  </si>
  <si>
    <t>Utility storage</t>
  </si>
  <si>
    <t>Coordinated CER storage</t>
  </si>
  <si>
    <t>Passive CER storage</t>
  </si>
  <si>
    <t>Offshore wind</t>
  </si>
  <si>
    <t>Utility solar</t>
  </si>
  <si>
    <t>Distributed PV</t>
  </si>
  <si>
    <t>Other renewable fuels</t>
  </si>
  <si>
    <t>DSP</t>
  </si>
  <si>
    <t>Storage charging (TWh)</t>
  </si>
  <si>
    <t>Utility storage load</t>
  </si>
  <si>
    <t>Coordinated CER storage load</t>
  </si>
  <si>
    <t>Passive CER storage load</t>
  </si>
  <si>
    <t>Underlying Demand - Operational Sent out + Rooftop PV + Non-scheduled</t>
  </si>
  <si>
    <t>overall intensity</t>
  </si>
  <si>
    <t>total generation (TWH)</t>
  </si>
  <si>
    <t>overal intensity (mt co2e/TWH)</t>
  </si>
  <si>
    <t>Total generation (TWh)</t>
  </si>
  <si>
    <t>total budget mt co2-e</t>
  </si>
  <si>
    <t>total emissions intensity - NEM</t>
  </si>
  <si>
    <r>
      <rPr>
        <b/>
        <sz val="11"/>
        <color theme="1"/>
        <rFont val="Jacobs Chronos"/>
        <scheme val="major"/>
      </rPr>
      <t>year</t>
    </r>
    <r>
      <rPr>
        <sz val="11"/>
        <color theme="1"/>
        <rFont val="Jacobs Chronos"/>
        <family val="2"/>
        <scheme val="major"/>
      </rPr>
      <t xml:space="preserve"> </t>
    </r>
  </si>
  <si>
    <t>NEM intensity</t>
  </si>
  <si>
    <t>CCA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</si>
</sst>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0.0%"/>
  </numFmts>
  <fonts count="34">
    <font>
      <sz val="11"/>
      <color theme="1"/>
      <name val="Jacobs Chronos"/>
      <family val="2"/>
      <scheme val="major"/>
    </font>
    <font>
      <sz val="11"/>
      <color rgb="FF9C0006"/>
      <name val="Jacobs Chronos"/>
      <family val="2"/>
      <scheme val="major"/>
    </font>
    <font>
      <sz val="11"/>
      <color rgb="FF006100"/>
      <name val="Jacobs Chronos"/>
      <family val="2"/>
      <scheme val="major"/>
    </font>
    <font>
      <sz val="11"/>
      <color rgb="FF9C5700"/>
      <name val="Jacobs Chronos"/>
      <family val="2"/>
      <scheme val="major"/>
    </font>
    <font>
      <b/>
      <sz val="11"/>
      <color rgb="FFFA7D00"/>
      <name val="Jacobs Chronos"/>
      <family val="2"/>
      <scheme val="major"/>
    </font>
    <font>
      <b/>
      <sz val="11"/>
      <color theme="0"/>
      <name val="Jacobs Chronos"/>
      <family val="2"/>
      <scheme val="major"/>
    </font>
    <font>
      <i/>
      <sz val="11"/>
      <color rgb="FF7F7F7F"/>
      <name val="Jacobs Chronos"/>
      <family val="2"/>
      <scheme val="major"/>
    </font>
    <font>
      <sz val="11"/>
      <color rgb="FF3F3F76"/>
      <name val="Jacobs Chronos"/>
      <family val="2"/>
      <scheme val="major"/>
    </font>
    <font>
      <sz val="11"/>
      <color rgb="FFFA7D00"/>
      <name val="Jacobs Chronos"/>
      <family val="2"/>
      <scheme val="major"/>
    </font>
    <font>
      <b/>
      <sz val="11"/>
      <color rgb="FF3F3F3F"/>
      <name val="Jacobs Chronos"/>
      <family val="2"/>
      <scheme val="major"/>
    </font>
    <font>
      <sz val="11"/>
      <color rgb="FFFF0000"/>
      <name val="Jacobs Chronos"/>
      <family val="2"/>
      <scheme val="major"/>
    </font>
    <font>
      <b/>
      <sz val="11"/>
      <color theme="1"/>
      <name val="Jacobs Chronos Light"/>
      <family val="2"/>
      <scheme val="minor"/>
    </font>
    <font>
      <sz val="11"/>
      <color theme="0"/>
      <name val="Jacobs Chronos Light"/>
      <family val="2"/>
      <scheme val="minor"/>
    </font>
    <font>
      <b/>
      <sz val="18"/>
      <color theme="1"/>
      <name val="Jacobs Chronos Light"/>
      <family val="2"/>
      <scheme val="minor"/>
    </font>
    <font>
      <b/>
      <sz val="11"/>
      <color theme="0"/>
      <name val="Jacobs Chronos Light"/>
      <family val="2"/>
      <scheme val="minor"/>
    </font>
    <font>
      <b/>
      <sz val="11"/>
      <color theme="1"/>
      <name val="Jacobs Chronos"/>
      <family val="2"/>
      <scheme val="major"/>
    </font>
    <font>
      <sz val="11"/>
      <color theme="1"/>
      <name val="Jacobs Chronos"/>
      <family val="2"/>
      <scheme val="major"/>
    </font>
    <font>
      <u/>
      <sz val="11"/>
      <color theme="10"/>
      <name val="Jacobs Chronos"/>
      <family val="2"/>
      <scheme val="major"/>
    </font>
    <font>
      <sz val="11"/>
      <color theme="4"/>
      <name val="Jacobs Chronos"/>
      <family val="2"/>
      <scheme val="major"/>
    </font>
    <font>
      <b/>
      <sz val="11"/>
      <color theme="4"/>
      <name val="Jacobs Chronos"/>
      <family val="2"/>
      <scheme val="major"/>
    </font>
    <font>
      <sz val="11"/>
      <name val="Jacobs Chronos"/>
      <family val="2"/>
      <scheme val="major"/>
    </font>
    <font>
      <sz val="11"/>
      <color rgb="FF231EDC"/>
      <name val="Jacobs Chronos"/>
      <family val="2"/>
      <scheme val="major"/>
    </font>
    <font>
      <b/>
      <sz val="11"/>
      <color rgb="FF231EDC"/>
      <name val="Jacobs Chronos"/>
      <family val="2"/>
      <scheme val="major"/>
    </font>
    <font>
      <b/>
      <sz val="11"/>
      <name val="Jacobs Chronos"/>
      <family val="2"/>
      <scheme val="major"/>
    </font>
    <font>
      <b/>
      <sz val="20"/>
      <name val="Jacobs Chronos"/>
      <family val="2"/>
      <scheme val="major"/>
    </font>
    <font>
      <b/>
      <sz val="11"/>
      <color rgb="FFFF0000"/>
      <name val="Jacobs Chronos"/>
      <family val="2"/>
      <scheme val="major"/>
    </font>
    <font>
      <b/>
      <sz val="18"/>
      <color theme="1"/>
      <name val="Jacobs Chronos"/>
      <family val="2"/>
      <scheme val="major"/>
    </font>
    <font>
      <sz val="11"/>
      <color theme="0"/>
      <name val="Jacobs Chronos"/>
      <family val="2"/>
      <scheme val="major"/>
    </font>
    <font>
      <b/>
      <sz val="11"/>
      <color theme="1"/>
      <name val="Jacobs Chronos"/>
      <scheme val="major"/>
    </font>
    <font>
      <b/>
      <sz val="16"/>
      <color theme="1"/>
      <name val="Jacobs Chronos Light"/>
      <family val="2"/>
      <scheme val="minor"/>
    </font>
    <font>
      <vertAlign val="subscript"/>
      <sz val="11"/>
      <color theme="1"/>
      <name val="Jacobs Chronos Light"/>
      <family val="2"/>
      <scheme val="minor"/>
    </font>
    <font>
      <sz val="11"/>
      <color theme="6"/>
      <name val="Jacobs Chronos"/>
      <family val="2"/>
      <scheme val="major"/>
    </font>
    <font>
      <sz val="11"/>
      <color rgb="FF000000"/>
      <name val="Calibri"/>
      <family val="2"/>
    </font>
    <font>
      <sz val="11"/>
      <color theme="1"/>
      <name val="Jacobs Chronos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auto="1"/>
      </bottom>
      <diagonal/>
    </border>
  </borders>
  <cellStyleXfs count="1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7" fillId="5" borderId="1" applyNumberFormat="0" applyAlignment="0" applyProtection="0"/>
    <xf numFmtId="0" fontId="9" fillId="6" borderId="2" applyNumberFormat="0" applyAlignment="0" applyProtection="0"/>
    <xf numFmtId="0" fontId="4" fillId="6" borderId="1" applyNumberFormat="0" applyAlignment="0" applyProtection="0"/>
    <xf numFmtId="0" fontId="8" fillId="0" borderId="3" applyNumberFormat="0" applyFill="0" applyAlignment="0" applyProtection="0"/>
    <xf numFmtId="0" fontId="5" fillId="7" borderId="4" applyNumberFormat="0" applyAlignment="0" applyProtection="0"/>
    <xf numFmtId="0" fontId="1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87">
    <xf numFmtId="0" fontId="0" fillId="0" borderId="0" xfId="0"/>
    <xf numFmtId="0" fontId="13" fillId="0" borderId="0" xfId="0" applyFont="1"/>
    <xf numFmtId="0" fontId="14" fillId="8" borderId="5" xfId="0" applyFont="1" applyFill="1" applyBorder="1" applyAlignment="1">
      <alignment horizontal="left"/>
    </xf>
    <xf numFmtId="0" fontId="12" fillId="8" borderId="6" xfId="0" applyFont="1" applyFill="1" applyBorder="1"/>
    <xf numFmtId="0" fontId="14" fillId="8" borderId="7" xfId="0" applyFont="1" applyFill="1" applyBorder="1" applyAlignment="1">
      <alignment horizontal="right"/>
    </xf>
    <xf numFmtId="0" fontId="14" fillId="8" borderId="6" xfId="0" applyFont="1" applyFill="1" applyBorder="1" applyAlignment="1">
      <alignment horizontal="right"/>
    </xf>
    <xf numFmtId="0" fontId="11" fillId="0" borderId="8" xfId="0" applyFont="1" applyBorder="1"/>
    <xf numFmtId="0" fontId="0" fillId="0" borderId="9" xfId="0" applyBorder="1"/>
    <xf numFmtId="3" fontId="0" fillId="0" borderId="0" xfId="0" applyNumberFormat="1"/>
    <xf numFmtId="3" fontId="0" fillId="0" borderId="9" xfId="0" applyNumberFormat="1" applyBorder="1"/>
    <xf numFmtId="0" fontId="0" fillId="0" borderId="11" xfId="0" applyBorder="1"/>
    <xf numFmtId="0" fontId="15" fillId="0" borderId="10" xfId="0" applyFont="1" applyBorder="1" applyAlignment="1">
      <alignment horizontal="left"/>
    </xf>
    <xf numFmtId="0" fontId="15" fillId="0" borderId="12" xfId="0" applyFont="1" applyBorder="1"/>
    <xf numFmtId="0" fontId="15" fillId="0" borderId="11" xfId="0" applyFont="1" applyBorder="1"/>
    <xf numFmtId="0" fontId="10" fillId="0" borderId="0" xfId="0" applyFont="1"/>
    <xf numFmtId="0" fontId="17" fillId="0" borderId="0" xfId="13"/>
    <xf numFmtId="164" fontId="0" fillId="0" borderId="0" xfId="11" applyNumberFormat="1" applyFont="1" applyBorder="1"/>
    <xf numFmtId="164" fontId="18" fillId="0" borderId="0" xfId="11" applyNumberFormat="1" applyFont="1"/>
    <xf numFmtId="164" fontId="0" fillId="0" borderId="12" xfId="11" applyNumberFormat="1" applyFont="1" applyBorder="1"/>
    <xf numFmtId="164" fontId="19" fillId="0" borderId="12" xfId="11" applyNumberFormat="1" applyFont="1" applyBorder="1"/>
    <xf numFmtId="164" fontId="0" fillId="0" borderId="0" xfId="11" applyNumberFormat="1" applyFont="1"/>
    <xf numFmtId="164" fontId="18" fillId="0" borderId="0" xfId="11" applyNumberFormat="1" applyFont="1" applyBorder="1"/>
    <xf numFmtId="9" fontId="0" fillId="0" borderId="0" xfId="12" applyFont="1"/>
    <xf numFmtId="0" fontId="20" fillId="0" borderId="0" xfId="0" applyFont="1"/>
    <xf numFmtId="164" fontId="0" fillId="0" borderId="0" xfId="0" applyNumberFormat="1"/>
    <xf numFmtId="164" fontId="21" fillId="0" borderId="0" xfId="11" applyNumberFormat="1" applyFont="1"/>
    <xf numFmtId="165" fontId="0" fillId="0" borderId="0" xfId="0" applyNumberFormat="1"/>
    <xf numFmtId="164" fontId="0" fillId="9" borderId="0" xfId="11" applyNumberFormat="1" applyFont="1" applyFill="1"/>
    <xf numFmtId="0" fontId="0" fillId="10" borderId="11" xfId="0" applyFill="1" applyBorder="1"/>
    <xf numFmtId="0" fontId="0" fillId="10" borderId="12" xfId="0" applyFill="1" applyBorder="1"/>
    <xf numFmtId="1" fontId="15" fillId="10" borderId="12" xfId="0" applyNumberFormat="1" applyFont="1" applyFill="1" applyBorder="1"/>
    <xf numFmtId="1" fontId="15" fillId="10" borderId="11" xfId="0" applyNumberFormat="1" applyFont="1" applyFill="1" applyBorder="1"/>
    <xf numFmtId="0" fontId="0" fillId="10" borderId="0" xfId="0" applyFill="1"/>
    <xf numFmtId="0" fontId="11" fillId="10" borderId="8" xfId="0" applyFont="1" applyFill="1" applyBorder="1"/>
    <xf numFmtId="0" fontId="15" fillId="10" borderId="0" xfId="0" applyFont="1" applyFill="1"/>
    <xf numFmtId="0" fontId="15" fillId="10" borderId="9" xfId="0" applyFont="1" applyFill="1" applyBorder="1"/>
    <xf numFmtId="164" fontId="19" fillId="10" borderId="0" xfId="11" applyNumberFormat="1" applyFont="1" applyFill="1"/>
    <xf numFmtId="164" fontId="15" fillId="10" borderId="0" xfId="11" applyNumberFormat="1" applyFont="1" applyFill="1"/>
    <xf numFmtId="164" fontId="22" fillId="10" borderId="0" xfId="11" applyNumberFormat="1" applyFont="1" applyFill="1"/>
    <xf numFmtId="0" fontId="0" fillId="10" borderId="10" xfId="0" applyFill="1" applyBorder="1" applyAlignment="1">
      <alignment horizontal="left"/>
    </xf>
    <xf numFmtId="164" fontId="16" fillId="10" borderId="12" xfId="11" applyNumberFormat="1" applyFont="1" applyFill="1" applyBorder="1"/>
    <xf numFmtId="164" fontId="18" fillId="10" borderId="12" xfId="11" applyNumberFormat="1" applyFont="1" applyFill="1" applyBorder="1"/>
    <xf numFmtId="0" fontId="15" fillId="0" borderId="0" xfId="0" applyFont="1"/>
    <xf numFmtId="0" fontId="23" fillId="10" borderId="0" xfId="0" applyFont="1" applyFill="1"/>
    <xf numFmtId="0" fontId="24" fillId="0" borderId="0" xfId="0" applyFont="1"/>
    <xf numFmtId="14" fontId="0" fillId="10" borderId="0" xfId="0" applyNumberFormat="1" applyFill="1"/>
    <xf numFmtId="10" fontId="0" fillId="0" borderId="0" xfId="12" applyNumberFormat="1" applyFont="1"/>
    <xf numFmtId="10" fontId="0" fillId="0" borderId="0" xfId="0" applyNumberFormat="1"/>
    <xf numFmtId="10" fontId="10" fillId="0" borderId="0" xfId="0" applyNumberFormat="1" applyFont="1"/>
    <xf numFmtId="0" fontId="20" fillId="10" borderId="0" xfId="0" applyFont="1" applyFill="1"/>
    <xf numFmtId="0" fontId="0" fillId="0" borderId="0" xfId="12" applyNumberFormat="1" applyFont="1"/>
    <xf numFmtId="164" fontId="25" fillId="10" borderId="0" xfId="0" applyNumberFormat="1" applyFont="1" applyFill="1"/>
    <xf numFmtId="0" fontId="21" fillId="0" borderId="0" xfId="0" applyFont="1"/>
    <xf numFmtId="3" fontId="10" fillId="0" borderId="0" xfId="0" applyNumberFormat="1" applyFont="1"/>
    <xf numFmtId="164" fontId="10" fillId="0" borderId="0" xfId="11" applyNumberFormat="1" applyFont="1"/>
    <xf numFmtId="164" fontId="10" fillId="10" borderId="12" xfId="11" applyNumberFormat="1" applyFont="1" applyFill="1" applyBorder="1"/>
    <xf numFmtId="0" fontId="25" fillId="0" borderId="12" xfId="0" applyFont="1" applyBorder="1"/>
    <xf numFmtId="164" fontId="25" fillId="10" borderId="0" xfId="11" applyNumberFormat="1" applyFont="1" applyFill="1"/>
    <xf numFmtId="1" fontId="25" fillId="10" borderId="0" xfId="0" applyNumberFormat="1" applyFont="1" applyFill="1"/>
    <xf numFmtId="0" fontId="26" fillId="10" borderId="0" xfId="0" applyFont="1" applyFill="1"/>
    <xf numFmtId="166" fontId="0" fillId="0" borderId="0" xfId="12" applyNumberFormat="1" applyFont="1"/>
    <xf numFmtId="0" fontId="0" fillId="0" borderId="13" xfId="0" applyBorder="1"/>
    <xf numFmtId="1" fontId="0" fillId="0" borderId="0" xfId="0" applyNumberFormat="1"/>
    <xf numFmtId="0" fontId="11" fillId="10" borderId="10" xfId="0" applyFont="1" applyFill="1" applyBorder="1" applyAlignment="1">
      <alignment horizontal="left"/>
    </xf>
    <xf numFmtId="0" fontId="0" fillId="10" borderId="9" xfId="0" applyFill="1" applyBorder="1"/>
    <xf numFmtId="3" fontId="0" fillId="10" borderId="0" xfId="0" applyNumberFormat="1" applyFill="1"/>
    <xf numFmtId="3" fontId="0" fillId="10" borderId="9" xfId="0" applyNumberFormat="1" applyFill="1" applyBorder="1"/>
    <xf numFmtId="0" fontId="27" fillId="0" borderId="0" xfId="0" applyFont="1"/>
    <xf numFmtId="1" fontId="25" fillId="10" borderId="12" xfId="0" applyNumberFormat="1" applyFont="1" applyFill="1" applyBorder="1"/>
    <xf numFmtId="3" fontId="10" fillId="10" borderId="0" xfId="0" applyNumberFormat="1" applyFont="1" applyFill="1"/>
    <xf numFmtId="1" fontId="19" fillId="10" borderId="12" xfId="0" applyNumberFormat="1" applyFont="1" applyFill="1" applyBorder="1"/>
    <xf numFmtId="0" fontId="18" fillId="0" borderId="0" xfId="0" applyFont="1"/>
    <xf numFmtId="2" fontId="0" fillId="0" borderId="0" xfId="0" applyNumberFormat="1"/>
    <xf numFmtId="2" fontId="18" fillId="0" borderId="0" xfId="0" applyNumberFormat="1" applyFont="1"/>
    <xf numFmtId="0" fontId="15" fillId="0" borderId="0" xfId="0" applyFont="1" applyAlignment="1">
      <alignment horizontal="left"/>
    </xf>
    <xf numFmtId="164" fontId="19" fillId="0" borderId="0" xfId="11" applyNumberFormat="1" applyFont="1" applyBorder="1"/>
    <xf numFmtId="0" fontId="25" fillId="0" borderId="0" xfId="0" applyFont="1"/>
    <xf numFmtId="0" fontId="11" fillId="0" borderId="10" xfId="0" applyFont="1" applyBorder="1" applyAlignment="1">
      <alignment horizontal="left"/>
    </xf>
    <xf numFmtId="43" fontId="0" fillId="0" borderId="12" xfId="11" applyFont="1" applyBorder="1"/>
    <xf numFmtId="43" fontId="19" fillId="0" borderId="12" xfId="11" applyFont="1" applyBorder="1"/>
    <xf numFmtId="43" fontId="25" fillId="0" borderId="12" xfId="0" applyNumberFormat="1" applyFont="1" applyBorder="1"/>
    <xf numFmtId="1" fontId="22" fillId="10" borderId="0" xfId="0" applyNumberFormat="1" applyFont="1" applyFill="1"/>
    <xf numFmtId="0" fontId="28" fillId="0" borderId="0" xfId="0" applyFont="1"/>
    <xf numFmtId="0" fontId="29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</cellXfs>
  <cellStyles count="14">
    <cellStyle name="Bad" xfId="2" builtinId="27" customBuiltin="1"/>
    <cellStyle name="Calculation" xfId="6" builtinId="22" customBuiltin="1"/>
    <cellStyle name="Check Cell" xfId="8" builtinId="23" customBuiltin="1"/>
    <cellStyle name="Comma" xfId="11" builtinId="3"/>
    <cellStyle name="Explanatory Text" xfId="10" builtinId="53" customBuiltin="1"/>
    <cellStyle name="Good" xfId="1" builtinId="26" customBuiltin="1"/>
    <cellStyle name="Hyperlink" xfId="13" builtinId="8"/>
    <cellStyle name="Input" xfId="4" builtinId="20" customBuiltin="1"/>
    <cellStyle name="Linked Cell" xfId="7" builtinId="24" customBuiltin="1"/>
    <cellStyle name="Neutral" xfId="3" builtinId="28" customBuiltin="1"/>
    <cellStyle name="Normal" xfId="0" builtinId="0" customBuiltin="1"/>
    <cellStyle name="Output" xfId="5" builtinId="21" customBuiltin="1"/>
    <cellStyle name="Percent" xfId="12" builtinId="5"/>
    <cellStyle name="Warning Text" xfId="9" builtinId="11" customBuiltin="1"/>
  </cellStyles>
  <dxfs count="0"/>
  <tableStyles count="0" defaultTableStyle="TableStyleMedium2" defaultPivotStyle="PivotStyleLight16"/>
  <colors>
    <mruColors>
      <color rgb="FF231EDC"/>
      <color rgb="FFFFFFFF"/>
      <color rgb="FF001E55"/>
      <color rgb="FF0A7DFF"/>
      <color rgb="FF5A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aseline="0"/>
              <a:t>rate of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Summary!$A$88</c:f>
              <c:strCache>
                <c:ptCount val="1"/>
                <c:pt idx="0">
                  <c:v>NEM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Summary!$F$86:$AJ$86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Summary!$F$88:$AJ$88</c:f>
              <c:numCache>
                <c:formatCode>General</c:formatCode>
                <c:ptCount val="31"/>
                <c:pt idx="5" formatCode="0.00%">
                  <c:v>6.9719240412275951E-3</c:v>
                </c:pt>
                <c:pt idx="6" formatCode="0.00%">
                  <c:v>2.4343215577596666E-2</c:v>
                </c:pt>
                <c:pt idx="7" formatCode="0.00%">
                  <c:v>2.9341852070782659E-2</c:v>
                </c:pt>
                <c:pt idx="8" formatCode="0.00%">
                  <c:v>2.5035885795379409E-2</c:v>
                </c:pt>
                <c:pt idx="9" formatCode="0.00%">
                  <c:v>2.2002885508531467E-2</c:v>
                </c:pt>
                <c:pt idx="10" formatCode="0.00%">
                  <c:v>2.9572548187844827E-2</c:v>
                </c:pt>
                <c:pt idx="11" formatCode="0.00%">
                  <c:v>3.4008836079399085E-2</c:v>
                </c:pt>
                <c:pt idx="12" formatCode="0.00%">
                  <c:v>3.6562469694258359E-2</c:v>
                </c:pt>
                <c:pt idx="13" formatCode="0.00%">
                  <c:v>4.0881180188947264E-2</c:v>
                </c:pt>
                <c:pt idx="14" formatCode="0.00%">
                  <c:v>3.6488795821599807E-2</c:v>
                </c:pt>
                <c:pt idx="15" formatCode="0.00%">
                  <c:v>2.290539442212558E-2</c:v>
                </c:pt>
                <c:pt idx="16" formatCode="0.00%">
                  <c:v>3.0340952624185791E-2</c:v>
                </c:pt>
                <c:pt idx="17" formatCode="0.00%">
                  <c:v>3.3573220743237764E-2</c:v>
                </c:pt>
                <c:pt idx="18" formatCode="0.00%">
                  <c:v>3.2815427004585951E-2</c:v>
                </c:pt>
                <c:pt idx="19" formatCode="0.00%">
                  <c:v>2.2023810483643436E-2</c:v>
                </c:pt>
                <c:pt idx="20" formatCode="0.00%">
                  <c:v>2.8366137849969331E-2</c:v>
                </c:pt>
                <c:pt idx="21" formatCode="0.00%">
                  <c:v>2.358052580641834E-2</c:v>
                </c:pt>
                <c:pt idx="22" formatCode="0.00%">
                  <c:v>2.7032180024672003E-2</c:v>
                </c:pt>
                <c:pt idx="23" formatCode="0.00%">
                  <c:v>2.4515913597969119E-2</c:v>
                </c:pt>
                <c:pt idx="24" formatCode="0.00%">
                  <c:v>2.5359779459863452E-2</c:v>
                </c:pt>
                <c:pt idx="25" formatCode="0.00%">
                  <c:v>2.3367164600455848E-2</c:v>
                </c:pt>
                <c:pt idx="26" formatCode="0.00%">
                  <c:v>1.7401404710678969E-2</c:v>
                </c:pt>
                <c:pt idx="27" formatCode="0.00%">
                  <c:v>1.6879870065751756E-2</c:v>
                </c:pt>
                <c:pt idx="28" formatCode="0.00%">
                  <c:v>1.6199709372589854E-2</c:v>
                </c:pt>
                <c:pt idx="29" formatCode="0.00%">
                  <c:v>2.1613572362725542E-2</c:v>
                </c:pt>
                <c:pt idx="30" formatCode="0.00%">
                  <c:v>1.9576348010033051E-2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DF-4DA4-A185-4CE2DDBEF4A0}"/>
            </c:ext>
          </c:extLst>
        </c:ser>
        <c:ser>
          <c:idx val="1"/>
          <c:order val="1"/>
          <c:tx>
            <c:strRef>
              <c:f>Summary!$A$89</c:f>
              <c:strCache>
                <c:ptCount val="1"/>
                <c:pt idx="0">
                  <c:v>WEM</c:v>
                </c:pt>
              </c:strCache>
            </c:strRef>
          </c:tx>
          <c:spPr>
            <a:ln w="28575" cap="rnd">
              <a:solidFill>
                <a:srgbClr val="231EDC"/>
              </a:solidFill>
              <a:round/>
            </a:ln>
            <a:effectLst/>
          </c:spPr>
          <c:marker>
            <c:symbol val="none"/>
          </c:marker>
          <c:cat>
            <c:numRef>
              <c:f>Summary!$F$86:$AJ$86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Summary!$F$89:$AJ$89</c:f>
              <c:numCache>
                <c:formatCode>0.00%</c:formatCode>
                <c:ptCount val="31"/>
                <c:pt idx="0">
                  <c:v>3.6370211206070424E-2</c:v>
                </c:pt>
                <c:pt idx="1">
                  <c:v>2.4914972428007331E-2</c:v>
                </c:pt>
                <c:pt idx="2">
                  <c:v>4.2139389413318851E-2</c:v>
                </c:pt>
                <c:pt idx="3">
                  <c:v>-2.0964218262528922E-2</c:v>
                </c:pt>
                <c:pt idx="4">
                  <c:v>0.13004141563517746</c:v>
                </c:pt>
                <c:pt idx="5">
                  <c:v>3.1929560547924618E-2</c:v>
                </c:pt>
                <c:pt idx="6">
                  <c:v>2.5257808997160458E-2</c:v>
                </c:pt>
                <c:pt idx="7">
                  <c:v>3.1213004682392409E-2</c:v>
                </c:pt>
                <c:pt idx="8">
                  <c:v>3.2358661103638608E-2</c:v>
                </c:pt>
                <c:pt idx="9">
                  <c:v>4.8767634854771647E-2</c:v>
                </c:pt>
                <c:pt idx="10">
                  <c:v>8.4137478091259377E-2</c:v>
                </c:pt>
                <c:pt idx="11">
                  <c:v>9.4157704392761055E-2</c:v>
                </c:pt>
                <c:pt idx="12">
                  <c:v>7.3444066439863898E-2</c:v>
                </c:pt>
                <c:pt idx="13">
                  <c:v>6.880437484464319E-2</c:v>
                </c:pt>
                <c:pt idx="14">
                  <c:v>6.6715312340108968E-2</c:v>
                </c:pt>
                <c:pt idx="15">
                  <c:v>4.0738555161328294E-2</c:v>
                </c:pt>
                <c:pt idx="16">
                  <c:v>4.0738555161328294E-2</c:v>
                </c:pt>
                <c:pt idx="17">
                  <c:v>4.0738555161328294E-2</c:v>
                </c:pt>
                <c:pt idx="18">
                  <c:v>4.0738555161328294E-2</c:v>
                </c:pt>
                <c:pt idx="19">
                  <c:v>4.0738555161328294E-2</c:v>
                </c:pt>
                <c:pt idx="20">
                  <c:v>4.0738555161328294E-2</c:v>
                </c:pt>
                <c:pt idx="21">
                  <c:v>4.0738555161328294E-2</c:v>
                </c:pt>
                <c:pt idx="22">
                  <c:v>4.0738555161328294E-2</c:v>
                </c:pt>
                <c:pt idx="23">
                  <c:v>4.0738555161328294E-2</c:v>
                </c:pt>
                <c:pt idx="24">
                  <c:v>4.0738555161328294E-2</c:v>
                </c:pt>
                <c:pt idx="25">
                  <c:v>4.0738555161328294E-2</c:v>
                </c:pt>
                <c:pt idx="26">
                  <c:v>4.0738555161328294E-2</c:v>
                </c:pt>
                <c:pt idx="27">
                  <c:v>4.0738555161328294E-2</c:v>
                </c:pt>
                <c:pt idx="28">
                  <c:v>4.0738555161328294E-2</c:v>
                </c:pt>
                <c:pt idx="29">
                  <c:v>4.0738555161328294E-2</c:v>
                </c:pt>
                <c:pt idx="30">
                  <c:v>4.0738555161328294E-2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CB-4EEB-8BA8-FD2289002178}"/>
            </c:ext>
          </c:extLst>
        </c:ser>
        <c:ser>
          <c:idx val="2"/>
          <c:order val="2"/>
          <c:tx>
            <c:strRef>
              <c:f>Summary!$A$90</c:f>
              <c:strCache>
                <c:ptCount val="1"/>
                <c:pt idx="0">
                  <c:v>NWIS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Summary!$F$86:$AJ$86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Summary!$F$90:$AJ$90</c:f>
              <c:numCache>
                <c:formatCode>0.00%</c:formatCode>
                <c:ptCount val="31"/>
                <c:pt idx="1">
                  <c:v>1.7391304347826209E-2</c:v>
                </c:pt>
                <c:pt idx="2">
                  <c:v>2.564102564102555E-2</c:v>
                </c:pt>
                <c:pt idx="3">
                  <c:v>-4.1666666666666852E-2</c:v>
                </c:pt>
                <c:pt idx="4">
                  <c:v>0.11574349811395668</c:v>
                </c:pt>
                <c:pt idx="5">
                  <c:v>0</c:v>
                </c:pt>
                <c:pt idx="6">
                  <c:v>-6.4768683274021299E-2</c:v>
                </c:pt>
                <c:pt idx="7">
                  <c:v>1.1904761904762085E-2</c:v>
                </c:pt>
                <c:pt idx="8">
                  <c:v>1.1764705882352899E-2</c:v>
                </c:pt>
                <c:pt idx="9">
                  <c:v>1.1627906976744207E-2</c:v>
                </c:pt>
                <c:pt idx="10">
                  <c:v>1.1494252873563537E-2</c:v>
                </c:pt>
                <c:pt idx="11">
                  <c:v>1.1363636363636243E-2</c:v>
                </c:pt>
                <c:pt idx="12">
                  <c:v>1.1235955056180025E-2</c:v>
                </c:pt>
                <c:pt idx="13">
                  <c:v>1.1111111111111294E-2</c:v>
                </c:pt>
                <c:pt idx="14">
                  <c:v>1.098901098901095E-2</c:v>
                </c:pt>
                <c:pt idx="15">
                  <c:v>1.0869565217391131E-2</c:v>
                </c:pt>
                <c:pt idx="16">
                  <c:v>1.0752688172043223E-2</c:v>
                </c:pt>
                <c:pt idx="17">
                  <c:v>1.0638297872340274E-2</c:v>
                </c:pt>
                <c:pt idx="18">
                  <c:v>1.0526315789473717E-2</c:v>
                </c:pt>
                <c:pt idx="19">
                  <c:v>1.0416666666666519E-2</c:v>
                </c:pt>
                <c:pt idx="20">
                  <c:v>1.0309278350515427E-2</c:v>
                </c:pt>
                <c:pt idx="21">
                  <c:v>1.107172523041368E-2</c:v>
                </c:pt>
                <c:pt idx="22">
                  <c:v>1.107172523041368E-2</c:v>
                </c:pt>
                <c:pt idx="23">
                  <c:v>1.107172523041368E-2</c:v>
                </c:pt>
                <c:pt idx="24">
                  <c:v>1.107172523041368E-2</c:v>
                </c:pt>
                <c:pt idx="25">
                  <c:v>1.107172523041368E-2</c:v>
                </c:pt>
                <c:pt idx="26">
                  <c:v>1.107172523041368E-2</c:v>
                </c:pt>
                <c:pt idx="27">
                  <c:v>1.107172523041368E-2</c:v>
                </c:pt>
                <c:pt idx="28">
                  <c:v>1.107172523041368E-2</c:v>
                </c:pt>
                <c:pt idx="29">
                  <c:v>1.107172523041368E-2</c:v>
                </c:pt>
                <c:pt idx="30">
                  <c:v>1.107172523041368E-2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CB-4EEB-8BA8-FD2289002178}"/>
            </c:ext>
          </c:extLst>
        </c:ser>
        <c:ser>
          <c:idx val="3"/>
          <c:order val="3"/>
          <c:tx>
            <c:strRef>
              <c:f>Summary!$A$91</c:f>
              <c:strCache>
                <c:ptCount val="1"/>
                <c:pt idx="0">
                  <c:v>DKIS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Summary!$F$86:$AJ$86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Summary!$F$91:$AJ$91</c:f>
              <c:numCache>
                <c:formatCode>General</c:formatCode>
                <c:ptCount val="31"/>
                <c:pt idx="4" formatCode="0.00%">
                  <c:v>-1.2539186200812846E-3</c:v>
                </c:pt>
                <c:pt idx="5" formatCode="0.00%">
                  <c:v>3.6889556988603189E-2</c:v>
                </c:pt>
                <c:pt idx="6" formatCode="0.00%">
                  <c:v>2.4321834513924889E-2</c:v>
                </c:pt>
                <c:pt idx="7" formatCode="0.00%">
                  <c:v>-1.9278113179646006E-3</c:v>
                </c:pt>
                <c:pt idx="8" formatCode="0.00%">
                  <c:v>-1.5178374110254023E-3</c:v>
                </c:pt>
                <c:pt idx="9" formatCode="0.00%">
                  <c:v>-1.5902995770448181E-3</c:v>
                </c:pt>
                <c:pt idx="10" formatCode="0.00%">
                  <c:v>-1.2665671047902283E-3</c:v>
                </c:pt>
                <c:pt idx="11" formatCode="0.00%">
                  <c:v>-9.5849371166267794E-4</c:v>
                </c:pt>
                <c:pt idx="12" formatCode="0.00%">
                  <c:v>-7.0533978517317575E-4</c:v>
                </c:pt>
                <c:pt idx="13" formatCode="0.00%">
                  <c:v>-8.4030091757081316E-4</c:v>
                </c:pt>
                <c:pt idx="14" formatCode="0.00%">
                  <c:v>1.098901098901095E-2</c:v>
                </c:pt>
                <c:pt idx="15" formatCode="0.00%">
                  <c:v>1.0869565217391131E-2</c:v>
                </c:pt>
                <c:pt idx="16" formatCode="0.00%">
                  <c:v>1.0752688172043223E-2</c:v>
                </c:pt>
                <c:pt idx="17" formatCode="0.00%">
                  <c:v>1.0638297872340274E-2</c:v>
                </c:pt>
                <c:pt idx="18" formatCode="0.00%">
                  <c:v>1.0526315789473717E-2</c:v>
                </c:pt>
                <c:pt idx="19" formatCode="0.00%">
                  <c:v>1.0416666666666519E-2</c:v>
                </c:pt>
                <c:pt idx="20" formatCode="0.00%">
                  <c:v>1.0309278350515427E-2</c:v>
                </c:pt>
                <c:pt idx="21" formatCode="0.00%">
                  <c:v>1.1071725230413776E-2</c:v>
                </c:pt>
                <c:pt idx="22" formatCode="0.00%">
                  <c:v>1.1071725230413776E-2</c:v>
                </c:pt>
                <c:pt idx="23" formatCode="0.00%">
                  <c:v>1.1071725230413776E-2</c:v>
                </c:pt>
                <c:pt idx="24" formatCode="0.00%">
                  <c:v>1.1071725230413776E-2</c:v>
                </c:pt>
                <c:pt idx="25" formatCode="0.00%">
                  <c:v>1.1071725230413776E-2</c:v>
                </c:pt>
                <c:pt idx="26" formatCode="0.00%">
                  <c:v>1.1071725230413776E-2</c:v>
                </c:pt>
                <c:pt idx="27" formatCode="0.00%">
                  <c:v>1.1071725230413776E-2</c:v>
                </c:pt>
                <c:pt idx="28" formatCode="0.00%">
                  <c:v>1.1071725230413776E-2</c:v>
                </c:pt>
                <c:pt idx="29" formatCode="0.00%">
                  <c:v>1.1071725230413776E-2</c:v>
                </c:pt>
                <c:pt idx="30" formatCode="0.00%">
                  <c:v>1.1071725230413776E-2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CB-4EEB-8BA8-FD2289002178}"/>
            </c:ext>
          </c:extLst>
        </c:ser>
        <c:ser>
          <c:idx val="4"/>
          <c:order val="4"/>
          <c:tx>
            <c:strRef>
              <c:f>Summary!$A$92</c:f>
              <c:strCache>
                <c:ptCount val="1"/>
                <c:pt idx="0">
                  <c:v>ALICE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Summary!$F$86:$AJ$86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Summary!$F$92:$AJ$92</c:f>
              <c:numCache>
                <c:formatCode>General</c:formatCode>
                <c:ptCount val="31"/>
                <c:pt idx="4" formatCode="0.00%">
                  <c:v>5.8721891383267444E-2</c:v>
                </c:pt>
                <c:pt idx="5" formatCode="0.00%">
                  <c:v>0.10219786929278807</c:v>
                </c:pt>
                <c:pt idx="6" formatCode="0.00%">
                  <c:v>5.787612767285033E-2</c:v>
                </c:pt>
                <c:pt idx="7" formatCode="0.00%">
                  <c:v>-4.4602582685349113E-4</c:v>
                </c:pt>
                <c:pt idx="8" formatCode="0.00%">
                  <c:v>2.7968190930449666E-4</c:v>
                </c:pt>
                <c:pt idx="9" formatCode="0.00%">
                  <c:v>-2.9762202123917447E-4</c:v>
                </c:pt>
                <c:pt idx="10" formatCode="0.00%">
                  <c:v>3.592276497104141E-4</c:v>
                </c:pt>
                <c:pt idx="11" formatCode="0.00%">
                  <c:v>4.818963921926489E-4</c:v>
                </c:pt>
                <c:pt idx="12" formatCode="0.00%">
                  <c:v>1.3796128648582151E-3</c:v>
                </c:pt>
                <c:pt idx="13" formatCode="0.00%">
                  <c:v>4.8363668227602297E-4</c:v>
                </c:pt>
                <c:pt idx="14" formatCode="0.00%">
                  <c:v>1.098901098901095E-2</c:v>
                </c:pt>
                <c:pt idx="15" formatCode="0.00%">
                  <c:v>1.0869565217391131E-2</c:v>
                </c:pt>
                <c:pt idx="16" formatCode="0.00%">
                  <c:v>1.0752688172043223E-2</c:v>
                </c:pt>
                <c:pt idx="17" formatCode="0.00%">
                  <c:v>1.0638297872340274E-2</c:v>
                </c:pt>
                <c:pt idx="18" formatCode="0.00%">
                  <c:v>1.0526315789473717E-2</c:v>
                </c:pt>
                <c:pt idx="19" formatCode="0.00%">
                  <c:v>1.0416666666666519E-2</c:v>
                </c:pt>
                <c:pt idx="20" formatCode="0.00%">
                  <c:v>1.0309278350515427E-2</c:v>
                </c:pt>
                <c:pt idx="21" formatCode="0.00%">
                  <c:v>1.1071725230413776E-2</c:v>
                </c:pt>
                <c:pt idx="22" formatCode="0.00%">
                  <c:v>1.1071725230413776E-2</c:v>
                </c:pt>
                <c:pt idx="23" formatCode="0.00%">
                  <c:v>1.1071725230413776E-2</c:v>
                </c:pt>
                <c:pt idx="24" formatCode="0.00%">
                  <c:v>1.1071725230413776E-2</c:v>
                </c:pt>
                <c:pt idx="25" formatCode="0.00%">
                  <c:v>1.1071725230413776E-2</c:v>
                </c:pt>
                <c:pt idx="26" formatCode="0.00%">
                  <c:v>1.1071725230413776E-2</c:v>
                </c:pt>
                <c:pt idx="27" formatCode="0.00%">
                  <c:v>1.1071725230413776E-2</c:v>
                </c:pt>
                <c:pt idx="28" formatCode="0.00%">
                  <c:v>1.1071725230413776E-2</c:v>
                </c:pt>
                <c:pt idx="29" formatCode="0.00%">
                  <c:v>1.1071725230413776E-2</c:v>
                </c:pt>
                <c:pt idx="30" formatCode="0.00%">
                  <c:v>1.1071725230413776E-2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CB-4EEB-8BA8-FD2289002178}"/>
            </c:ext>
          </c:extLst>
        </c:ser>
        <c:ser>
          <c:idx val="5"/>
          <c:order val="5"/>
          <c:tx>
            <c:strRef>
              <c:f>Summary!$A$93</c:f>
              <c:strCache>
                <c:ptCount val="1"/>
                <c:pt idx="0">
                  <c:v>MT ISA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Summary!$F$86:$AJ$86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Summary!$F$93:$AJ$93</c:f>
              <c:numCache>
                <c:formatCode>0.00%</c:formatCode>
                <c:ptCount val="31"/>
                <c:pt idx="1">
                  <c:v>6.3243094070733585E-2</c:v>
                </c:pt>
                <c:pt idx="2">
                  <c:v>-3.88192154089263E-2</c:v>
                </c:pt>
                <c:pt idx="3">
                  <c:v>-7.5586006462425859E-3</c:v>
                </c:pt>
                <c:pt idx="4">
                  <c:v>-0.19308549996672231</c:v>
                </c:pt>
                <c:pt idx="5">
                  <c:v>5.0720254332989878E-2</c:v>
                </c:pt>
                <c:pt idx="6">
                  <c:v>-0.1016663677717039</c:v>
                </c:pt>
                <c:pt idx="7">
                  <c:v>-9.2000608909331372E-2</c:v>
                </c:pt>
                <c:pt idx="8">
                  <c:v>-9.9216585663778778E-2</c:v>
                </c:pt>
                <c:pt idx="9">
                  <c:v>-5.4620355094117889E-2</c:v>
                </c:pt>
                <c:pt idx="10">
                  <c:v>-0.14143263763213465</c:v>
                </c:pt>
                <c:pt idx="11">
                  <c:v>-0.1105248842632115</c:v>
                </c:pt>
                <c:pt idx="12">
                  <c:v>-1.9617941335802302E-2</c:v>
                </c:pt>
                <c:pt idx="13">
                  <c:v>-6.2048279024020679E-2</c:v>
                </c:pt>
                <c:pt idx="14">
                  <c:v>-6.2048279024020679E-2</c:v>
                </c:pt>
                <c:pt idx="15">
                  <c:v>-6.2048279024020679E-2</c:v>
                </c:pt>
                <c:pt idx="16">
                  <c:v>-6.2048279024020679E-2</c:v>
                </c:pt>
                <c:pt idx="17">
                  <c:v>-6.2048279024020679E-2</c:v>
                </c:pt>
                <c:pt idx="18">
                  <c:v>-6.2048279024020679E-2</c:v>
                </c:pt>
                <c:pt idx="19">
                  <c:v>-6.2048279024020679E-2</c:v>
                </c:pt>
                <c:pt idx="20">
                  <c:v>-6.2048279024020679E-2</c:v>
                </c:pt>
                <c:pt idx="21">
                  <c:v>-6.2048279024020679E-2</c:v>
                </c:pt>
                <c:pt idx="22">
                  <c:v>-6.2048279024020679E-2</c:v>
                </c:pt>
                <c:pt idx="23">
                  <c:v>-6.2048279024020679E-2</c:v>
                </c:pt>
                <c:pt idx="24">
                  <c:v>-6.2048279024020679E-2</c:v>
                </c:pt>
                <c:pt idx="25">
                  <c:v>-6.2048279024020679E-2</c:v>
                </c:pt>
                <c:pt idx="26">
                  <c:v>-6.2048279024020679E-2</c:v>
                </c:pt>
                <c:pt idx="27">
                  <c:v>-6.2048279024020679E-2</c:v>
                </c:pt>
                <c:pt idx="28">
                  <c:v>-6.2048279024020679E-2</c:v>
                </c:pt>
                <c:pt idx="29">
                  <c:v>-6.2048279024020679E-2</c:v>
                </c:pt>
                <c:pt idx="30">
                  <c:v>-6.2048279024020679E-2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CB-4EEB-8BA8-FD2289002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11367"/>
        <c:axId val="62613167"/>
      </c:lineChart>
      <c:catAx>
        <c:axId val="62611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13167"/>
        <c:crosses val="autoZero"/>
        <c:auto val="1"/>
        <c:lblAlgn val="ctr"/>
        <c:lblOffset val="100"/>
        <c:noMultiLvlLbl val="0"/>
      </c:catAx>
      <c:valAx>
        <c:axId val="6261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11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Demand</a:t>
            </a:r>
            <a:r>
              <a:rPr lang="en-AU" baseline="0"/>
              <a:t> projections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>
        <c:manualLayout>
          <c:layoutTarget val="inner"/>
          <c:xMode val="edge"/>
          <c:yMode val="edge"/>
          <c:x val="5.5434873893590739E-2"/>
          <c:y val="9.0935427348439374E-2"/>
          <c:w val="0.82024010822243409"/>
          <c:h val="0.8513747741676112"/>
        </c:manualLayout>
      </c:layout>
      <c:lineChart>
        <c:grouping val="standard"/>
        <c:varyColors val="0"/>
        <c:ser>
          <c:idx val="2"/>
          <c:order val="2"/>
          <c:tx>
            <c:strRef>
              <c:f>Summary!$A$39</c:f>
              <c:strCache>
                <c:ptCount val="1"/>
                <c:pt idx="0">
                  <c:v>NWIS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Summary!$E$44:$AJ$44</c:f>
              <c:numCache>
                <c:formatCode>_-* #,##0_-;\-* #,##0_-;_-* "-"??_-;_-@_-</c:formatCode>
                <c:ptCount val="32"/>
                <c:pt idx="1">
                  <c:v>2712.2667576512454</c:v>
                </c:pt>
                <c:pt idx="2">
                  <c:v>2759.4366143060502</c:v>
                </c:pt>
                <c:pt idx="3">
                  <c:v>2830.1913992882564</c:v>
                </c:pt>
                <c:pt idx="4">
                  <c:v>2712.2667576512454</c:v>
                </c:pt>
                <c:pt idx="5">
                  <c:v>3026.194</c:v>
                </c:pt>
                <c:pt idx="6">
                  <c:v>3026.194</c:v>
                </c:pt>
                <c:pt idx="7">
                  <c:v>2830.1913992882564</c:v>
                </c:pt>
                <c:pt idx="8">
                  <c:v>2863.8841540416884</c:v>
                </c:pt>
                <c:pt idx="9">
                  <c:v>2897.5769087951198</c:v>
                </c:pt>
                <c:pt idx="10">
                  <c:v>2931.2696635485513</c:v>
                </c:pt>
                <c:pt idx="11">
                  <c:v>2964.9624183019837</c:v>
                </c:pt>
                <c:pt idx="12">
                  <c:v>2998.6551730554147</c:v>
                </c:pt>
                <c:pt idx="13">
                  <c:v>3032.3479278088471</c:v>
                </c:pt>
                <c:pt idx="14">
                  <c:v>3066.040682562279</c:v>
                </c:pt>
                <c:pt idx="15">
                  <c:v>3099.7334373157105</c:v>
                </c:pt>
                <c:pt idx="16">
                  <c:v>3133.4261920691415</c:v>
                </c:pt>
                <c:pt idx="17">
                  <c:v>3167.1189468225739</c:v>
                </c:pt>
                <c:pt idx="18">
                  <c:v>3200.8117015760049</c:v>
                </c:pt>
                <c:pt idx="19">
                  <c:v>3234.5044563294368</c:v>
                </c:pt>
                <c:pt idx="20">
                  <c:v>3268.1972110828679</c:v>
                </c:pt>
                <c:pt idx="21">
                  <c:v>3301.8899658362993</c:v>
                </c:pt>
                <c:pt idx="22">
                  <c:v>3338.4475842790994</c:v>
                </c:pt>
                <c:pt idx="23">
                  <c:v>3375.409958628376</c:v>
                </c:pt>
                <c:pt idx="24">
                  <c:v>3412.7815702303119</c:v>
                </c:pt>
                <c:pt idx="25">
                  <c:v>3450.5669500473218</c:v>
                </c:pt>
                <c:pt idx="26">
                  <c:v>3488.7706792073927</c:v>
                </c:pt>
                <c:pt idx="27">
                  <c:v>3527.3973895595009</c:v>
                </c:pt>
                <c:pt idx="28">
                  <c:v>3566.4517642351825</c:v>
                </c:pt>
                <c:pt idx="29">
                  <c:v>3605.9385382163191</c:v>
                </c:pt>
                <c:pt idx="30">
                  <c:v>3645.86249890921</c:v>
                </c:pt>
                <c:pt idx="31">
                  <c:v>3686.2284867250023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7-4244-B5DF-FAC9E1A8D13C}"/>
            </c:ext>
          </c:extLst>
        </c:ser>
        <c:ser>
          <c:idx val="3"/>
          <c:order val="3"/>
          <c:tx>
            <c:strRef>
              <c:f>Summary!$A$70</c:f>
              <c:strCache>
                <c:ptCount val="1"/>
                <c:pt idx="0">
                  <c:v>DKIS and Alice Springs Total Northern Territory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Summary!$E$70:$AJ$70</c:f>
              <c:numCache>
                <c:formatCode>_-* #,##0_-;\-* #,##0_-;_-* "-"??_-;_-@_-</c:formatCode>
                <c:ptCount val="32"/>
                <c:pt idx="0">
                  <c:v>1902.4575643249377</c:v>
                </c:pt>
                <c:pt idx="1">
                  <c:v>1849.3182815999196</c:v>
                </c:pt>
                <c:pt idx="2">
                  <c:v>1813.7204155583709</c:v>
                </c:pt>
                <c:pt idx="3">
                  <c:v>1900.4815661000009</c:v>
                </c:pt>
                <c:pt idx="4">
                  <c:v>1815.8226151425536</c:v>
                </c:pt>
                <c:pt idx="5">
                  <c:v>1836.2046070760425</c:v>
                </c:pt>
                <c:pt idx="6">
                  <c:v>1922.8737210460888</c:v>
                </c:pt>
                <c:pt idx="7">
                  <c:v>1983.4874254174347</c:v>
                </c:pt>
                <c:pt idx="8">
                  <c:v>1989.2490676305774</c:v>
                </c:pt>
                <c:pt idx="9">
                  <c:v>1995.8832355683401</c:v>
                </c:pt>
                <c:pt idx="10">
                  <c:v>2002.2458063574079</c:v>
                </c:pt>
                <c:pt idx="11">
                  <c:v>2009.2966571341508</c:v>
                </c:pt>
                <c:pt idx="12">
                  <c:v>2016.8833693583242</c:v>
                </c:pt>
                <c:pt idx="13">
                  <c:v>2025.0941264422424</c:v>
                </c:pt>
                <c:pt idx="14">
                  <c:v>2029.7040362866524</c:v>
                </c:pt>
                <c:pt idx="15">
                  <c:v>2052.0084762458464</c:v>
                </c:pt>
                <c:pt idx="16">
                  <c:v>2074.31291620504</c:v>
                </c:pt>
                <c:pt idx="17">
                  <c:v>2096.617356164234</c:v>
                </c:pt>
                <c:pt idx="18">
                  <c:v>2118.9217961234281</c:v>
                </c:pt>
                <c:pt idx="19">
                  <c:v>2141.2262360826217</c:v>
                </c:pt>
                <c:pt idx="20">
                  <c:v>2163.5306760418157</c:v>
                </c:pt>
                <c:pt idx="21">
                  <c:v>2185.8351160010097</c:v>
                </c:pt>
                <c:pt idx="22">
                  <c:v>2210.0360818043623</c:v>
                </c:pt>
                <c:pt idx="23">
                  <c:v>2234.5049940514004</c:v>
                </c:pt>
                <c:pt idx="24">
                  <c:v>2259.244819371525</c:v>
                </c:pt>
                <c:pt idx="25">
                  <c:v>2284.2585572398425</c:v>
                </c:pt>
                <c:pt idx="26">
                  <c:v>2309.5492403408239</c:v>
                </c:pt>
                <c:pt idx="27">
                  <c:v>2335.1199349359881</c:v>
                </c:pt>
                <c:pt idx="28">
                  <c:v>2360.9737412356612</c:v>
                </c:pt>
                <c:pt idx="29">
                  <c:v>2387.113793774844</c:v>
                </c:pt>
                <c:pt idx="30">
                  <c:v>2413.5432617932497</c:v>
                </c:pt>
                <c:pt idx="31">
                  <c:v>2440.2653496195417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77-4244-B5DF-FAC9E1A8D13C}"/>
            </c:ext>
          </c:extLst>
        </c:ser>
        <c:ser>
          <c:idx val="4"/>
          <c:order val="4"/>
          <c:tx>
            <c:strRef>
              <c:f>Summary!$A$73</c:f>
              <c:strCache>
                <c:ptCount val="1"/>
                <c:pt idx="0">
                  <c:v>MT ISA  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Summary!$E$74:$AJ$74</c:f>
              <c:numCache>
                <c:formatCode>0</c:formatCode>
                <c:ptCount val="32"/>
                <c:pt idx="1">
                  <c:v>2014.7180000000001</c:v>
                </c:pt>
                <c:pt idx="2">
                  <c:v>2142.1350000000002</c:v>
                </c:pt>
                <c:pt idx="3">
                  <c:v>2058.9789999999998</c:v>
                </c:pt>
                <c:pt idx="4">
                  <c:v>2043.4159999999999</c:v>
                </c:pt>
                <c:pt idx="5">
                  <c:v>1648.8620000000001</c:v>
                </c:pt>
                <c:pt idx="6">
                  <c:v>1732.4927000000025</c:v>
                </c:pt>
                <c:pt idx="7">
                  <c:v>1556.35646000001</c:v>
                </c:pt>
                <c:pt idx="8">
                  <c:v>1413.1707180000376</c:v>
                </c:pt>
                <c:pt idx="9">
                  <c:v>1272.960744400043</c:v>
                </c:pt>
                <c:pt idx="10">
                  <c:v>1203.43117652004</c:v>
                </c:pt>
                <c:pt idx="11">
                  <c:v>1033.2267310160678</c:v>
                </c:pt>
                <c:pt idx="12">
                  <c:v>919.02946615286055</c:v>
                </c:pt>
                <c:pt idx="13">
                  <c:v>901</c:v>
                </c:pt>
                <c:pt idx="14">
                  <c:v>901</c:v>
                </c:pt>
                <c:pt idx="15">
                  <c:v>901</c:v>
                </c:pt>
                <c:pt idx="16">
                  <c:v>901</c:v>
                </c:pt>
                <c:pt idx="17">
                  <c:v>901</c:v>
                </c:pt>
                <c:pt idx="18">
                  <c:v>901</c:v>
                </c:pt>
                <c:pt idx="19">
                  <c:v>901</c:v>
                </c:pt>
                <c:pt idx="20">
                  <c:v>901</c:v>
                </c:pt>
                <c:pt idx="21">
                  <c:v>901</c:v>
                </c:pt>
                <c:pt idx="22">
                  <c:v>901</c:v>
                </c:pt>
                <c:pt idx="23">
                  <c:v>901</c:v>
                </c:pt>
                <c:pt idx="24">
                  <c:v>901</c:v>
                </c:pt>
                <c:pt idx="25">
                  <c:v>901</c:v>
                </c:pt>
                <c:pt idx="26">
                  <c:v>901</c:v>
                </c:pt>
                <c:pt idx="27">
                  <c:v>901</c:v>
                </c:pt>
                <c:pt idx="28">
                  <c:v>901</c:v>
                </c:pt>
                <c:pt idx="29">
                  <c:v>901</c:v>
                </c:pt>
                <c:pt idx="30">
                  <c:v>901</c:v>
                </c:pt>
                <c:pt idx="31">
                  <c:v>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77-4244-B5DF-FAC9E1A8D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4536528"/>
        <c:axId val="664537608"/>
      </c:lineChart>
      <c:lineChart>
        <c:grouping val="standar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NEM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008-483D-B758-D93AB2D202C9}"/>
            </c:ext>
          </c:extLst>
        </c:ser>
        <c:ser>
          <c:idx val="1"/>
          <c:order val="1"/>
          <c:tx>
            <c:strRef>
              <c:f>Summary!$A$22</c:f>
              <c:strCache>
                <c:ptCount val="1"/>
                <c:pt idx="0">
                  <c:v>WEM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008-483D-B758-D93AB2D20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665464"/>
        <c:axId val="891667264"/>
      </c:lineChart>
      <c:catAx>
        <c:axId val="66453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37608"/>
        <c:crosses val="autoZero"/>
        <c:auto val="1"/>
        <c:lblAlgn val="ctr"/>
        <c:lblOffset val="100"/>
        <c:noMultiLvlLbl val="0"/>
      </c:catAx>
      <c:valAx>
        <c:axId val="66453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36528"/>
        <c:crosses val="autoZero"/>
        <c:crossBetween val="between"/>
      </c:valAx>
      <c:valAx>
        <c:axId val="8916672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665464"/>
        <c:crosses val="max"/>
        <c:crossBetween val="between"/>
      </c:valAx>
      <c:catAx>
        <c:axId val="891665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916672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13144607924811633"/>
          <c:y val="0.14664984766729752"/>
          <c:w val="0.23712459170281991"/>
          <c:h val="0.205974541811428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Australia underlying demand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Summary!$J$58:$AJ$58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Summary!$J$80:$AJ$80</c:f>
              <c:numCache>
                <c:formatCode>_-* #,##0_-;\-* #,##0_-;_-* "-"??_-;_-@_-</c:formatCode>
                <c:ptCount val="27"/>
                <c:pt idx="0">
                  <c:v>236035.21598047312</c:v>
                </c:pt>
                <c:pt idx="1">
                  <c:v>238339.76042104606</c:v>
                </c:pt>
                <c:pt idx="2">
                  <c:v>243687.7352847057</c:v>
                </c:pt>
                <c:pt idx="3">
                  <c:v>250589.7039396723</c:v>
                </c:pt>
                <c:pt idx="4">
                  <c:v>256777.62088876349</c:v>
                </c:pt>
                <c:pt idx="5">
                  <c:v>262907.34664642601</c:v>
                </c:pt>
                <c:pt idx="6">
                  <c:v>271750.38580645219</c:v>
                </c:pt>
                <c:pt idx="7">
                  <c:v>282363.26800856669</c:v>
                </c:pt>
                <c:pt idx="8">
                  <c:v>293599.84205425106</c:v>
                </c:pt>
                <c:pt idx="9">
                  <c:v>306295.94471884886</c:v>
                </c:pt>
                <c:pt idx="10">
                  <c:v>318349.24191356159</c:v>
                </c:pt>
                <c:pt idx="11">
                  <c:v>326212.87113437534</c:v>
                </c:pt>
                <c:pt idx="12">
                  <c:v>336378.19765214133</c:v>
                </c:pt>
                <c:pt idx="13">
                  <c:v>347805.30233475071</c:v>
                </c:pt>
                <c:pt idx="14">
                  <c:v>359398.26711706788</c:v>
                </c:pt>
                <c:pt idx="15">
                  <c:v>368036.9791182531</c:v>
                </c:pt>
                <c:pt idx="16">
                  <c:v>378907.43492681917</c:v>
                </c:pt>
                <c:pt idx="17">
                  <c:v>388552.40644978755</c:v>
                </c:pt>
                <c:pt idx="18">
                  <c:v>399608.03408773965</c:v>
                </c:pt>
                <c:pt idx="19">
                  <c:v>410126.57777707552</c:v>
                </c:pt>
                <c:pt idx="20">
                  <c:v>421231.72596448025</c:v>
                </c:pt>
                <c:pt idx="21">
                  <c:v>431933.40083980164</c:v>
                </c:pt>
                <c:pt idx="22">
                  <c:v>440725.8637820796</c:v>
                </c:pt>
                <c:pt idx="23">
                  <c:v>449529.62102741195</c:v>
                </c:pt>
                <c:pt idx="24">
                  <c:v>458280.0295676933</c:v>
                </c:pt>
                <c:pt idx="25">
                  <c:v>469329.80328963127</c:v>
                </c:pt>
                <c:pt idx="26">
                  <c:v>479861.81936383061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79-44F5-87E2-098CAB295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773888"/>
        <c:axId val="1078772808"/>
      </c:lineChart>
      <c:catAx>
        <c:axId val="107877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772808"/>
        <c:crosses val="autoZero"/>
        <c:auto val="1"/>
        <c:lblAlgn val="ctr"/>
        <c:lblOffset val="100"/>
        <c:noMultiLvlLbl val="0"/>
      </c:catAx>
      <c:valAx>
        <c:axId val="1078772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77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NEM Demand (AEMO ESOO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Summary!$A$8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Summary!$J$8:$AO$8</c:f>
              <c:numCache>
                <c:formatCode>#,##0</c:formatCode>
                <c:ptCount val="32"/>
                <c:pt idx="1">
                  <c:v>33853.599999999999</c:v>
                </c:pt>
                <c:pt idx="2">
                  <c:v>31302.100000000002</c:v>
                </c:pt>
                <c:pt idx="3">
                  <c:v>28739.800000000003</c:v>
                </c:pt>
                <c:pt idx="4">
                  <c:v>26255.600000000002</c:v>
                </c:pt>
                <c:pt idx="5">
                  <c:v>24153.599999999999</c:v>
                </c:pt>
                <c:pt idx="6">
                  <c:v>22550.6</c:v>
                </c:pt>
                <c:pt idx="7">
                  <c:v>20707.599999999999</c:v>
                </c:pt>
                <c:pt idx="8">
                  <c:v>18727.5</c:v>
                </c:pt>
                <c:pt idx="9">
                  <c:v>16672.899999999998</c:v>
                </c:pt>
                <c:pt idx="10">
                  <c:v>14456.8</c:v>
                </c:pt>
                <c:pt idx="11">
                  <c:v>12350.699999999999</c:v>
                </c:pt>
                <c:pt idx="12">
                  <c:v>10444.4</c:v>
                </c:pt>
                <c:pt idx="13">
                  <c:v>8539.3000000000011</c:v>
                </c:pt>
                <c:pt idx="14">
                  <c:v>6629.8</c:v>
                </c:pt>
                <c:pt idx="15">
                  <c:v>4348.2</c:v>
                </c:pt>
                <c:pt idx="16">
                  <c:v>2382.6</c:v>
                </c:pt>
                <c:pt idx="17">
                  <c:v>391.6</c:v>
                </c:pt>
                <c:pt idx="18">
                  <c:v>-1483.8</c:v>
                </c:pt>
                <c:pt idx="19">
                  <c:v>-3410.5000000000005</c:v>
                </c:pt>
                <c:pt idx="20">
                  <c:v>-5338.5</c:v>
                </c:pt>
                <c:pt idx="21">
                  <c:v>-7226.2000000000007</c:v>
                </c:pt>
                <c:pt idx="22">
                  <c:v>-9541.2000000000007</c:v>
                </c:pt>
                <c:pt idx="23">
                  <c:v>-11900.1</c:v>
                </c:pt>
                <c:pt idx="24">
                  <c:v>-14262.700000000003</c:v>
                </c:pt>
                <c:pt idx="25">
                  <c:v>-16378.4</c:v>
                </c:pt>
                <c:pt idx="26">
                  <c:v>-17704.7</c:v>
                </c:pt>
                <c:pt idx="27">
                  <c:v>-18589.900000000001</c:v>
                </c:pt>
                <c:pt idx="28">
                  <c:v>-19419.900000000001</c:v>
                </c:pt>
                <c:pt idx="29">
                  <c:v>-20138.199999999997</c:v>
                </c:pt>
                <c:pt idx="30">
                  <c:v>-20716.8</c:v>
                </c:pt>
                <c:pt idx="31">
                  <c:v>-21312.024025980478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1-41D5-9006-7CF67209086E}"/>
            </c:ext>
          </c:extLst>
        </c:ser>
        <c:ser>
          <c:idx val="1"/>
          <c:order val="1"/>
          <c:tx>
            <c:strRef>
              <c:f>Summary!$A$9</c:f>
              <c:strCache>
                <c:ptCount val="1"/>
                <c:pt idx="0">
                  <c:v>Business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Summary!$J$9:$AO$9</c:f>
              <c:numCache>
                <c:formatCode>#,##0</c:formatCode>
                <c:ptCount val="32"/>
                <c:pt idx="1">
                  <c:v>129893.20000000001</c:v>
                </c:pt>
                <c:pt idx="2">
                  <c:v>130446.1</c:v>
                </c:pt>
                <c:pt idx="3">
                  <c:v>131462.39999999999</c:v>
                </c:pt>
                <c:pt idx="4">
                  <c:v>131998.5</c:v>
                </c:pt>
                <c:pt idx="5">
                  <c:v>131495.70000000001</c:v>
                </c:pt>
                <c:pt idx="6">
                  <c:v>131164</c:v>
                </c:pt>
                <c:pt idx="7">
                  <c:v>131183.5</c:v>
                </c:pt>
                <c:pt idx="8">
                  <c:v>131720.70000000001</c:v>
                </c:pt>
                <c:pt idx="9">
                  <c:v>131775.4</c:v>
                </c:pt>
                <c:pt idx="10">
                  <c:v>130436.4</c:v>
                </c:pt>
                <c:pt idx="11">
                  <c:v>129646.00000000001</c:v>
                </c:pt>
                <c:pt idx="12">
                  <c:v>129826.2</c:v>
                </c:pt>
                <c:pt idx="13">
                  <c:v>130154.59999999999</c:v>
                </c:pt>
                <c:pt idx="14">
                  <c:v>130688.00000000001</c:v>
                </c:pt>
                <c:pt idx="15">
                  <c:v>129744.29999999999</c:v>
                </c:pt>
                <c:pt idx="16">
                  <c:v>128514.99999999999</c:v>
                </c:pt>
                <c:pt idx="17">
                  <c:v>127567.50000000003</c:v>
                </c:pt>
                <c:pt idx="18">
                  <c:v>126671.8</c:v>
                </c:pt>
                <c:pt idx="19">
                  <c:v>125619.1</c:v>
                </c:pt>
                <c:pt idx="20">
                  <c:v>124592.39999999998</c:v>
                </c:pt>
                <c:pt idx="21">
                  <c:v>124089.7</c:v>
                </c:pt>
                <c:pt idx="22">
                  <c:v>122730.49999999999</c:v>
                </c:pt>
                <c:pt idx="23">
                  <c:v>121088.7</c:v>
                </c:pt>
                <c:pt idx="24">
                  <c:v>119254.69999999998</c:v>
                </c:pt>
                <c:pt idx="25">
                  <c:v>117819.59999999998</c:v>
                </c:pt>
                <c:pt idx="26">
                  <c:v>116035.40000000001</c:v>
                </c:pt>
                <c:pt idx="27">
                  <c:v>114775.1</c:v>
                </c:pt>
                <c:pt idx="28">
                  <c:v>113852.90000000001</c:v>
                </c:pt>
                <c:pt idx="29">
                  <c:v>113360.8</c:v>
                </c:pt>
                <c:pt idx="30">
                  <c:v>112777.09999999999</c:v>
                </c:pt>
                <c:pt idx="31">
                  <c:v>112196.40549828511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F1-41D5-9006-7CF67209086E}"/>
            </c:ext>
          </c:extLst>
        </c:ser>
        <c:ser>
          <c:idx val="2"/>
          <c:order val="2"/>
          <c:tx>
            <c:strRef>
              <c:f>Summary!$A$10</c:f>
              <c:strCache>
                <c:ptCount val="1"/>
                <c:pt idx="0">
                  <c:v>Electrification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Summary!$J$10:$AO$10</c:f>
              <c:numCache>
                <c:formatCode>#,##0</c:formatCode>
                <c:ptCount val="32"/>
                <c:pt idx="1">
                  <c:v>1456.6</c:v>
                </c:pt>
                <c:pt idx="2">
                  <c:v>3974.6</c:v>
                </c:pt>
                <c:pt idx="3">
                  <c:v>6844.5</c:v>
                </c:pt>
                <c:pt idx="4">
                  <c:v>9337</c:v>
                </c:pt>
                <c:pt idx="5">
                  <c:v>12028.500000000002</c:v>
                </c:pt>
                <c:pt idx="6">
                  <c:v>14029.1</c:v>
                </c:pt>
                <c:pt idx="7">
                  <c:v>15768.2</c:v>
                </c:pt>
                <c:pt idx="8">
                  <c:v>17348.8</c:v>
                </c:pt>
                <c:pt idx="9">
                  <c:v>18773</c:v>
                </c:pt>
                <c:pt idx="10">
                  <c:v>20296</c:v>
                </c:pt>
                <c:pt idx="11">
                  <c:v>21450.1</c:v>
                </c:pt>
                <c:pt idx="12">
                  <c:v>23670.5</c:v>
                </c:pt>
                <c:pt idx="13">
                  <c:v>25710.799999999999</c:v>
                </c:pt>
                <c:pt idx="14">
                  <c:v>27575.1</c:v>
                </c:pt>
                <c:pt idx="15">
                  <c:v>28826.6</c:v>
                </c:pt>
                <c:pt idx="16">
                  <c:v>30376.7</c:v>
                </c:pt>
                <c:pt idx="17">
                  <c:v>32080.200000000004</c:v>
                </c:pt>
                <c:pt idx="18">
                  <c:v>33785.300000000003</c:v>
                </c:pt>
                <c:pt idx="19">
                  <c:v>34984.299999999996</c:v>
                </c:pt>
                <c:pt idx="20">
                  <c:v>35938.9</c:v>
                </c:pt>
                <c:pt idx="21">
                  <c:v>36658.5</c:v>
                </c:pt>
                <c:pt idx="22">
                  <c:v>37278</c:v>
                </c:pt>
                <c:pt idx="23">
                  <c:v>38008.899999999994</c:v>
                </c:pt>
                <c:pt idx="24">
                  <c:v>38496.5</c:v>
                </c:pt>
                <c:pt idx="25">
                  <c:v>38635.800000000003</c:v>
                </c:pt>
                <c:pt idx="26">
                  <c:v>38736.699999999997</c:v>
                </c:pt>
                <c:pt idx="27">
                  <c:v>38844.9</c:v>
                </c:pt>
                <c:pt idx="28">
                  <c:v>39249.899999999994</c:v>
                </c:pt>
                <c:pt idx="29">
                  <c:v>39600.800000000003</c:v>
                </c:pt>
                <c:pt idx="30">
                  <c:v>40014.200000000004</c:v>
                </c:pt>
                <c:pt idx="31">
                  <c:v>40431.915558271554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F1-41D5-9006-7CF67209086E}"/>
            </c:ext>
          </c:extLst>
        </c:ser>
        <c:ser>
          <c:idx val="3"/>
          <c:order val="3"/>
          <c:tx>
            <c:strRef>
              <c:f>Summary!$A$11</c:f>
              <c:strCache>
                <c:ptCount val="1"/>
                <c:pt idx="0">
                  <c:v>Electric Vehicles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Summary!$J$11:$AO$11</c:f>
              <c:numCache>
                <c:formatCode>#,##0</c:formatCode>
                <c:ptCount val="32"/>
                <c:pt idx="1">
                  <c:v>719.09999999999991</c:v>
                </c:pt>
                <c:pt idx="2">
                  <c:v>1248.5</c:v>
                </c:pt>
                <c:pt idx="3">
                  <c:v>1961.5</c:v>
                </c:pt>
                <c:pt idx="4">
                  <c:v>2877.8</c:v>
                </c:pt>
                <c:pt idx="5">
                  <c:v>3927.9</c:v>
                </c:pt>
                <c:pt idx="6">
                  <c:v>5122.8</c:v>
                </c:pt>
                <c:pt idx="7">
                  <c:v>6457.4</c:v>
                </c:pt>
                <c:pt idx="8">
                  <c:v>7918.5999999999995</c:v>
                </c:pt>
                <c:pt idx="9">
                  <c:v>9435.9</c:v>
                </c:pt>
                <c:pt idx="10">
                  <c:v>11070</c:v>
                </c:pt>
                <c:pt idx="11">
                  <c:v>12812.4</c:v>
                </c:pt>
                <c:pt idx="12">
                  <c:v>15489.9</c:v>
                </c:pt>
                <c:pt idx="13">
                  <c:v>18800.599999999999</c:v>
                </c:pt>
                <c:pt idx="14">
                  <c:v>22160.899999999998</c:v>
                </c:pt>
                <c:pt idx="15">
                  <c:v>25525.600000000002</c:v>
                </c:pt>
                <c:pt idx="16">
                  <c:v>28983.899999999998</c:v>
                </c:pt>
                <c:pt idx="17">
                  <c:v>32281.600000000006</c:v>
                </c:pt>
                <c:pt idx="18">
                  <c:v>35648.9</c:v>
                </c:pt>
                <c:pt idx="19">
                  <c:v>39032.699999999997</c:v>
                </c:pt>
                <c:pt idx="20">
                  <c:v>42528.3</c:v>
                </c:pt>
                <c:pt idx="21">
                  <c:v>45805.8</c:v>
                </c:pt>
                <c:pt idx="22">
                  <c:v>49220</c:v>
                </c:pt>
                <c:pt idx="23">
                  <c:v>52621.8</c:v>
                </c:pt>
                <c:pt idx="24">
                  <c:v>56163.5</c:v>
                </c:pt>
                <c:pt idx="25">
                  <c:v>59423.299999999996</c:v>
                </c:pt>
                <c:pt idx="26">
                  <c:v>62829.4</c:v>
                </c:pt>
                <c:pt idx="27">
                  <c:v>66196.099999999991</c:v>
                </c:pt>
                <c:pt idx="28">
                  <c:v>69796.400000000009</c:v>
                </c:pt>
                <c:pt idx="29">
                  <c:v>72938.200000000012</c:v>
                </c:pt>
                <c:pt idx="30">
                  <c:v>76309.7</c:v>
                </c:pt>
                <c:pt idx="31">
                  <c:v>79837.044430627546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F1-41D5-9006-7CF67209086E}"/>
            </c:ext>
          </c:extLst>
        </c:ser>
        <c:ser>
          <c:idx val="4"/>
          <c:order val="4"/>
          <c:tx>
            <c:strRef>
              <c:f>Summary!$A$12</c:f>
              <c:strCache>
                <c:ptCount val="1"/>
                <c:pt idx="0">
                  <c:v>Hydrogen Production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Summary!$J$12:$AO$12</c:f>
              <c:numCache>
                <c:formatCode>#,##0</c:formatCode>
                <c:ptCount val="32"/>
                <c:pt idx="1">
                  <c:v>110.8</c:v>
                </c:pt>
                <c:pt idx="2">
                  <c:v>556</c:v>
                </c:pt>
                <c:pt idx="3">
                  <c:v>1111.8</c:v>
                </c:pt>
                <c:pt idx="4">
                  <c:v>1395.2</c:v>
                </c:pt>
                <c:pt idx="5">
                  <c:v>2003.6999999999998</c:v>
                </c:pt>
                <c:pt idx="6">
                  <c:v>4634.8999999999996</c:v>
                </c:pt>
                <c:pt idx="7">
                  <c:v>8203.0999999999985</c:v>
                </c:pt>
                <c:pt idx="8">
                  <c:v>12027.900000000001</c:v>
                </c:pt>
                <c:pt idx="9">
                  <c:v>17895</c:v>
                </c:pt>
                <c:pt idx="10">
                  <c:v>24451.5</c:v>
                </c:pt>
                <c:pt idx="11">
                  <c:v>27328.9</c:v>
                </c:pt>
                <c:pt idx="12">
                  <c:v>29291.800000000003</c:v>
                </c:pt>
                <c:pt idx="13">
                  <c:v>31354.300000000003</c:v>
                </c:pt>
                <c:pt idx="14">
                  <c:v>33603.800000000003</c:v>
                </c:pt>
                <c:pt idx="15">
                  <c:v>34718.300000000003</c:v>
                </c:pt>
                <c:pt idx="16">
                  <c:v>37271</c:v>
                </c:pt>
                <c:pt idx="17">
                  <c:v>38781.4</c:v>
                </c:pt>
                <c:pt idx="18">
                  <c:v>41329.300000000003</c:v>
                </c:pt>
                <c:pt idx="19">
                  <c:v>43574.3</c:v>
                </c:pt>
                <c:pt idx="20">
                  <c:v>46221</c:v>
                </c:pt>
                <c:pt idx="21">
                  <c:v>48895.5</c:v>
                </c:pt>
                <c:pt idx="22">
                  <c:v>50744.299999999996</c:v>
                </c:pt>
                <c:pt idx="23">
                  <c:v>52332.499999999993</c:v>
                </c:pt>
                <c:pt idx="24">
                  <c:v>53747.6</c:v>
                </c:pt>
                <c:pt idx="25">
                  <c:v>57460.3</c:v>
                </c:pt>
                <c:pt idx="26">
                  <c:v>59626.7</c:v>
                </c:pt>
                <c:pt idx="27">
                  <c:v>60926.5</c:v>
                </c:pt>
                <c:pt idx="28">
                  <c:v>62262.299999999996</c:v>
                </c:pt>
                <c:pt idx="29">
                  <c:v>67677.099999999991</c:v>
                </c:pt>
                <c:pt idx="30">
                  <c:v>67677.099999999991</c:v>
                </c:pt>
                <c:pt idx="31">
                  <c:v>67677.099999999991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F1-41D5-9006-7CF67209086E}"/>
            </c:ext>
          </c:extLst>
        </c:ser>
        <c:ser>
          <c:idx val="5"/>
          <c:order val="5"/>
          <c:tx>
            <c:strRef>
              <c:f>Summary!$A$13</c:f>
              <c:strCache>
                <c:ptCount val="1"/>
                <c:pt idx="0">
                  <c:v>Losses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Summary!$J$13:$AO$13</c:f>
              <c:numCache>
                <c:formatCode>#,##0</c:formatCode>
                <c:ptCount val="32"/>
                <c:pt idx="0">
                  <c:v>10332.599999999999</c:v>
                </c:pt>
                <c:pt idx="1">
                  <c:v>9532.7999999999993</c:v>
                </c:pt>
                <c:pt idx="2">
                  <c:v>9596.7999999999993</c:v>
                </c:pt>
                <c:pt idx="3">
                  <c:v>9728.1000000000022</c:v>
                </c:pt>
                <c:pt idx="4">
                  <c:v>9845.4000000000015</c:v>
                </c:pt>
                <c:pt idx="5">
                  <c:v>9939.4999999999982</c:v>
                </c:pt>
                <c:pt idx="6">
                  <c:v>10042</c:v>
                </c:pt>
                <c:pt idx="7">
                  <c:v>10164.700000000001</c:v>
                </c:pt>
                <c:pt idx="8">
                  <c:v>10307.200000000001</c:v>
                </c:pt>
                <c:pt idx="9">
                  <c:v>10411.200000000001</c:v>
                </c:pt>
                <c:pt idx="10">
                  <c:v>10424.800000000001</c:v>
                </c:pt>
                <c:pt idx="11">
                  <c:v>10463.4</c:v>
                </c:pt>
                <c:pt idx="12">
                  <c:v>10692.7</c:v>
                </c:pt>
                <c:pt idx="13">
                  <c:v>10994.1</c:v>
                </c:pt>
                <c:pt idx="14">
                  <c:v>11271.699999999999</c:v>
                </c:pt>
                <c:pt idx="15">
                  <c:v>11419.9</c:v>
                </c:pt>
                <c:pt idx="16">
                  <c:v>11615.400000000001</c:v>
                </c:pt>
                <c:pt idx="17">
                  <c:v>11812.1</c:v>
                </c:pt>
                <c:pt idx="18">
                  <c:v>12024.6</c:v>
                </c:pt>
                <c:pt idx="19">
                  <c:v>12203.300000000001</c:v>
                </c:pt>
                <c:pt idx="20">
                  <c:v>12376.1</c:v>
                </c:pt>
                <c:pt idx="21">
                  <c:v>12521</c:v>
                </c:pt>
                <c:pt idx="22">
                  <c:v>12581.099999999999</c:v>
                </c:pt>
                <c:pt idx="23">
                  <c:v>12628.499999999998</c:v>
                </c:pt>
                <c:pt idx="24">
                  <c:v>12656.3</c:v>
                </c:pt>
                <c:pt idx="25">
                  <c:v>12696.5</c:v>
                </c:pt>
                <c:pt idx="26">
                  <c:v>12807.3</c:v>
                </c:pt>
                <c:pt idx="27">
                  <c:v>12960.9</c:v>
                </c:pt>
                <c:pt idx="28">
                  <c:v>13158.000000000002</c:v>
                </c:pt>
                <c:pt idx="29">
                  <c:v>13335.599999999999</c:v>
                </c:pt>
                <c:pt idx="30">
                  <c:v>13542</c:v>
                </c:pt>
                <c:pt idx="31">
                  <c:v>13751.594528930082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F1-41D5-9006-7CF67209086E}"/>
            </c:ext>
          </c:extLst>
        </c:ser>
        <c:ser>
          <c:idx val="7"/>
          <c:order val="7"/>
          <c:tx>
            <c:strRef>
              <c:f>Summary!$A$14</c:f>
              <c:strCache>
                <c:ptCount val="1"/>
                <c:pt idx="0">
                  <c:v>Small Non Scheduled Generation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Summary!$J$14:$AO$14</c:f>
              <c:numCache>
                <c:formatCode>#,##0</c:formatCode>
                <c:ptCount val="32"/>
                <c:pt idx="0">
                  <c:v>6836.2</c:v>
                </c:pt>
                <c:pt idx="1">
                  <c:v>7052.3</c:v>
                </c:pt>
                <c:pt idx="2">
                  <c:v>7563.4</c:v>
                </c:pt>
                <c:pt idx="3">
                  <c:v>8074.3000000000011</c:v>
                </c:pt>
                <c:pt idx="4">
                  <c:v>8610.3000000000011</c:v>
                </c:pt>
                <c:pt idx="5">
                  <c:v>9065.2000000000007</c:v>
                </c:pt>
                <c:pt idx="6">
                  <c:v>9571.9</c:v>
                </c:pt>
                <c:pt idx="7">
                  <c:v>10217.9</c:v>
                </c:pt>
                <c:pt idx="8">
                  <c:v>10899.5</c:v>
                </c:pt>
                <c:pt idx="9">
                  <c:v>11678</c:v>
                </c:pt>
                <c:pt idx="10">
                  <c:v>12479.699999999999</c:v>
                </c:pt>
                <c:pt idx="11">
                  <c:v>13196</c:v>
                </c:pt>
                <c:pt idx="12">
                  <c:v>13632.1</c:v>
                </c:pt>
                <c:pt idx="13">
                  <c:v>14497.599999999999</c:v>
                </c:pt>
                <c:pt idx="14">
                  <c:v>15052.6</c:v>
                </c:pt>
                <c:pt idx="15">
                  <c:v>16195.800000000001</c:v>
                </c:pt>
                <c:pt idx="16">
                  <c:v>17475.599999999999</c:v>
                </c:pt>
                <c:pt idx="17">
                  <c:v>18524.400000000001</c:v>
                </c:pt>
                <c:pt idx="18">
                  <c:v>19660.399999999998</c:v>
                </c:pt>
                <c:pt idx="19">
                  <c:v>21034.7</c:v>
                </c:pt>
                <c:pt idx="20">
                  <c:v>22475.3</c:v>
                </c:pt>
                <c:pt idx="21">
                  <c:v>23428.5</c:v>
                </c:pt>
                <c:pt idx="22">
                  <c:v>24427.500000000004</c:v>
                </c:pt>
                <c:pt idx="23">
                  <c:v>25533.599999999999</c:v>
                </c:pt>
                <c:pt idx="24">
                  <c:v>26674.800000000003</c:v>
                </c:pt>
                <c:pt idx="25">
                  <c:v>28026.800000000003</c:v>
                </c:pt>
                <c:pt idx="26">
                  <c:v>29865</c:v>
                </c:pt>
                <c:pt idx="27">
                  <c:v>31444.1</c:v>
                </c:pt>
                <c:pt idx="28">
                  <c:v>32838.199999999997</c:v>
                </c:pt>
                <c:pt idx="29">
                  <c:v>34040.799999999996</c:v>
                </c:pt>
                <c:pt idx="30">
                  <c:v>35352.600000000006</c:v>
                </c:pt>
                <c:pt idx="31">
                  <c:v>36714.951668585949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F1-41D5-9006-7CF67209086E}"/>
            </c:ext>
          </c:extLst>
        </c:ser>
        <c:ser>
          <c:idx val="8"/>
          <c:order val="8"/>
          <c:tx>
            <c:strRef>
              <c:f>Summary!$A$16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Summary!$J$16:$AO$16</c:f>
              <c:numCache>
                <c:formatCode>#,##0</c:formatCode>
                <c:ptCount val="32"/>
                <c:pt idx="0">
                  <c:v>24233.45537339709</c:v>
                </c:pt>
                <c:pt idx="1">
                  <c:v>26959.500000000004</c:v>
                </c:pt>
                <c:pt idx="2">
                  <c:v>29992.2</c:v>
                </c:pt>
                <c:pt idx="3">
                  <c:v>33056.399999999994</c:v>
                </c:pt>
                <c:pt idx="4">
                  <c:v>36191.4</c:v>
                </c:pt>
                <c:pt idx="5">
                  <c:v>38881</c:v>
                </c:pt>
                <c:pt idx="6">
                  <c:v>41225.700000000004</c:v>
                </c:pt>
                <c:pt idx="7">
                  <c:v>43744.3</c:v>
                </c:pt>
                <c:pt idx="8">
                  <c:v>46507.199999999997</c:v>
                </c:pt>
                <c:pt idx="9">
                  <c:v>49259.4</c:v>
                </c:pt>
                <c:pt idx="10">
                  <c:v>51988</c:v>
                </c:pt>
                <c:pt idx="11">
                  <c:v>54668.5</c:v>
                </c:pt>
                <c:pt idx="12">
                  <c:v>57422</c:v>
                </c:pt>
                <c:pt idx="13">
                  <c:v>60170.3</c:v>
                </c:pt>
                <c:pt idx="14">
                  <c:v>63091.6</c:v>
                </c:pt>
                <c:pt idx="15">
                  <c:v>66123.8</c:v>
                </c:pt>
                <c:pt idx="16">
                  <c:v>69271.600000000006</c:v>
                </c:pt>
                <c:pt idx="17">
                  <c:v>72137.7</c:v>
                </c:pt>
                <c:pt idx="18">
                  <c:v>74957.3</c:v>
                </c:pt>
                <c:pt idx="19">
                  <c:v>77954.899999999994</c:v>
                </c:pt>
                <c:pt idx="20">
                  <c:v>81100.399999999994</c:v>
                </c:pt>
                <c:pt idx="21">
                  <c:v>84130.799999999988</c:v>
                </c:pt>
                <c:pt idx="22">
                  <c:v>87272.400000000009</c:v>
                </c:pt>
                <c:pt idx="23">
                  <c:v>90723.8</c:v>
                </c:pt>
                <c:pt idx="24">
                  <c:v>94479.700000000012</c:v>
                </c:pt>
                <c:pt idx="25">
                  <c:v>97895.5</c:v>
                </c:pt>
                <c:pt idx="26">
                  <c:v>101127.6</c:v>
                </c:pt>
                <c:pt idx="27">
                  <c:v>104290.70000000001</c:v>
                </c:pt>
                <c:pt idx="28">
                  <c:v>107550</c:v>
                </c:pt>
                <c:pt idx="29">
                  <c:v>110542.59999999999</c:v>
                </c:pt>
                <c:pt idx="30">
                  <c:v>113487.9</c:v>
                </c:pt>
                <c:pt idx="31">
                  <c:v>116511.67465221552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F1-41D5-9006-7CF672090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670337720"/>
        <c:axId val="1670043864"/>
      </c:barChart>
      <c:lineChart>
        <c:grouping val="standard"/>
        <c:varyColors val="0"/>
        <c:ser>
          <c:idx val="6"/>
          <c:order val="6"/>
          <c:tx>
            <c:strRef>
              <c:f>Summary!$A$17</c:f>
              <c:strCache>
                <c:ptCount val="1"/>
                <c:pt idx="0">
                  <c:v>Operational (Sent Out)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Summary!$J$17:$AO$17</c:f>
              <c:numCache>
                <c:formatCode>#,##0</c:formatCode>
                <c:ptCount val="32"/>
                <c:pt idx="0">
                  <c:v>177057.19999999998</c:v>
                </c:pt>
                <c:pt idx="1">
                  <c:v>175566.1</c:v>
                </c:pt>
                <c:pt idx="2">
                  <c:v>177124.1</c:v>
                </c:pt>
                <c:pt idx="3">
                  <c:v>179848.1</c:v>
                </c:pt>
                <c:pt idx="4">
                  <c:v>181709.5</c:v>
                </c:pt>
                <c:pt idx="5">
                  <c:v>183548.90000000002</c:v>
                </c:pt>
                <c:pt idx="6">
                  <c:v>187543.4</c:v>
                </c:pt>
                <c:pt idx="7">
                  <c:v>192484.50000000003</c:v>
                </c:pt>
                <c:pt idx="8">
                  <c:v>198050.7</c:v>
                </c:pt>
                <c:pt idx="9">
                  <c:v>204963.4</c:v>
                </c:pt>
                <c:pt idx="10">
                  <c:v>211135.49999999997</c:v>
                </c:pt>
                <c:pt idx="11">
                  <c:v>214051.5</c:v>
                </c:pt>
                <c:pt idx="12">
                  <c:v>219415.5</c:v>
                </c:pt>
                <c:pt idx="13">
                  <c:v>225553.69999999998</c:v>
                </c:pt>
                <c:pt idx="14">
                  <c:v>231929.30000000005</c:v>
                </c:pt>
                <c:pt idx="15">
                  <c:v>234582.9</c:v>
                </c:pt>
                <c:pt idx="16">
                  <c:v>239144.59999999998</c:v>
                </c:pt>
                <c:pt idx="17">
                  <c:v>242914.40000000005</c:v>
                </c:pt>
                <c:pt idx="18">
                  <c:v>247976.1</c:v>
                </c:pt>
                <c:pt idx="19">
                  <c:v>252003.19999999995</c:v>
                </c:pt>
                <c:pt idx="20">
                  <c:v>256318.19999999998</c:v>
                </c:pt>
                <c:pt idx="21">
                  <c:v>260744.3</c:v>
                </c:pt>
                <c:pt idx="22">
                  <c:v>263012.69999999995</c:v>
                </c:pt>
                <c:pt idx="23">
                  <c:v>264780.3</c:v>
                </c:pt>
                <c:pt idx="24">
                  <c:v>266055.90000000002</c:v>
                </c:pt>
                <c:pt idx="25">
                  <c:v>269657.09999999998</c:v>
                </c:pt>
                <c:pt idx="26">
                  <c:v>272330.8</c:v>
                </c:pt>
                <c:pt idx="27">
                  <c:v>275113.60000000003</c:v>
                </c:pt>
                <c:pt idx="28">
                  <c:v>278899.59999999998</c:v>
                </c:pt>
                <c:pt idx="29">
                  <c:v>286774.3</c:v>
                </c:pt>
                <c:pt idx="30">
                  <c:v>289603.3</c:v>
                </c:pt>
                <c:pt idx="31">
                  <c:v>292460.20780415123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1F1-41D5-9006-7CF67209086E}"/>
            </c:ext>
          </c:extLst>
        </c:ser>
        <c:ser>
          <c:idx val="9"/>
          <c:order val="9"/>
          <c:tx>
            <c:strRef>
              <c:f>Summary!$A$19</c:f>
              <c:strCache>
                <c:ptCount val="1"/>
                <c:pt idx="0">
                  <c:v>Underlying Demand - Operational Sent out + Rooftop PV + Non-scheduled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Summary!$J$19:$AO$19</c:f>
              <c:numCache>
                <c:formatCode>0</c:formatCode>
                <c:ptCount val="32"/>
                <c:pt idx="0">
                  <c:v>208126.85537339709</c:v>
                </c:pt>
                <c:pt idx="1">
                  <c:v>209577.9</c:v>
                </c:pt>
                <c:pt idx="2">
                  <c:v>214679.7</c:v>
                </c:pt>
                <c:pt idx="3">
                  <c:v>220978.8</c:v>
                </c:pt>
                <c:pt idx="4">
                  <c:v>226511.19999999998</c:v>
                </c:pt>
                <c:pt idx="5">
                  <c:v>231495.10000000003</c:v>
                </c:pt>
                <c:pt idx="6">
                  <c:v>238341</c:v>
                </c:pt>
                <c:pt idx="7">
                  <c:v>246446.70000000004</c:v>
                </c:pt>
                <c:pt idx="8">
                  <c:v>255457.40000000002</c:v>
                </c:pt>
                <c:pt idx="9">
                  <c:v>265900.79999999999</c:v>
                </c:pt>
                <c:pt idx="10">
                  <c:v>275603.20000000001</c:v>
                </c:pt>
                <c:pt idx="11">
                  <c:v>281916</c:v>
                </c:pt>
                <c:pt idx="12">
                  <c:v>290469.59999999998</c:v>
                </c:pt>
                <c:pt idx="13">
                  <c:v>300221.59999999998</c:v>
                </c:pt>
                <c:pt idx="14">
                  <c:v>310073.5</c:v>
                </c:pt>
                <c:pt idx="15">
                  <c:v>316902.5</c:v>
                </c:pt>
                <c:pt idx="16">
                  <c:v>325891.79999999993</c:v>
                </c:pt>
                <c:pt idx="17">
                  <c:v>333576.50000000006</c:v>
                </c:pt>
                <c:pt idx="18">
                  <c:v>342593.80000000005</c:v>
                </c:pt>
                <c:pt idx="19">
                  <c:v>350992.8</c:v>
                </c:pt>
                <c:pt idx="20">
                  <c:v>359893.89999999997</c:v>
                </c:pt>
                <c:pt idx="21">
                  <c:v>368303.6</c:v>
                </c:pt>
                <c:pt idx="22">
                  <c:v>374712.6</c:v>
                </c:pt>
                <c:pt idx="23">
                  <c:v>381037.69999999995</c:v>
                </c:pt>
                <c:pt idx="24">
                  <c:v>387210.4</c:v>
                </c:pt>
                <c:pt idx="25">
                  <c:v>395579.39999999997</c:v>
                </c:pt>
                <c:pt idx="26">
                  <c:v>403323.4</c:v>
                </c:pt>
                <c:pt idx="27">
                  <c:v>410848.4</c:v>
                </c:pt>
                <c:pt idx="28">
                  <c:v>419287.8</c:v>
                </c:pt>
                <c:pt idx="29">
                  <c:v>431357.69999999995</c:v>
                </c:pt>
                <c:pt idx="30">
                  <c:v>438443.79999999993</c:v>
                </c:pt>
                <c:pt idx="31">
                  <c:v>445686.83412495267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1F1-41D5-9006-7CF672090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337720"/>
        <c:axId val="1670043864"/>
      </c:lineChart>
      <c:catAx>
        <c:axId val="1670337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043864"/>
        <c:crosses val="autoZero"/>
        <c:auto val="1"/>
        <c:lblAlgn val="ctr"/>
        <c:lblOffset val="200"/>
        <c:noMultiLvlLbl val="0"/>
      </c:catAx>
      <c:valAx>
        <c:axId val="1670043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337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WEM Demand (WEM ESOO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Summary!$A$26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Summary!$J$26:$AJ$26</c:f>
              <c:numCache>
                <c:formatCode>#,##0</c:formatCode>
                <c:ptCount val="27"/>
                <c:pt idx="0">
                  <c:v>3249.5000000000005</c:v>
                </c:pt>
                <c:pt idx="1">
                  <c:v>2996.4</c:v>
                </c:pt>
                <c:pt idx="2">
                  <c:v>2705</c:v>
                </c:pt>
                <c:pt idx="3">
                  <c:v>2382.6999999999998</c:v>
                </c:pt>
                <c:pt idx="4">
                  <c:v>2018.2000000000003</c:v>
                </c:pt>
                <c:pt idx="5">
                  <c:v>1631.8</c:v>
                </c:pt>
                <c:pt idx="6">
                  <c:v>1279.5</c:v>
                </c:pt>
                <c:pt idx="7">
                  <c:v>916.60000000000014</c:v>
                </c:pt>
                <c:pt idx="8">
                  <c:v>538.29999999999995</c:v>
                </c:pt>
                <c:pt idx="9">
                  <c:v>170</c:v>
                </c:pt>
                <c:pt idx="10">
                  <c:v>-180.89999999999998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9-46B8-B81E-016F496A6603}"/>
            </c:ext>
          </c:extLst>
        </c:ser>
        <c:ser>
          <c:idx val="1"/>
          <c:order val="1"/>
          <c:tx>
            <c:strRef>
              <c:f>Summary!$A$27</c:f>
              <c:strCache>
                <c:ptCount val="1"/>
                <c:pt idx="0">
                  <c:v>Business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Summary!$J$27:$AJ$27</c:f>
              <c:numCache>
                <c:formatCode>#,##0</c:formatCode>
                <c:ptCount val="27"/>
                <c:pt idx="0">
                  <c:v>13030.999999999998</c:v>
                </c:pt>
                <c:pt idx="1">
                  <c:v>13394.300000000001</c:v>
                </c:pt>
                <c:pt idx="2">
                  <c:v>13511.399999999998</c:v>
                </c:pt>
                <c:pt idx="3">
                  <c:v>13627.1</c:v>
                </c:pt>
                <c:pt idx="4">
                  <c:v>13643.5</c:v>
                </c:pt>
                <c:pt idx="5">
                  <c:v>13802.699999999999</c:v>
                </c:pt>
                <c:pt idx="6">
                  <c:v>13869.4</c:v>
                </c:pt>
                <c:pt idx="7">
                  <c:v>13926.3</c:v>
                </c:pt>
                <c:pt idx="8">
                  <c:v>13989.7</c:v>
                </c:pt>
                <c:pt idx="9">
                  <c:v>14065.6</c:v>
                </c:pt>
                <c:pt idx="10">
                  <c:v>14130.8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19-46B8-B81E-016F496A6603}"/>
            </c:ext>
          </c:extLst>
        </c:ser>
        <c:ser>
          <c:idx val="2"/>
          <c:order val="2"/>
          <c:tx>
            <c:strRef>
              <c:f>Summary!$A$28</c:f>
              <c:strCache>
                <c:ptCount val="1"/>
                <c:pt idx="0">
                  <c:v>Electrification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Summary!$J$28:$AJ$28</c:f>
              <c:numCache>
                <c:formatCode>#,##0</c:formatCode>
                <c:ptCount val="27"/>
                <c:pt idx="0">
                  <c:v>10.6</c:v>
                </c:pt>
                <c:pt idx="1">
                  <c:v>75.599999999999994</c:v>
                </c:pt>
                <c:pt idx="2">
                  <c:v>237.8</c:v>
                </c:pt>
                <c:pt idx="3">
                  <c:v>539.70000000000005</c:v>
                </c:pt>
                <c:pt idx="4">
                  <c:v>997.30000000000007</c:v>
                </c:pt>
                <c:pt idx="5">
                  <c:v>1639</c:v>
                </c:pt>
                <c:pt idx="6">
                  <c:v>3031.1000000000004</c:v>
                </c:pt>
                <c:pt idx="7">
                  <c:v>4834.1000000000004</c:v>
                </c:pt>
                <c:pt idx="8">
                  <c:v>6150.7999999999993</c:v>
                </c:pt>
                <c:pt idx="9">
                  <c:v>7272.4000000000005</c:v>
                </c:pt>
                <c:pt idx="10">
                  <c:v>8139.3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19-46B8-B81E-016F496A6603}"/>
            </c:ext>
          </c:extLst>
        </c:ser>
        <c:ser>
          <c:idx val="3"/>
          <c:order val="3"/>
          <c:tx>
            <c:strRef>
              <c:f>Summary!$A$29</c:f>
              <c:strCache>
                <c:ptCount val="1"/>
                <c:pt idx="0">
                  <c:v>Electric Vehicles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Summary!$J$29:$AJ$29</c:f>
              <c:numCache>
                <c:formatCode>#,##0</c:formatCode>
                <c:ptCount val="27"/>
                <c:pt idx="0">
                  <c:v>51</c:v>
                </c:pt>
                <c:pt idx="1">
                  <c:v>96.100000000000009</c:v>
                </c:pt>
                <c:pt idx="2">
                  <c:v>164.20000000000002</c:v>
                </c:pt>
                <c:pt idx="3">
                  <c:v>254.4</c:v>
                </c:pt>
                <c:pt idx="4">
                  <c:v>365.5</c:v>
                </c:pt>
                <c:pt idx="5">
                  <c:v>493.3</c:v>
                </c:pt>
                <c:pt idx="6">
                  <c:v>644.4</c:v>
                </c:pt>
                <c:pt idx="7">
                  <c:v>820.90000000000009</c:v>
                </c:pt>
                <c:pt idx="8">
                  <c:v>1019.8000000000001</c:v>
                </c:pt>
                <c:pt idx="9">
                  <c:v>1236</c:v>
                </c:pt>
                <c:pt idx="10">
                  <c:v>1474.8000000000002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19-46B8-B81E-016F496A6603}"/>
            </c:ext>
          </c:extLst>
        </c:ser>
        <c:ser>
          <c:idx val="4"/>
          <c:order val="4"/>
          <c:tx>
            <c:strRef>
              <c:f>Summary!$A$30</c:f>
              <c:strCache>
                <c:ptCount val="1"/>
                <c:pt idx="0">
                  <c:v>Hydrogen Production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Summary!$J$30:$AJ$30</c:f>
              <c:numCache>
                <c:formatCode>#,##0</c:formatCode>
                <c:ptCount val="27"/>
                <c:pt idx="0">
                  <c:v>0.3</c:v>
                </c:pt>
                <c:pt idx="1">
                  <c:v>1.2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61.599999999999994</c:v>
                </c:pt>
                <c:pt idx="6">
                  <c:v>283.7</c:v>
                </c:pt>
                <c:pt idx="7">
                  <c:v>478.3</c:v>
                </c:pt>
                <c:pt idx="8">
                  <c:v>776.99999999999989</c:v>
                </c:pt>
                <c:pt idx="9">
                  <c:v>1251</c:v>
                </c:pt>
                <c:pt idx="10">
                  <c:v>2039.3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19-46B8-B81E-016F496A6603}"/>
            </c:ext>
          </c:extLst>
        </c:ser>
        <c:ser>
          <c:idx val="5"/>
          <c:order val="5"/>
          <c:tx>
            <c:strRef>
              <c:f>Summary!$A$31</c:f>
              <c:strCache>
                <c:ptCount val="1"/>
                <c:pt idx="0">
                  <c:v>Losses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Summary!$J$31:$AJ$31</c:f>
              <c:numCache>
                <c:formatCode>#,##0</c:formatCode>
                <c:ptCount val="27"/>
                <c:pt idx="0">
                  <c:v>1434.9</c:v>
                </c:pt>
                <c:pt idx="1">
                  <c:v>1454.6999999999998</c:v>
                </c:pt>
                <c:pt idx="2">
                  <c:v>1462.6</c:v>
                </c:pt>
                <c:pt idx="3">
                  <c:v>1481.8</c:v>
                </c:pt>
                <c:pt idx="4">
                  <c:v>1504.0999999999997</c:v>
                </c:pt>
                <c:pt idx="5">
                  <c:v>1559.6000000000001</c:v>
                </c:pt>
                <c:pt idx="6">
                  <c:v>1691.7</c:v>
                </c:pt>
                <c:pt idx="7">
                  <c:v>1857.6</c:v>
                </c:pt>
                <c:pt idx="8">
                  <c:v>1991.4</c:v>
                </c:pt>
                <c:pt idx="9">
                  <c:v>2126.8000000000002</c:v>
                </c:pt>
                <c:pt idx="10">
                  <c:v>2270.1000000000004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19-46B8-B81E-016F496A6603}"/>
            </c:ext>
          </c:extLst>
        </c:ser>
        <c:ser>
          <c:idx val="7"/>
          <c:order val="7"/>
          <c:tx>
            <c:strRef>
              <c:f>Summary!$A$32</c:f>
              <c:strCache>
                <c:ptCount val="1"/>
                <c:pt idx="0">
                  <c:v>Small Non Scheduled Generation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Summary!$J$32:$AJ$32</c:f>
              <c:numCache>
                <c:formatCode>#,##0</c:formatCode>
                <c:ptCount val="27"/>
                <c:pt idx="0">
                  <c:v>93.899999999999991</c:v>
                </c:pt>
                <c:pt idx="1">
                  <c:v>122.30000000000001</c:v>
                </c:pt>
                <c:pt idx="2">
                  <c:v>156.29999999999998</c:v>
                </c:pt>
                <c:pt idx="3">
                  <c:v>191.39999999999998</c:v>
                </c:pt>
                <c:pt idx="4">
                  <c:v>226.6</c:v>
                </c:pt>
                <c:pt idx="5">
                  <c:v>261</c:v>
                </c:pt>
                <c:pt idx="6">
                  <c:v>296</c:v>
                </c:pt>
                <c:pt idx="7">
                  <c:v>331.4</c:v>
                </c:pt>
                <c:pt idx="8">
                  <c:v>367.8</c:v>
                </c:pt>
                <c:pt idx="9">
                  <c:v>403.6</c:v>
                </c:pt>
                <c:pt idx="10">
                  <c:v>441.2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19-46B8-B81E-016F496A6603}"/>
            </c:ext>
          </c:extLst>
        </c:ser>
        <c:ser>
          <c:idx val="8"/>
          <c:order val="8"/>
          <c:tx>
            <c:strRef>
              <c:f>Summary!$A$33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Summary!$J$33:$AJ$33</c:f>
              <c:numCache>
                <c:formatCode>#,##0</c:formatCode>
                <c:ptCount val="27"/>
                <c:pt idx="0">
                  <c:v>3503</c:v>
                </c:pt>
                <c:pt idx="1">
                  <c:v>3939.8</c:v>
                </c:pt>
                <c:pt idx="2">
                  <c:v>4399.3</c:v>
                </c:pt>
                <c:pt idx="3">
                  <c:v>4866</c:v>
                </c:pt>
                <c:pt idx="4">
                  <c:v>5343.4</c:v>
                </c:pt>
                <c:pt idx="5">
                  <c:v>5826.1</c:v>
                </c:pt>
                <c:pt idx="6">
                  <c:v>6306.2000000000007</c:v>
                </c:pt>
                <c:pt idx="7">
                  <c:v>6817.7000000000007</c:v>
                </c:pt>
                <c:pt idx="8">
                  <c:v>7351.4</c:v>
                </c:pt>
                <c:pt idx="9">
                  <c:v>7876.9</c:v>
                </c:pt>
                <c:pt idx="10">
                  <c:v>8384.5000000000018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D19-46B8-B81E-016F496A6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670337720"/>
        <c:axId val="1670043864"/>
      </c:barChart>
      <c:lineChart>
        <c:grouping val="standard"/>
        <c:varyColors val="0"/>
        <c:ser>
          <c:idx val="6"/>
          <c:order val="6"/>
          <c:tx>
            <c:strRef>
              <c:f>Summary!$A$34</c:f>
              <c:strCache>
                <c:ptCount val="1"/>
                <c:pt idx="0">
                  <c:v>Operational (Sent Out)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Summary!$J$34:$AJ$34</c:f>
              <c:numCache>
                <c:formatCode>#,##0</c:formatCode>
                <c:ptCount val="27"/>
                <c:pt idx="0">
                  <c:v>17800.2</c:v>
                </c:pt>
                <c:pt idx="1">
                  <c:v>18018.2</c:v>
                </c:pt>
                <c:pt idx="2">
                  <c:v>18082.400000000001</c:v>
                </c:pt>
                <c:pt idx="3">
                  <c:v>18287.199999999997</c:v>
                </c:pt>
                <c:pt idx="4">
                  <c:v>18530</c:v>
                </c:pt>
                <c:pt idx="5">
                  <c:v>19188.199999999997</c:v>
                </c:pt>
                <c:pt idx="6">
                  <c:v>20799.7</c:v>
                </c:pt>
                <c:pt idx="7">
                  <c:v>22832.899999999998</c:v>
                </c:pt>
                <c:pt idx="8">
                  <c:v>24464.799999999999</c:v>
                </c:pt>
                <c:pt idx="9">
                  <c:v>26117.899999999998</c:v>
                </c:pt>
                <c:pt idx="10">
                  <c:v>27867.599999999999</c:v>
                </c:pt>
                <c:pt idx="11">
                  <c:v>28030.055888726067</c:v>
                </c:pt>
                <c:pt idx="12">
                  <c:v>28193.458824050398</c:v>
                </c:pt>
                <c:pt idx="13">
                  <c:v>28357.814326839405</c:v>
                </c:pt>
                <c:pt idx="14">
                  <c:v>28523.127950143728</c:v>
                </c:pt>
                <c:pt idx="15">
                  <c:v>28689.405279385857</c:v>
                </c:pt>
                <c:pt idx="16">
                  <c:v>28856.651932548848</c:v>
                </c:pt>
                <c:pt idx="17">
                  <c:v>29024.873560366137</c:v>
                </c:pt>
                <c:pt idx="18">
                  <c:v>29194.075846512453</c:v>
                </c:pt>
                <c:pt idx="19">
                  <c:v>29364.264507795859</c:v>
                </c:pt>
                <c:pt idx="20">
                  <c:v>29535.445294350902</c:v>
                </c:pt>
                <c:pt idx="21">
                  <c:v>29707.623989832893</c:v>
                </c:pt>
                <c:pt idx="22">
                  <c:v>29880.806411613317</c:v>
                </c:pt>
                <c:pt idx="23">
                  <c:v>30054.998410976386</c:v>
                </c:pt>
                <c:pt idx="24">
                  <c:v>30230.205873316729</c:v>
                </c:pt>
                <c:pt idx="25">
                  <c:v>30406.434718338249</c:v>
                </c:pt>
                <c:pt idx="26">
                  <c:v>30583.690900254125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D19-46B8-B81E-016F496A6603}"/>
            </c:ext>
          </c:extLst>
        </c:ser>
        <c:ser>
          <c:idx val="9"/>
          <c:order val="9"/>
          <c:tx>
            <c:strRef>
              <c:f>Summary!$A$36</c:f>
              <c:strCache>
                <c:ptCount val="1"/>
                <c:pt idx="0">
                  <c:v>Underlying Demand - Operational Sent out + Rooftop PV + Non-scheduled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Summary!$J$36:$AJ$36</c:f>
              <c:numCache>
                <c:formatCode>0</c:formatCode>
                <c:ptCount val="27"/>
                <c:pt idx="0">
                  <c:v>21397.100000000002</c:v>
                </c:pt>
                <c:pt idx="1">
                  <c:v>22080.3</c:v>
                </c:pt>
                <c:pt idx="2">
                  <c:v>22638</c:v>
                </c:pt>
                <c:pt idx="3">
                  <c:v>23344.6</c:v>
                </c:pt>
                <c:pt idx="4">
                  <c:v>24100</c:v>
                </c:pt>
                <c:pt idx="5">
                  <c:v>25275.299999999996</c:v>
                </c:pt>
                <c:pt idx="6">
                  <c:v>27401.9</c:v>
                </c:pt>
                <c:pt idx="7">
                  <c:v>29982</c:v>
                </c:pt>
                <c:pt idx="8">
                  <c:v>32183.999999999996</c:v>
                </c:pt>
                <c:pt idx="9">
                  <c:v>34398.399999999994</c:v>
                </c:pt>
                <c:pt idx="10">
                  <c:v>36693.299999999996</c:v>
                </c:pt>
                <c:pt idx="11">
                  <c:v>38188.132026101157</c:v>
                </c:pt>
                <c:pt idx="12">
                  <c:v>39743.861349154562</c:v>
                </c:pt>
                <c:pt idx="13">
                  <c:v>41362.968837051274</c:v>
                </c:pt>
                <c:pt idx="14">
                  <c:v>43048.036424655787</c:v>
                </c:pt>
                <c:pt idx="15">
                  <c:v>44801.751231128495</c:v>
                </c:pt>
                <c:pt idx="16">
                  <c:v>46626.909844981928</c:v>
                </c:pt>
                <c:pt idx="17">
                  <c:v>48526.422783704002</c:v>
                </c:pt>
                <c:pt idx="18">
                  <c:v>50503.319135059857</c:v>
                </c:pt>
                <c:pt idx="19">
                  <c:v>52560.751387473654</c:v>
                </c:pt>
                <c:pt idx="20">
                  <c:v>54702.000457193106</c:v>
                </c:pt>
                <c:pt idx="21">
                  <c:v>56930.480920253467</c:v>
                </c:pt>
                <c:pt idx="22">
                  <c:v>59249.746457584151</c:v>
                </c:pt>
                <c:pt idx="23">
                  <c:v>61663.495521941149</c:v>
                </c:pt>
                <c:pt idx="24">
                  <c:v>64175.577235702061</c:v>
                </c:pt>
                <c:pt idx="25">
                  <c:v>66789.997528928783</c:v>
                </c:pt>
                <c:pt idx="26">
                  <c:v>69510.925527486019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D19-46B8-B81E-016F496A6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337720"/>
        <c:axId val="1670043864"/>
      </c:lineChart>
      <c:catAx>
        <c:axId val="1670337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043864"/>
        <c:crosses val="autoZero"/>
        <c:auto val="1"/>
        <c:lblAlgn val="ctr"/>
        <c:lblOffset val="200"/>
        <c:noMultiLvlLbl val="0"/>
      </c:catAx>
      <c:valAx>
        <c:axId val="1670043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337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Recreation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notes!$D$15:$X$15</c:f>
              <c:numCache>
                <c:formatCode>General</c:formatCode>
                <c:ptCount val="2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</c:numCache>
            </c:numRef>
          </c:cat>
          <c:val>
            <c:numRef>
              <c:f>notes!$D$16:$X$16</c:f>
              <c:numCache>
                <c:formatCode>_-* #,##0_-;\-* #,##0_-;_-* "-"??_-;_-@_-</c:formatCode>
                <c:ptCount val="21"/>
                <c:pt idx="0">
                  <c:v>115000</c:v>
                </c:pt>
                <c:pt idx="1">
                  <c:v>117000</c:v>
                </c:pt>
                <c:pt idx="2">
                  <c:v>120000</c:v>
                </c:pt>
                <c:pt idx="3">
                  <c:v>115000</c:v>
                </c:pt>
                <c:pt idx="4">
                  <c:v>128310.50228310502</c:v>
                </c:pt>
                <c:pt idx="5">
                  <c:v>128310.50228310502</c:v>
                </c:pt>
                <c:pt idx="6">
                  <c:v>120000</c:v>
                </c:pt>
                <c:pt idx="7">
                  <c:v>121428.57142857143</c:v>
                </c:pt>
                <c:pt idx="8">
                  <c:v>122857.14285714287</c:v>
                </c:pt>
                <c:pt idx="9">
                  <c:v>124285.7142857143</c:v>
                </c:pt>
                <c:pt idx="10">
                  <c:v>125714.28571428574</c:v>
                </c:pt>
                <c:pt idx="11">
                  <c:v>127142.85714285717</c:v>
                </c:pt>
                <c:pt idx="12">
                  <c:v>128571.42857142861</c:v>
                </c:pt>
                <c:pt idx="13">
                  <c:v>130000.00000000004</c:v>
                </c:pt>
                <c:pt idx="14">
                  <c:v>131428.57142857148</c:v>
                </c:pt>
                <c:pt idx="15">
                  <c:v>132857.1428571429</c:v>
                </c:pt>
                <c:pt idx="16">
                  <c:v>134285.71428571432</c:v>
                </c:pt>
                <c:pt idx="17">
                  <c:v>135714.28571428574</c:v>
                </c:pt>
                <c:pt idx="18">
                  <c:v>137142.85714285716</c:v>
                </c:pt>
                <c:pt idx="19">
                  <c:v>138571.42857142858</c:v>
                </c:pt>
                <c:pt idx="20">
                  <c:v>140000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D9-431C-9727-E6E623E47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2476584"/>
        <c:axId val="872477664"/>
      </c:lineChart>
      <c:catAx>
        <c:axId val="872476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477664"/>
        <c:crosses val="autoZero"/>
        <c:auto val="1"/>
        <c:lblAlgn val="ctr"/>
        <c:lblOffset val="100"/>
        <c:noMultiLvlLbl val="0"/>
      </c:catAx>
      <c:valAx>
        <c:axId val="87247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476584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notes!$B$82</c:f>
              <c:strCache>
                <c:ptCount val="1"/>
                <c:pt idx="0">
                  <c:v>Techtopia senario (most like WA ESOO 2024)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notes!$G$66:$Z$66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</c:numCache>
            </c:numRef>
          </c:cat>
          <c:val>
            <c:numRef>
              <c:f>notes!$G$82:$Z$82</c:f>
              <c:numCache>
                <c:formatCode>General</c:formatCode>
                <c:ptCount val="20"/>
                <c:pt idx="0">
                  <c:v>21345.7</c:v>
                </c:pt>
                <c:pt idx="1">
                  <c:v>22485.609999999993</c:v>
                </c:pt>
                <c:pt idx="2">
                  <c:v>24023.139999999996</c:v>
                </c:pt>
                <c:pt idx="3">
                  <c:v>25954.790000000005</c:v>
                </c:pt>
                <c:pt idx="4">
                  <c:v>28056.430000000004</c:v>
                </c:pt>
                <c:pt idx="5">
                  <c:v>30399.339999999997</c:v>
                </c:pt>
                <c:pt idx="6">
                  <c:v>33552.650000000009</c:v>
                </c:pt>
                <c:pt idx="7">
                  <c:v>34887.410000000003</c:v>
                </c:pt>
                <c:pt idx="8">
                  <c:v>35750.010000000009</c:v>
                </c:pt>
                <c:pt idx="9">
                  <c:v>36450.529999999984</c:v>
                </c:pt>
                <c:pt idx="10">
                  <c:v>37679.160000000003</c:v>
                </c:pt>
                <c:pt idx="11">
                  <c:v>38719.62000000001</c:v>
                </c:pt>
                <c:pt idx="12">
                  <c:v>39453.329999999994</c:v>
                </c:pt>
                <c:pt idx="13">
                  <c:v>40362.760000000017</c:v>
                </c:pt>
                <c:pt idx="14">
                  <c:v>41201.14</c:v>
                </c:pt>
                <c:pt idx="15">
                  <c:v>42472.48000000001</c:v>
                </c:pt>
                <c:pt idx="16">
                  <c:v>43109.98</c:v>
                </c:pt>
                <c:pt idx="17">
                  <c:v>44401.670000000013</c:v>
                </c:pt>
                <c:pt idx="18">
                  <c:v>45390.520000000004</c:v>
                </c:pt>
                <c:pt idx="19">
                  <c:v>46876.330000000016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A1-47C9-ABFC-5A77EEDDF5FC}"/>
            </c:ext>
          </c:extLst>
        </c:ser>
        <c:ser>
          <c:idx val="2"/>
          <c:order val="1"/>
          <c:tx>
            <c:strRef>
              <c:f>notes!$B$84</c:f>
              <c:strCache>
                <c:ptCount val="1"/>
                <c:pt idx="0">
                  <c:v>SWIS forecast (ESOO plus extension)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notes!$G$66:$Z$66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</c:numCache>
            </c:numRef>
          </c:cat>
          <c:val>
            <c:numRef>
              <c:f>notes!$G$84:$Z$84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A1-47C9-ABFC-5A77EEDDF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937952"/>
        <c:axId val="1078934712"/>
      </c:lineChart>
      <c:catAx>
        <c:axId val="107893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34712"/>
        <c:crosses val="autoZero"/>
        <c:auto val="1"/>
        <c:lblAlgn val="ctr"/>
        <c:lblOffset val="100"/>
        <c:noMultiLvlLbl val="0"/>
      </c:catAx>
      <c:valAx>
        <c:axId val="1078934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3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Step</a:t>
            </a:r>
            <a:r>
              <a:rPr lang="en-AU" baseline="0"/>
              <a:t> change vs CCA A40/G1.5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'NEM Emissions'!$A$46</c:f>
              <c:strCache>
                <c:ptCount val="1"/>
                <c:pt idx="0">
                  <c:v>NEM intensity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'NEM Emissions'!$B$45:$AA$45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'NEM Emissions'!$B$46:$AA$46</c:f>
              <c:numCache>
                <c:formatCode>General</c:formatCode>
                <c:ptCount val="26"/>
                <c:pt idx="0">
                  <c:v>0.48033843359501005</c:v>
                </c:pt>
                <c:pt idx="1">
                  <c:v>0.42604794845737021</c:v>
                </c:pt>
                <c:pt idx="2">
                  <c:v>0.35535279067220943</c:v>
                </c:pt>
                <c:pt idx="3">
                  <c:v>0.3043449483101997</c:v>
                </c:pt>
                <c:pt idx="4">
                  <c:v>0.23813984359845228</c:v>
                </c:pt>
                <c:pt idx="5">
                  <c:v>0.15514264155333019</c:v>
                </c:pt>
                <c:pt idx="6">
                  <c:v>0.12674216785645515</c:v>
                </c:pt>
                <c:pt idx="7">
                  <c:v>0.10426481697727327</c:v>
                </c:pt>
                <c:pt idx="8">
                  <c:v>9.764945808701718E-2</c:v>
                </c:pt>
                <c:pt idx="9">
                  <c:v>5.3192479783174734E-2</c:v>
                </c:pt>
                <c:pt idx="10">
                  <c:v>2.8325117300446203E-2</c:v>
                </c:pt>
                <c:pt idx="11">
                  <c:v>2.6082568542736311E-2</c:v>
                </c:pt>
                <c:pt idx="12">
                  <c:v>2.4119572026546132E-2</c:v>
                </c:pt>
                <c:pt idx="13">
                  <c:v>1.3751223009240742E-2</c:v>
                </c:pt>
                <c:pt idx="14">
                  <c:v>1.220752555402011E-2</c:v>
                </c:pt>
                <c:pt idx="15">
                  <c:v>1.937769197950074E-2</c:v>
                </c:pt>
                <c:pt idx="16">
                  <c:v>2.2922868974109462E-2</c:v>
                </c:pt>
                <c:pt idx="17">
                  <c:v>2.0385685064667213E-2</c:v>
                </c:pt>
                <c:pt idx="18">
                  <c:v>2.4295527074932891E-2</c:v>
                </c:pt>
                <c:pt idx="19">
                  <c:v>2.5887655115991004E-2</c:v>
                </c:pt>
                <c:pt idx="20">
                  <c:v>2.081072885702932E-2</c:v>
                </c:pt>
                <c:pt idx="21">
                  <c:v>1.3541094256730278E-2</c:v>
                </c:pt>
                <c:pt idx="22">
                  <c:v>1.4969466991353705E-2</c:v>
                </c:pt>
                <c:pt idx="23">
                  <c:v>1.5096480624926517E-2</c:v>
                </c:pt>
                <c:pt idx="24">
                  <c:v>1.0312397832983983E-2</c:v>
                </c:pt>
                <c:pt idx="25">
                  <c:v>7.9250571745060998E-3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A1-4BE4-BB59-5E9B9CEC244E}"/>
            </c:ext>
          </c:extLst>
        </c:ser>
        <c:ser>
          <c:idx val="1"/>
          <c:order val="1"/>
          <c:tx>
            <c:strRef>
              <c:f>'NEM Emissions'!$A$47</c:f>
              <c:strCache>
                <c:ptCount val="1"/>
                <c:pt idx="0">
                  <c:v>CCA Intensity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'NEM Emissions'!$B$45:$AA$45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'NEM Emissions'!$B$47:$AA$47</c:f>
              <c:numCache>
                <c:formatCode>General</c:formatCode>
                <c:ptCount val="26"/>
                <c:pt idx="0">
                  <c:v>0.52672934074348832</c:v>
                </c:pt>
                <c:pt idx="1">
                  <c:v>0.45533717321644418</c:v>
                </c:pt>
                <c:pt idx="2">
                  <c:v>0.38394500568939999</c:v>
                </c:pt>
                <c:pt idx="3">
                  <c:v>0.31255283816235579</c:v>
                </c:pt>
                <c:pt idx="4">
                  <c:v>0.24116067063531166</c:v>
                </c:pt>
                <c:pt idx="5">
                  <c:v>0.16976850310826747</c:v>
                </c:pt>
                <c:pt idx="6">
                  <c:v>0.14402688276571915</c:v>
                </c:pt>
                <c:pt idx="7">
                  <c:v>0.11828526242317086</c:v>
                </c:pt>
                <c:pt idx="8">
                  <c:v>9.2543642080622546E-2</c:v>
                </c:pt>
                <c:pt idx="9">
                  <c:v>6.6802021738074244E-2</c:v>
                </c:pt>
                <c:pt idx="10">
                  <c:v>4.1060401395525935E-2</c:v>
                </c:pt>
                <c:pt idx="11">
                  <c:v>3.4284135530110768E-2</c:v>
                </c:pt>
                <c:pt idx="12">
                  <c:v>2.7507869664695601E-2</c:v>
                </c:pt>
                <c:pt idx="13">
                  <c:v>2.0731603799280435E-2</c:v>
                </c:pt>
                <c:pt idx="14">
                  <c:v>1.3955337933865268E-2</c:v>
                </c:pt>
                <c:pt idx="15">
                  <c:v>7.1790720684500996E-3</c:v>
                </c:pt>
                <c:pt idx="16">
                  <c:v>6.8291484010698069E-3</c:v>
                </c:pt>
                <c:pt idx="17">
                  <c:v>6.4792247336895132E-3</c:v>
                </c:pt>
                <c:pt idx="18">
                  <c:v>6.1293010663092205E-3</c:v>
                </c:pt>
                <c:pt idx="19">
                  <c:v>5.7793773989289268E-3</c:v>
                </c:pt>
                <c:pt idx="20">
                  <c:v>5.4294537315486341E-3</c:v>
                </c:pt>
                <c:pt idx="21">
                  <c:v>4.9823830793207643E-3</c:v>
                </c:pt>
                <c:pt idx="22">
                  <c:v>4.5353124270928946E-3</c:v>
                </c:pt>
                <c:pt idx="23">
                  <c:v>4.088241774865024E-3</c:v>
                </c:pt>
                <c:pt idx="24">
                  <c:v>3.6411711226371547E-3</c:v>
                </c:pt>
                <c:pt idx="25">
                  <c:v>3.1941004704092849E-3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A1-4BE4-BB59-5E9B9CEC2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1429008"/>
        <c:axId val="901425168"/>
      </c:lineChart>
      <c:catAx>
        <c:axId val="90142900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425168"/>
        <c:crosses val="autoZero"/>
        <c:auto val="1"/>
        <c:lblAlgn val="ctr"/>
        <c:lblOffset val="100"/>
        <c:noMultiLvlLbl val="0"/>
      </c:catAx>
      <c:valAx>
        <c:axId val="90142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Mt CO2-e / 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42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6.xml"/><Relationship Id="rId1" Type="http://schemas.openxmlformats.org/officeDocument/2006/relationships/image" Target="../media/image1.png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417763</xdr:colOff>
      <xdr:row>95</xdr:row>
      <xdr:rowOff>14394</xdr:rowOff>
    </xdr:from>
    <xdr:to>
      <xdr:col>16</xdr:col>
      <xdr:colOff>849062</xdr:colOff>
      <xdr:row>124</xdr:row>
      <xdr:rowOff>41968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6994B9-66C1-10F5-8914-22883953B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231297</xdr:colOff>
      <xdr:row>97</xdr:row>
      <xdr:rowOff>152662</xdr:rowOff>
    </xdr:from>
    <xdr:to>
      <xdr:col>30</xdr:col>
      <xdr:colOff>168298</xdr:colOff>
      <xdr:row>126</xdr:row>
      <xdr:rowOff>177059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5969FB-AF63-B726-8B8F-F27852E4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772025</xdr:colOff>
      <xdr:row>125</xdr:row>
      <xdr:rowOff>149057</xdr:rowOff>
    </xdr:from>
    <xdr:to>
      <xdr:col>16</xdr:col>
      <xdr:colOff>818816</xdr:colOff>
      <xdr:row>157</xdr:row>
      <xdr:rowOff>50132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D1DE37-BB92-7B12-0F79-23FEFCD1B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197303</xdr:colOff>
      <xdr:row>3</xdr:row>
      <xdr:rowOff>130854</xdr:rowOff>
    </xdr:from>
    <xdr:to>
      <xdr:col>53</xdr:col>
      <xdr:colOff>680357</xdr:colOff>
      <xdr:row>27</xdr:row>
      <xdr:rowOff>113391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578F89-EB0D-3B25-AC00-24EEC745B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41</xdr:col>
      <xdr:colOff>204108</xdr:colOff>
      <xdr:row>37</xdr:row>
      <xdr:rowOff>0</xdr:rowOff>
    </xdr:from>
    <xdr:to>
      <xdr:col>53</xdr:col>
      <xdr:colOff>687162</xdr:colOff>
      <xdr:row>54</xdr:row>
      <xdr:rowOff>232000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A9935C-4F89-44E6-9390-E954597C2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999093</xdr:colOff>
      <xdr:row>3</xdr:row>
      <xdr:rowOff>23812</xdr:rowOff>
    </xdr:from>
    <xdr:to>
      <xdr:col>3</xdr:col>
      <xdr:colOff>485767</xdr:colOff>
      <xdr:row>14</xdr:row>
      <xdr:rowOff>125412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DDB0AF-5DC0-2E79-E00D-76C252DD5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093" y="595312"/>
          <a:ext cx="5535049" cy="2190750"/>
        </a:xfrm>
        <a:prstGeom prst="rect">
          <a:avLst/>
        </a:prstGeom>
      </xdr:spPr>
    </xdr:pic>
    <xdr:clientData/>
  </xdr:twoCellAnchor>
  <xdr:twoCellAnchor>
    <xdr:from>
      <xdr:col>4</xdr:col>
      <xdr:colOff>64386</xdr:colOff>
      <xdr:row>2</xdr:row>
      <xdr:rowOff>29670</xdr:rowOff>
    </xdr:from>
    <xdr:to>
      <xdr:col>8</xdr:col>
      <xdr:colOff>1028700</xdr:colOff>
      <xdr:row>13</xdr:row>
      <xdr:rowOff>16613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FFA67A-A4AF-0320-37DB-9B27769472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51955</xdr:colOff>
      <xdr:row>35</xdr:row>
      <xdr:rowOff>0</xdr:rowOff>
    </xdr:from>
    <xdr:to>
      <xdr:col>7</xdr:col>
      <xdr:colOff>257251</xdr:colOff>
      <xdr:row>58</xdr:row>
      <xdr:rowOff>87378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B616B2-FF98-92F5-42ED-00874CD82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80410" y="6061364"/>
          <a:ext cx="7077439" cy="4067384"/>
        </a:xfrm>
        <a:prstGeom prst="rect">
          <a:avLst/>
        </a:prstGeom>
      </xdr:spPr>
    </xdr:pic>
    <xdr:clientData/>
  </xdr:twoCellAnchor>
  <xdr:twoCellAnchor>
    <xdr:from>
      <xdr:col>9</xdr:col>
      <xdr:colOff>190499</xdr:colOff>
      <xdr:row>85</xdr:row>
      <xdr:rowOff>83129</xdr:rowOff>
    </xdr:from>
    <xdr:to>
      <xdr:col>20</xdr:col>
      <xdr:colOff>536862</xdr:colOff>
      <xdr:row>104</xdr:row>
      <xdr:rowOff>34637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743E6A-5FC6-8A72-1B8D-33AC96092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15</xdr:row>
      <xdr:rowOff>123824</xdr:rowOff>
    </xdr:from>
    <xdr:to>
      <xdr:col>5</xdr:col>
      <xdr:colOff>364383</xdr:colOff>
      <xdr:row>39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568069-9A06-A918-AF8E-C4E6DA8DB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3057524"/>
          <a:ext cx="6793758" cy="4295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95884</xdr:colOff>
      <xdr:row>10</xdr:row>
      <xdr:rowOff>104775</xdr:rowOff>
    </xdr:from>
    <xdr:to>
      <xdr:col>13</xdr:col>
      <xdr:colOff>304007</xdr:colOff>
      <xdr:row>34</xdr:row>
      <xdr:rowOff>133350</xdr:rowOff>
    </xdr:to>
    <xdr:pic>
      <xdr:nvPicPr>
        <xdr:cNvPr id="2" name="Picture 1" descr="A graph with a line&#10;&#10;Description automatically generated">
          <a:extLst>
            <a:ext uri="{FF2B5EF4-FFF2-40B4-BE49-F238E27FC236}">
              <a16:creationId xmlns:a16="http://schemas.microsoft.com/office/drawing/2014/main" id="{CC99EE13-A03F-4544-A4BE-6ABD9654D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884" y="2124075"/>
          <a:ext cx="9123523" cy="4371975"/>
        </a:xfrm>
        <a:prstGeom prst="rect">
          <a:avLst/>
        </a:prstGeom>
      </xdr:spPr>
    </xdr:pic>
    <xdr:clientData/>
  </xdr:twoCellAnchor>
  <xdr:twoCellAnchor editAs="oneCell">
    <xdr:from>
      <xdr:col>0</xdr:col>
      <xdr:colOff>80010</xdr:colOff>
      <xdr:row>53</xdr:row>
      <xdr:rowOff>28575</xdr:rowOff>
    </xdr:from>
    <xdr:to>
      <xdr:col>8</xdr:col>
      <xdr:colOff>660803</xdr:colOff>
      <xdr:row>69</xdr:row>
      <xdr:rowOff>11289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D1BEE1-F0CE-43E1-A316-63C082597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010" y="3343275"/>
          <a:ext cx="6067193" cy="28783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598487</xdr:colOff>
      <xdr:row>50</xdr:row>
      <xdr:rowOff>85725</xdr:rowOff>
    </xdr:from>
    <xdr:to>
      <xdr:col>13</xdr:col>
      <xdr:colOff>466725</xdr:colOff>
      <xdr:row>72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B3E8B2-23E5-BDD3-62D6-F57635E35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endlebury, Russell" id="{61BD6793-1CE4-43D7-9BE9-2D45240D1767}" userId="S::Russell.Pendlebury@jacobs.com::012c5790-ff69-4012-b289-a3377628aa08" providerId="AD"/>
</personList>
</file>

<file path=xl/theme/theme1.xml><?xml version="1.0" encoding="utf-8"?>
<a:theme xmlns:a="http://schemas.openxmlformats.org/drawingml/2006/main" name="Office Theme">
  <a:themeElements>
    <a:clrScheme name="Jacobs Primary Blue">
      <a:dk1>
        <a:srgbClr val="000000"/>
      </a:dk1>
      <a:lt1>
        <a:srgbClr val="FFFFFF"/>
      </a:lt1>
      <a:dk2>
        <a:srgbClr val="333333"/>
      </a:dk2>
      <a:lt2>
        <a:srgbClr val="E6E6E6"/>
      </a:lt2>
      <a:accent1>
        <a:srgbClr val="231EDC"/>
      </a:accent1>
      <a:accent2>
        <a:srgbClr val="6F006E"/>
      </a:accent2>
      <a:accent3>
        <a:srgbClr val="D72850"/>
      </a:accent3>
      <a:accent4>
        <a:srgbClr val="FFA014"/>
      </a:accent4>
      <a:accent5>
        <a:srgbClr val="007D55"/>
      </a:accent5>
      <a:accent6>
        <a:srgbClr val="FF6100"/>
      </a:accent6>
      <a:hlink>
        <a:srgbClr val="231EDC"/>
      </a:hlink>
      <a:folHlink>
        <a:srgbClr val="00B0F0"/>
      </a:folHlink>
    </a:clrScheme>
    <a:fontScheme name="JacobsChronos">
      <a:majorFont>
        <a:latin typeface="Jacobs Chronos"/>
        <a:ea typeface=""/>
        <a:cs typeface=""/>
      </a:majorFont>
      <a:minorFont>
        <a:latin typeface="Jacobs Chronos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6" dT="2025-05-19T06:14:43.21" personId="{61BD6793-1CE4-43D7-9BE9-2D45240D1767}" id="{08B1CC50-BF2B-4065-B6A2-BE78C3B0C87D}">
    <text>Set so Output matches FY2024 annual report amount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emo.com.au/-/media/files/electricity/wem/planning_and_forecasting/esoo/2024/2024-wem-electricity-statement-of-opportunities.pdf?la=en" TargetMode="External"/><Relationship Id="rId2" Type="http://schemas.openxmlformats.org/officeDocument/2006/relationships/hyperlink" Target="https://www.powerlink.com.au/planning-report/transmission-annual-planning-report-2024" TargetMode="External"/><Relationship Id="rId1" Type="http://schemas.openxmlformats.org/officeDocument/2006/relationships/hyperlink" Target="https://utilicom.nt.gov.au/electricity/reporting/electricity-outlook-report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hyperlink" Target="https://www.powerlink.com.au/planning-report/transmission-annual-planning-report-2024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BA7D-0E4D-422B-A0B0-E400C801E99B}">
  <dimension ref="A2:AO111"/>
  <sheetViews>
    <sheetView topLeftCell="A39" zoomScale="84" zoomScaleNormal="84" workbookViewId="0">
      <selection activeCell="L3" sqref="L3"/>
    </sheetView>
  </sheetViews>
  <sheetFormatPr defaultColWidth="8.75" defaultRowHeight="14"/>
  <cols>
    <col min="1" max="1" width="77.58203125" customWidth="1"/>
    <col min="3" max="4" width="9.5" bestFit="1" customWidth="1"/>
    <col min="5" max="9" width="10" bestFit="1" customWidth="1"/>
    <col min="10" max="10" width="11" bestFit="1" customWidth="1"/>
    <col min="11" max="20" width="10.33203125" bestFit="1" customWidth="1"/>
    <col min="21" max="41" width="10.25" bestFit="1" customWidth="1"/>
  </cols>
  <sheetData>
    <row r="2" spans="1:41">
      <c r="A2" s="34" t="s">
        <v>46</v>
      </c>
    </row>
    <row r="4" spans="1:41" ht="25">
      <c r="A4" s="44" t="s">
        <v>7</v>
      </c>
      <c r="K4" s="8"/>
    </row>
    <row r="5" spans="1:41">
      <c r="A5" s="23" t="s">
        <v>9</v>
      </c>
      <c r="B5" t="s">
        <v>29</v>
      </c>
    </row>
    <row r="6" spans="1:41" ht="23.5" thickBot="1">
      <c r="A6" s="1" t="s">
        <v>114</v>
      </c>
    </row>
    <row r="7" spans="1:41">
      <c r="A7" s="2" t="s">
        <v>0</v>
      </c>
      <c r="B7" s="3"/>
      <c r="C7" s="4">
        <v>2017</v>
      </c>
      <c r="D7" s="4">
        <v>2018</v>
      </c>
      <c r="E7" s="4">
        <v>2019</v>
      </c>
      <c r="F7" s="4">
        <v>2020</v>
      </c>
      <c r="G7" s="4">
        <v>2021</v>
      </c>
      <c r="H7" s="4">
        <v>2022</v>
      </c>
      <c r="I7" s="4">
        <v>2023</v>
      </c>
      <c r="J7" s="4">
        <v>2024</v>
      </c>
      <c r="K7" s="4">
        <v>2025</v>
      </c>
      <c r="L7" s="4">
        <v>2026</v>
      </c>
      <c r="M7" s="4">
        <v>2027</v>
      </c>
      <c r="N7" s="4">
        <v>2028</v>
      </c>
      <c r="O7" s="4">
        <v>2029</v>
      </c>
      <c r="P7" s="4">
        <v>2030</v>
      </c>
      <c r="Q7" s="4">
        <v>2031</v>
      </c>
      <c r="R7" s="4">
        <v>2032</v>
      </c>
      <c r="S7" s="4">
        <v>2033</v>
      </c>
      <c r="T7" s="4">
        <v>2034</v>
      </c>
      <c r="U7" s="4">
        <v>2035</v>
      </c>
      <c r="V7" s="4">
        <v>2036</v>
      </c>
      <c r="W7" s="4">
        <v>2037</v>
      </c>
      <c r="X7" s="4">
        <v>2038</v>
      </c>
      <c r="Y7" s="4">
        <v>2039</v>
      </c>
      <c r="Z7" s="4">
        <v>2040</v>
      </c>
      <c r="AA7" s="4">
        <v>2041</v>
      </c>
      <c r="AB7" s="4">
        <v>2042</v>
      </c>
      <c r="AC7" s="4">
        <v>2043</v>
      </c>
      <c r="AD7" s="4">
        <v>2044</v>
      </c>
      <c r="AE7" s="4">
        <v>2045</v>
      </c>
      <c r="AF7" s="4">
        <v>2046</v>
      </c>
      <c r="AG7" s="4">
        <v>2047</v>
      </c>
      <c r="AH7" s="4">
        <v>2048</v>
      </c>
      <c r="AI7" s="4">
        <v>2049</v>
      </c>
      <c r="AJ7" s="4">
        <v>2050</v>
      </c>
      <c r="AK7" s="4">
        <v>2051</v>
      </c>
      <c r="AL7" s="4">
        <v>2052</v>
      </c>
      <c r="AM7" s="4">
        <v>2053</v>
      </c>
      <c r="AN7" s="4">
        <v>2054</v>
      </c>
      <c r="AO7" s="5">
        <v>2055</v>
      </c>
    </row>
    <row r="8" spans="1:41">
      <c r="A8" s="6" t="s">
        <v>89</v>
      </c>
      <c r="B8" s="7" t="s">
        <v>2</v>
      </c>
      <c r="J8" s="8"/>
      <c r="K8" s="8">
        <f>SUMIFS('NEM demand data'!$I$2:$I$4357,'NEM demand data'!$D$2:$D$4357,Summary!$A8,'NEM demand data'!$F$2:$F$4357,Summary!$A$4,'NEM demand data'!$H$2:$H$4357,Summary!K$7)*1000</f>
        <v>33853.599999999999</v>
      </c>
      <c r="L8" s="8">
        <f>SUMIFS('NEM demand data'!$I$2:$I$4357,'NEM demand data'!$D$2:$D$4357,Summary!$A8,'NEM demand data'!$F$2:$F$4357,Summary!$A$4,'NEM demand data'!$H$2:$H$4357,Summary!L$7)*1000</f>
        <v>31302.100000000002</v>
      </c>
      <c r="M8" s="8">
        <f>SUMIFS('NEM demand data'!$I$2:$I$4357,'NEM demand data'!$D$2:$D$4357,Summary!$A8,'NEM demand data'!$F$2:$F$4357,Summary!$A$4,'NEM demand data'!$H$2:$H$4357,Summary!M$7)*1000</f>
        <v>28739.800000000003</v>
      </c>
      <c r="N8" s="8">
        <f>SUMIFS('NEM demand data'!$I$2:$I$4357,'NEM demand data'!$D$2:$D$4357,Summary!$A8,'NEM demand data'!$F$2:$F$4357,Summary!$A$4,'NEM demand data'!$H$2:$H$4357,Summary!N$7)*1000</f>
        <v>26255.600000000002</v>
      </c>
      <c r="O8" s="8">
        <f>SUMIFS('NEM demand data'!$I$2:$I$4357,'NEM demand data'!$D$2:$D$4357,Summary!$A8,'NEM demand data'!$F$2:$F$4357,Summary!$A$4,'NEM demand data'!$H$2:$H$4357,Summary!O$7)*1000</f>
        <v>24153.599999999999</v>
      </c>
      <c r="P8" s="8">
        <f>SUMIFS('NEM demand data'!$I$2:$I$4357,'NEM demand data'!$D$2:$D$4357,Summary!$A8,'NEM demand data'!$F$2:$F$4357,Summary!$A$4,'NEM demand data'!$H$2:$H$4357,Summary!P$7)*1000</f>
        <v>22550.6</v>
      </c>
      <c r="Q8" s="8">
        <f>SUMIFS('NEM demand data'!$I$2:$I$4357,'NEM demand data'!$D$2:$D$4357,Summary!$A8,'NEM demand data'!$F$2:$F$4357,Summary!$A$4,'NEM demand data'!$H$2:$H$4357,Summary!Q$7)*1000</f>
        <v>20707.599999999999</v>
      </c>
      <c r="R8" s="8">
        <f>SUMIFS('NEM demand data'!$I$2:$I$4357,'NEM demand data'!$D$2:$D$4357,Summary!$A8,'NEM demand data'!$F$2:$F$4357,Summary!$A$4,'NEM demand data'!$H$2:$H$4357,Summary!R$7)*1000</f>
        <v>18727.5</v>
      </c>
      <c r="S8" s="8">
        <f>SUMIFS('NEM demand data'!$I$2:$I$4357,'NEM demand data'!$D$2:$D$4357,Summary!$A8,'NEM demand data'!$F$2:$F$4357,Summary!$A$4,'NEM demand data'!$H$2:$H$4357,Summary!S$7)*1000</f>
        <v>16672.899999999998</v>
      </c>
      <c r="T8" s="8">
        <f>SUMIFS('NEM demand data'!$I$2:$I$4357,'NEM demand data'!$D$2:$D$4357,Summary!$A8,'NEM demand data'!$F$2:$F$4357,Summary!$A$4,'NEM demand data'!$H$2:$H$4357,Summary!T$7)*1000</f>
        <v>14456.8</v>
      </c>
      <c r="U8" s="8">
        <f>SUMIFS('NEM demand data'!$I$2:$I$4357,'NEM demand data'!$D$2:$D$4357,Summary!$A8,'NEM demand data'!$F$2:$F$4357,Summary!$A$4,'NEM demand data'!$H$2:$H$4357,Summary!U$7)*1000</f>
        <v>12350.699999999999</v>
      </c>
      <c r="V8" s="8">
        <f>SUMIFS('NEM demand data'!$I$2:$I$4357,'NEM demand data'!$D$2:$D$4357,Summary!$A8,'NEM demand data'!$F$2:$F$4357,Summary!$A$4,'NEM demand data'!$H$2:$H$4357,Summary!V$7)*1000</f>
        <v>10444.4</v>
      </c>
      <c r="W8" s="8">
        <f>SUMIFS('NEM demand data'!$I$2:$I$4357,'NEM demand data'!$D$2:$D$4357,Summary!$A8,'NEM demand data'!$F$2:$F$4357,Summary!$A$4,'NEM demand data'!$H$2:$H$4357,Summary!W$7)*1000</f>
        <v>8539.3000000000011</v>
      </c>
      <c r="X8" s="8">
        <f>SUMIFS('NEM demand data'!$I$2:$I$4357,'NEM demand data'!$D$2:$D$4357,Summary!$A8,'NEM demand data'!$F$2:$F$4357,Summary!$A$4,'NEM demand data'!$H$2:$H$4357,Summary!X$7)*1000</f>
        <v>6629.8</v>
      </c>
      <c r="Y8" s="8">
        <f>SUMIFS('NEM demand data'!$I$2:$I$4357,'NEM demand data'!$D$2:$D$4357,Summary!$A8,'NEM demand data'!$F$2:$F$4357,Summary!$A$4,'NEM demand data'!$H$2:$H$4357,Summary!Y$7)*1000</f>
        <v>4348.2</v>
      </c>
      <c r="Z8" s="8">
        <f>SUMIFS('NEM demand data'!$I$2:$I$4357,'NEM demand data'!$D$2:$D$4357,Summary!$A8,'NEM demand data'!$F$2:$F$4357,Summary!$A$4,'NEM demand data'!$H$2:$H$4357,Summary!Z$7)*1000</f>
        <v>2382.6</v>
      </c>
      <c r="AA8" s="8">
        <f>SUMIFS('NEM demand data'!$I$2:$I$4357,'NEM demand data'!$D$2:$D$4357,Summary!$A8,'NEM demand data'!$F$2:$F$4357,Summary!$A$4,'NEM demand data'!$H$2:$H$4357,Summary!AA$7)*1000</f>
        <v>391.6</v>
      </c>
      <c r="AB8" s="8">
        <f>SUMIFS('NEM demand data'!$I$2:$I$4357,'NEM demand data'!$D$2:$D$4357,Summary!$A8,'NEM demand data'!$F$2:$F$4357,Summary!$A$4,'NEM demand data'!$H$2:$H$4357,Summary!AB$7)*1000</f>
        <v>-1483.8</v>
      </c>
      <c r="AC8" s="8">
        <f>SUMIFS('NEM demand data'!$I$2:$I$4357,'NEM demand data'!$D$2:$D$4357,Summary!$A8,'NEM demand data'!$F$2:$F$4357,Summary!$A$4,'NEM demand data'!$H$2:$H$4357,Summary!AC$7)*1000</f>
        <v>-3410.5000000000005</v>
      </c>
      <c r="AD8" s="8">
        <f>SUMIFS('NEM demand data'!$I$2:$I$4357,'NEM demand data'!$D$2:$D$4357,Summary!$A8,'NEM demand data'!$F$2:$F$4357,Summary!$A$4,'NEM demand data'!$H$2:$H$4357,Summary!AD$7)*1000</f>
        <v>-5338.5</v>
      </c>
      <c r="AE8" s="8">
        <f>SUMIFS('NEM demand data'!$I$2:$I$4357,'NEM demand data'!$D$2:$D$4357,Summary!$A8,'NEM demand data'!$F$2:$F$4357,Summary!$A$4,'NEM demand data'!$H$2:$H$4357,Summary!AE$7)*1000</f>
        <v>-7226.2000000000007</v>
      </c>
      <c r="AF8" s="8">
        <f>SUMIFS('NEM demand data'!$I$2:$I$4357,'NEM demand data'!$D$2:$D$4357,Summary!$A8,'NEM demand data'!$F$2:$F$4357,Summary!$A$4,'NEM demand data'!$H$2:$H$4357,Summary!AF$7)*1000</f>
        <v>-9541.2000000000007</v>
      </c>
      <c r="AG8" s="8">
        <f>SUMIFS('NEM demand data'!$I$2:$I$4357,'NEM demand data'!$D$2:$D$4357,Summary!$A8,'NEM demand data'!$F$2:$F$4357,Summary!$A$4,'NEM demand data'!$H$2:$H$4357,Summary!AG$7)*1000</f>
        <v>-11900.1</v>
      </c>
      <c r="AH8" s="8">
        <f>SUMIFS('NEM demand data'!$I$2:$I$4357,'NEM demand data'!$D$2:$D$4357,Summary!$A8,'NEM demand data'!$F$2:$F$4357,Summary!$A$4,'NEM demand data'!$H$2:$H$4357,Summary!AH$7)*1000</f>
        <v>-14262.700000000003</v>
      </c>
      <c r="AI8" s="8">
        <f>SUMIFS('NEM demand data'!$I$2:$I$4357,'NEM demand data'!$D$2:$D$4357,Summary!$A8,'NEM demand data'!$F$2:$F$4357,Summary!$A$4,'NEM demand data'!$H$2:$H$4357,Summary!AI$7)*1000</f>
        <v>-16378.4</v>
      </c>
      <c r="AJ8" s="8">
        <f>SUMIFS('NEM demand data'!$I$2:$I$4357,'NEM demand data'!$D$2:$D$4357,Summary!$A8,'NEM demand data'!$F$2:$F$4357,Summary!$A$4,'NEM demand data'!$H$2:$H$4357,Summary!AJ$7)*1000</f>
        <v>-17704.7</v>
      </c>
      <c r="AK8" s="8">
        <f>SUMIFS('NEM demand data'!$I$2:$I$4357,'NEM demand data'!$D$2:$D$4357,Summary!$A8,'NEM demand data'!$F$2:$F$4357,Summary!$A$4,'NEM demand data'!$H$2:$H$4357,Summary!AK$7)*1000</f>
        <v>-18589.900000000001</v>
      </c>
      <c r="AL8" s="8">
        <f>SUMIFS('NEM demand data'!$I$2:$I$4357,'NEM demand data'!$D$2:$D$4357,Summary!$A8,'NEM demand data'!$F$2:$F$4357,Summary!$A$4,'NEM demand data'!$H$2:$H$4357,Summary!AL$7)*1000</f>
        <v>-19419.900000000001</v>
      </c>
      <c r="AM8" s="8">
        <f>SUMIFS('NEM demand data'!$I$2:$I$4357,'NEM demand data'!$D$2:$D$4357,Summary!$A8,'NEM demand data'!$F$2:$F$4357,Summary!$A$4,'NEM demand data'!$H$2:$H$4357,Summary!AM$7)*1000</f>
        <v>-20138.199999999997</v>
      </c>
      <c r="AN8" s="8">
        <f>SUMIFS('NEM demand data'!$I$2:$I$4357,'NEM demand data'!$D$2:$D$4357,Summary!$A8,'NEM demand data'!$F$2:$F$4357,Summary!$A$4,'NEM demand data'!$H$2:$H$4357,Summary!AN$7)*1000</f>
        <v>-20716.8</v>
      </c>
      <c r="AO8" s="9">
        <f>AN8/AM8*AN8</f>
        <v>-21312.024025980478</v>
      </c>
    </row>
    <row r="9" spans="1:41">
      <c r="A9" s="6" t="s">
        <v>92</v>
      </c>
      <c r="B9" s="7" t="s">
        <v>2</v>
      </c>
      <c r="J9" s="8"/>
      <c r="K9" s="8">
        <f>SUMIFS('NEM demand data'!$I$2:$I$4357,'NEM demand data'!$D$2:$D$4357,Summary!$A9,'NEM demand data'!$F$2:$F$4357,Summary!$A$4,'NEM demand data'!$H$2:$H$4357,Summary!K$7)*1000</f>
        <v>129893.20000000001</v>
      </c>
      <c r="L9" s="8">
        <f>SUMIFS('NEM demand data'!$I$2:$I$4357,'NEM demand data'!$D$2:$D$4357,Summary!$A9,'NEM demand data'!$F$2:$F$4357,Summary!$A$4,'NEM demand data'!$H$2:$H$4357,Summary!L$7)*1000</f>
        <v>130446.1</v>
      </c>
      <c r="M9" s="8">
        <f>SUMIFS('NEM demand data'!$I$2:$I$4357,'NEM demand data'!$D$2:$D$4357,Summary!$A9,'NEM demand data'!$F$2:$F$4357,Summary!$A$4,'NEM demand data'!$H$2:$H$4357,Summary!M$7)*1000</f>
        <v>131462.39999999999</v>
      </c>
      <c r="N9" s="8">
        <f>SUMIFS('NEM demand data'!$I$2:$I$4357,'NEM demand data'!$D$2:$D$4357,Summary!$A9,'NEM demand data'!$F$2:$F$4357,Summary!$A$4,'NEM demand data'!$H$2:$H$4357,Summary!N$7)*1000</f>
        <v>131998.5</v>
      </c>
      <c r="O9" s="8">
        <f>SUMIFS('NEM demand data'!$I$2:$I$4357,'NEM demand data'!$D$2:$D$4357,Summary!$A9,'NEM demand data'!$F$2:$F$4357,Summary!$A$4,'NEM demand data'!$H$2:$H$4357,Summary!O$7)*1000</f>
        <v>131495.70000000001</v>
      </c>
      <c r="P9" s="8">
        <f>SUMIFS('NEM demand data'!$I$2:$I$4357,'NEM demand data'!$D$2:$D$4357,Summary!$A9,'NEM demand data'!$F$2:$F$4357,Summary!$A$4,'NEM demand data'!$H$2:$H$4357,Summary!P$7)*1000</f>
        <v>131164</v>
      </c>
      <c r="Q9" s="8">
        <f>SUMIFS('NEM demand data'!$I$2:$I$4357,'NEM demand data'!$D$2:$D$4357,Summary!$A9,'NEM demand data'!$F$2:$F$4357,Summary!$A$4,'NEM demand data'!$H$2:$H$4357,Summary!Q$7)*1000</f>
        <v>131183.5</v>
      </c>
      <c r="R9" s="8">
        <f>SUMIFS('NEM demand data'!$I$2:$I$4357,'NEM demand data'!$D$2:$D$4357,Summary!$A9,'NEM demand data'!$F$2:$F$4357,Summary!$A$4,'NEM demand data'!$H$2:$H$4357,Summary!R$7)*1000</f>
        <v>131720.70000000001</v>
      </c>
      <c r="S9" s="8">
        <f>SUMIFS('NEM demand data'!$I$2:$I$4357,'NEM demand data'!$D$2:$D$4357,Summary!$A9,'NEM demand data'!$F$2:$F$4357,Summary!$A$4,'NEM demand data'!$H$2:$H$4357,Summary!S$7)*1000</f>
        <v>131775.4</v>
      </c>
      <c r="T9" s="8">
        <f>SUMIFS('NEM demand data'!$I$2:$I$4357,'NEM demand data'!$D$2:$D$4357,Summary!$A9,'NEM demand data'!$F$2:$F$4357,Summary!$A$4,'NEM demand data'!$H$2:$H$4357,Summary!T$7)*1000</f>
        <v>130436.4</v>
      </c>
      <c r="U9" s="8">
        <f>SUMIFS('NEM demand data'!$I$2:$I$4357,'NEM demand data'!$D$2:$D$4357,Summary!$A9,'NEM demand data'!$F$2:$F$4357,Summary!$A$4,'NEM demand data'!$H$2:$H$4357,Summary!U$7)*1000</f>
        <v>129646.00000000001</v>
      </c>
      <c r="V9" s="8">
        <f>SUMIFS('NEM demand data'!$I$2:$I$4357,'NEM demand data'!$D$2:$D$4357,Summary!$A9,'NEM demand data'!$F$2:$F$4357,Summary!$A$4,'NEM demand data'!$H$2:$H$4357,Summary!V$7)*1000</f>
        <v>129826.2</v>
      </c>
      <c r="W9" s="8">
        <f>SUMIFS('NEM demand data'!$I$2:$I$4357,'NEM demand data'!$D$2:$D$4357,Summary!$A9,'NEM demand data'!$F$2:$F$4357,Summary!$A$4,'NEM demand data'!$H$2:$H$4357,Summary!W$7)*1000</f>
        <v>130154.59999999999</v>
      </c>
      <c r="X9" s="8">
        <f>SUMIFS('NEM demand data'!$I$2:$I$4357,'NEM demand data'!$D$2:$D$4357,Summary!$A9,'NEM demand data'!$F$2:$F$4357,Summary!$A$4,'NEM demand data'!$H$2:$H$4357,Summary!X$7)*1000</f>
        <v>130688.00000000001</v>
      </c>
      <c r="Y9" s="8">
        <f>SUMIFS('NEM demand data'!$I$2:$I$4357,'NEM demand data'!$D$2:$D$4357,Summary!$A9,'NEM demand data'!$F$2:$F$4357,Summary!$A$4,'NEM demand data'!$H$2:$H$4357,Summary!Y$7)*1000</f>
        <v>129744.29999999999</v>
      </c>
      <c r="Z9" s="8">
        <f>SUMIFS('NEM demand data'!$I$2:$I$4357,'NEM demand data'!$D$2:$D$4357,Summary!$A9,'NEM demand data'!$F$2:$F$4357,Summary!$A$4,'NEM demand data'!$H$2:$H$4357,Summary!Z$7)*1000</f>
        <v>128514.99999999999</v>
      </c>
      <c r="AA9" s="8">
        <f>SUMIFS('NEM demand data'!$I$2:$I$4357,'NEM demand data'!$D$2:$D$4357,Summary!$A9,'NEM demand data'!$F$2:$F$4357,Summary!$A$4,'NEM demand data'!$H$2:$H$4357,Summary!AA$7)*1000</f>
        <v>127567.50000000003</v>
      </c>
      <c r="AB9" s="8">
        <f>SUMIFS('NEM demand data'!$I$2:$I$4357,'NEM demand data'!$D$2:$D$4357,Summary!$A9,'NEM demand data'!$F$2:$F$4357,Summary!$A$4,'NEM demand data'!$H$2:$H$4357,Summary!AB$7)*1000</f>
        <v>126671.8</v>
      </c>
      <c r="AC9" s="8">
        <f>SUMIFS('NEM demand data'!$I$2:$I$4357,'NEM demand data'!$D$2:$D$4357,Summary!$A9,'NEM demand data'!$F$2:$F$4357,Summary!$A$4,'NEM demand data'!$H$2:$H$4357,Summary!AC$7)*1000</f>
        <v>125619.1</v>
      </c>
      <c r="AD9" s="8">
        <f>SUMIFS('NEM demand data'!$I$2:$I$4357,'NEM demand data'!$D$2:$D$4357,Summary!$A9,'NEM demand data'!$F$2:$F$4357,Summary!$A$4,'NEM demand data'!$H$2:$H$4357,Summary!AD$7)*1000</f>
        <v>124592.39999999998</v>
      </c>
      <c r="AE9" s="8">
        <f>SUMIFS('NEM demand data'!$I$2:$I$4357,'NEM demand data'!$D$2:$D$4357,Summary!$A9,'NEM demand data'!$F$2:$F$4357,Summary!$A$4,'NEM demand data'!$H$2:$H$4357,Summary!AE$7)*1000</f>
        <v>124089.7</v>
      </c>
      <c r="AF9" s="8">
        <f>SUMIFS('NEM demand data'!$I$2:$I$4357,'NEM demand data'!$D$2:$D$4357,Summary!$A9,'NEM demand data'!$F$2:$F$4357,Summary!$A$4,'NEM demand data'!$H$2:$H$4357,Summary!AF$7)*1000</f>
        <v>122730.49999999999</v>
      </c>
      <c r="AG9" s="8">
        <f>SUMIFS('NEM demand data'!$I$2:$I$4357,'NEM demand data'!$D$2:$D$4357,Summary!$A9,'NEM demand data'!$F$2:$F$4357,Summary!$A$4,'NEM demand data'!$H$2:$H$4357,Summary!AG$7)*1000</f>
        <v>121088.7</v>
      </c>
      <c r="AH9" s="8">
        <f>SUMIFS('NEM demand data'!$I$2:$I$4357,'NEM demand data'!$D$2:$D$4357,Summary!$A9,'NEM demand data'!$F$2:$F$4357,Summary!$A$4,'NEM demand data'!$H$2:$H$4357,Summary!AH$7)*1000</f>
        <v>119254.69999999998</v>
      </c>
      <c r="AI9" s="8">
        <f>SUMIFS('NEM demand data'!$I$2:$I$4357,'NEM demand data'!$D$2:$D$4357,Summary!$A9,'NEM demand data'!$F$2:$F$4357,Summary!$A$4,'NEM demand data'!$H$2:$H$4357,Summary!AI$7)*1000</f>
        <v>117819.59999999998</v>
      </c>
      <c r="AJ9" s="8">
        <f>SUMIFS('NEM demand data'!$I$2:$I$4357,'NEM demand data'!$D$2:$D$4357,Summary!$A9,'NEM demand data'!$F$2:$F$4357,Summary!$A$4,'NEM demand data'!$H$2:$H$4357,Summary!AJ$7)*1000</f>
        <v>116035.40000000001</v>
      </c>
      <c r="AK9" s="8">
        <f>SUMIFS('NEM demand data'!$I$2:$I$4357,'NEM demand data'!$D$2:$D$4357,Summary!$A9,'NEM demand data'!$F$2:$F$4357,Summary!$A$4,'NEM demand data'!$H$2:$H$4357,Summary!AK$7)*1000</f>
        <v>114775.1</v>
      </c>
      <c r="AL9" s="8">
        <f>SUMIFS('NEM demand data'!$I$2:$I$4357,'NEM demand data'!$D$2:$D$4357,Summary!$A9,'NEM demand data'!$F$2:$F$4357,Summary!$A$4,'NEM demand data'!$H$2:$H$4357,Summary!AL$7)*1000</f>
        <v>113852.90000000001</v>
      </c>
      <c r="AM9" s="8">
        <f>SUMIFS('NEM demand data'!$I$2:$I$4357,'NEM demand data'!$D$2:$D$4357,Summary!$A9,'NEM demand data'!$F$2:$F$4357,Summary!$A$4,'NEM demand data'!$H$2:$H$4357,Summary!AM$7)*1000</f>
        <v>113360.8</v>
      </c>
      <c r="AN9" s="8">
        <f>SUMIFS('NEM demand data'!$I$2:$I$4357,'NEM demand data'!$D$2:$D$4357,Summary!$A9,'NEM demand data'!$F$2:$F$4357,Summary!$A$4,'NEM demand data'!$H$2:$H$4357,Summary!AN$7)*1000</f>
        <v>112777.09999999999</v>
      </c>
      <c r="AO9" s="9">
        <f t="shared" ref="AO9:AO13" si="0">AN9/AM9*AN9</f>
        <v>112196.40549828511</v>
      </c>
    </row>
    <row r="10" spans="1:41">
      <c r="A10" s="6" t="s">
        <v>96</v>
      </c>
      <c r="B10" s="7" t="s">
        <v>2</v>
      </c>
      <c r="J10" s="8"/>
      <c r="K10" s="8">
        <f>SUMIFS('NEM demand data'!$I$2:$I$4357,'NEM demand data'!$D$2:$D$4357,Summary!$A10,'NEM demand data'!$F$2:$F$4357,Summary!$A$4,'NEM demand data'!$H$2:$H$4357,Summary!K$7)*1000</f>
        <v>1456.6</v>
      </c>
      <c r="L10" s="8">
        <f>SUMIFS('NEM demand data'!$I$2:$I$4357,'NEM demand data'!$D$2:$D$4357,Summary!$A10,'NEM demand data'!$F$2:$F$4357,Summary!$A$4,'NEM demand data'!$H$2:$H$4357,Summary!L$7)*1000</f>
        <v>3974.6</v>
      </c>
      <c r="M10" s="8">
        <f>SUMIFS('NEM demand data'!$I$2:$I$4357,'NEM demand data'!$D$2:$D$4357,Summary!$A10,'NEM demand data'!$F$2:$F$4357,Summary!$A$4,'NEM demand data'!$H$2:$H$4357,Summary!M$7)*1000</f>
        <v>6844.5</v>
      </c>
      <c r="N10" s="8">
        <f>SUMIFS('NEM demand data'!$I$2:$I$4357,'NEM demand data'!$D$2:$D$4357,Summary!$A10,'NEM demand data'!$F$2:$F$4357,Summary!$A$4,'NEM demand data'!$H$2:$H$4357,Summary!N$7)*1000</f>
        <v>9337</v>
      </c>
      <c r="O10" s="8">
        <f>SUMIFS('NEM demand data'!$I$2:$I$4357,'NEM demand data'!$D$2:$D$4357,Summary!$A10,'NEM demand data'!$F$2:$F$4357,Summary!$A$4,'NEM demand data'!$H$2:$H$4357,Summary!O$7)*1000</f>
        <v>12028.500000000002</v>
      </c>
      <c r="P10" s="8">
        <f>SUMIFS('NEM demand data'!$I$2:$I$4357,'NEM demand data'!$D$2:$D$4357,Summary!$A10,'NEM demand data'!$F$2:$F$4357,Summary!$A$4,'NEM demand data'!$H$2:$H$4357,Summary!P$7)*1000</f>
        <v>14029.1</v>
      </c>
      <c r="Q10" s="8">
        <f>SUMIFS('NEM demand data'!$I$2:$I$4357,'NEM demand data'!$D$2:$D$4357,Summary!$A10,'NEM demand data'!$F$2:$F$4357,Summary!$A$4,'NEM demand data'!$H$2:$H$4357,Summary!Q$7)*1000</f>
        <v>15768.2</v>
      </c>
      <c r="R10" s="8">
        <f>SUMIFS('NEM demand data'!$I$2:$I$4357,'NEM demand data'!$D$2:$D$4357,Summary!$A10,'NEM demand data'!$F$2:$F$4357,Summary!$A$4,'NEM demand data'!$H$2:$H$4357,Summary!R$7)*1000</f>
        <v>17348.8</v>
      </c>
      <c r="S10" s="8">
        <f>SUMIFS('NEM demand data'!$I$2:$I$4357,'NEM demand data'!$D$2:$D$4357,Summary!$A10,'NEM demand data'!$F$2:$F$4357,Summary!$A$4,'NEM demand data'!$H$2:$H$4357,Summary!S$7)*1000</f>
        <v>18773</v>
      </c>
      <c r="T10" s="8">
        <f>SUMIFS('NEM demand data'!$I$2:$I$4357,'NEM demand data'!$D$2:$D$4357,Summary!$A10,'NEM demand data'!$F$2:$F$4357,Summary!$A$4,'NEM demand data'!$H$2:$H$4357,Summary!T$7)*1000</f>
        <v>20296</v>
      </c>
      <c r="U10" s="8">
        <f>SUMIFS('NEM demand data'!$I$2:$I$4357,'NEM demand data'!$D$2:$D$4357,Summary!$A10,'NEM demand data'!$F$2:$F$4357,Summary!$A$4,'NEM demand data'!$H$2:$H$4357,Summary!U$7)*1000</f>
        <v>21450.1</v>
      </c>
      <c r="V10" s="8">
        <f>SUMIFS('NEM demand data'!$I$2:$I$4357,'NEM demand data'!$D$2:$D$4357,Summary!$A10,'NEM demand data'!$F$2:$F$4357,Summary!$A$4,'NEM demand data'!$H$2:$H$4357,Summary!V$7)*1000</f>
        <v>23670.5</v>
      </c>
      <c r="W10" s="8">
        <f>SUMIFS('NEM demand data'!$I$2:$I$4357,'NEM demand data'!$D$2:$D$4357,Summary!$A10,'NEM demand data'!$F$2:$F$4357,Summary!$A$4,'NEM demand data'!$H$2:$H$4357,Summary!W$7)*1000</f>
        <v>25710.799999999999</v>
      </c>
      <c r="X10" s="8">
        <f>SUMIFS('NEM demand data'!$I$2:$I$4357,'NEM demand data'!$D$2:$D$4357,Summary!$A10,'NEM demand data'!$F$2:$F$4357,Summary!$A$4,'NEM demand data'!$H$2:$H$4357,Summary!X$7)*1000</f>
        <v>27575.1</v>
      </c>
      <c r="Y10" s="8">
        <f>SUMIFS('NEM demand data'!$I$2:$I$4357,'NEM demand data'!$D$2:$D$4357,Summary!$A10,'NEM demand data'!$F$2:$F$4357,Summary!$A$4,'NEM demand data'!$H$2:$H$4357,Summary!Y$7)*1000</f>
        <v>28826.6</v>
      </c>
      <c r="Z10" s="8">
        <f>SUMIFS('NEM demand data'!$I$2:$I$4357,'NEM demand data'!$D$2:$D$4357,Summary!$A10,'NEM demand data'!$F$2:$F$4357,Summary!$A$4,'NEM demand data'!$H$2:$H$4357,Summary!Z$7)*1000</f>
        <v>30376.7</v>
      </c>
      <c r="AA10" s="8">
        <f>SUMIFS('NEM demand data'!$I$2:$I$4357,'NEM demand data'!$D$2:$D$4357,Summary!$A10,'NEM demand data'!$F$2:$F$4357,Summary!$A$4,'NEM demand data'!$H$2:$H$4357,Summary!AA$7)*1000</f>
        <v>32080.200000000004</v>
      </c>
      <c r="AB10" s="8">
        <f>SUMIFS('NEM demand data'!$I$2:$I$4357,'NEM demand data'!$D$2:$D$4357,Summary!$A10,'NEM demand data'!$F$2:$F$4357,Summary!$A$4,'NEM demand data'!$H$2:$H$4357,Summary!AB$7)*1000</f>
        <v>33785.300000000003</v>
      </c>
      <c r="AC10" s="8">
        <f>SUMIFS('NEM demand data'!$I$2:$I$4357,'NEM demand data'!$D$2:$D$4357,Summary!$A10,'NEM demand data'!$F$2:$F$4357,Summary!$A$4,'NEM demand data'!$H$2:$H$4357,Summary!AC$7)*1000</f>
        <v>34984.299999999996</v>
      </c>
      <c r="AD10" s="8">
        <f>SUMIFS('NEM demand data'!$I$2:$I$4357,'NEM demand data'!$D$2:$D$4357,Summary!$A10,'NEM demand data'!$F$2:$F$4357,Summary!$A$4,'NEM demand data'!$H$2:$H$4357,Summary!AD$7)*1000</f>
        <v>35938.9</v>
      </c>
      <c r="AE10" s="8">
        <f>SUMIFS('NEM demand data'!$I$2:$I$4357,'NEM demand data'!$D$2:$D$4357,Summary!$A10,'NEM demand data'!$F$2:$F$4357,Summary!$A$4,'NEM demand data'!$H$2:$H$4357,Summary!AE$7)*1000</f>
        <v>36658.5</v>
      </c>
      <c r="AF10" s="8">
        <f>SUMIFS('NEM demand data'!$I$2:$I$4357,'NEM demand data'!$D$2:$D$4357,Summary!$A10,'NEM demand data'!$F$2:$F$4357,Summary!$A$4,'NEM demand data'!$H$2:$H$4357,Summary!AF$7)*1000</f>
        <v>37278</v>
      </c>
      <c r="AG10" s="8">
        <f>SUMIFS('NEM demand data'!$I$2:$I$4357,'NEM demand data'!$D$2:$D$4357,Summary!$A10,'NEM demand data'!$F$2:$F$4357,Summary!$A$4,'NEM demand data'!$H$2:$H$4357,Summary!AG$7)*1000</f>
        <v>38008.899999999994</v>
      </c>
      <c r="AH10" s="8">
        <f>SUMIFS('NEM demand data'!$I$2:$I$4357,'NEM demand data'!$D$2:$D$4357,Summary!$A10,'NEM demand data'!$F$2:$F$4357,Summary!$A$4,'NEM demand data'!$H$2:$H$4357,Summary!AH$7)*1000</f>
        <v>38496.5</v>
      </c>
      <c r="AI10" s="8">
        <f>SUMIFS('NEM demand data'!$I$2:$I$4357,'NEM demand data'!$D$2:$D$4357,Summary!$A10,'NEM demand data'!$F$2:$F$4357,Summary!$A$4,'NEM demand data'!$H$2:$H$4357,Summary!AI$7)*1000</f>
        <v>38635.800000000003</v>
      </c>
      <c r="AJ10" s="8">
        <f>SUMIFS('NEM demand data'!$I$2:$I$4357,'NEM demand data'!$D$2:$D$4357,Summary!$A10,'NEM demand data'!$F$2:$F$4357,Summary!$A$4,'NEM demand data'!$H$2:$H$4357,Summary!AJ$7)*1000</f>
        <v>38736.699999999997</v>
      </c>
      <c r="AK10" s="8">
        <f>SUMIFS('NEM demand data'!$I$2:$I$4357,'NEM demand data'!$D$2:$D$4357,Summary!$A10,'NEM demand data'!$F$2:$F$4357,Summary!$A$4,'NEM demand data'!$H$2:$H$4357,Summary!AK$7)*1000</f>
        <v>38844.9</v>
      </c>
      <c r="AL10" s="8">
        <f>SUMIFS('NEM demand data'!$I$2:$I$4357,'NEM demand data'!$D$2:$D$4357,Summary!$A10,'NEM demand data'!$F$2:$F$4357,Summary!$A$4,'NEM demand data'!$H$2:$H$4357,Summary!AL$7)*1000</f>
        <v>39249.899999999994</v>
      </c>
      <c r="AM10" s="8">
        <f>SUMIFS('NEM demand data'!$I$2:$I$4357,'NEM demand data'!$D$2:$D$4357,Summary!$A10,'NEM demand data'!$F$2:$F$4357,Summary!$A$4,'NEM demand data'!$H$2:$H$4357,Summary!AM$7)*1000</f>
        <v>39600.800000000003</v>
      </c>
      <c r="AN10" s="8">
        <f>SUMIFS('NEM demand data'!$I$2:$I$4357,'NEM demand data'!$D$2:$D$4357,Summary!$A10,'NEM demand data'!$F$2:$F$4357,Summary!$A$4,'NEM demand data'!$H$2:$H$4357,Summary!AN$7)*1000</f>
        <v>40014.200000000004</v>
      </c>
      <c r="AO10" s="9">
        <f t="shared" si="0"/>
        <v>40431.915558271554</v>
      </c>
    </row>
    <row r="11" spans="1:41">
      <c r="A11" s="6" t="s">
        <v>97</v>
      </c>
      <c r="B11" s="7" t="s">
        <v>2</v>
      </c>
      <c r="J11" s="8"/>
      <c r="K11" s="8">
        <f>SUMIFS('NEM demand data'!$I$2:$I$4357,'NEM demand data'!$D$2:$D$4357,Summary!$A11,'NEM demand data'!$F$2:$F$4357,Summary!$A$4,'NEM demand data'!$H$2:$H$4357,Summary!K$7)*1000</f>
        <v>719.09999999999991</v>
      </c>
      <c r="L11" s="8">
        <f>SUMIFS('NEM demand data'!$I$2:$I$4357,'NEM demand data'!$D$2:$D$4357,Summary!$A11,'NEM demand data'!$F$2:$F$4357,Summary!$A$4,'NEM demand data'!$H$2:$H$4357,Summary!L$7)*1000</f>
        <v>1248.5</v>
      </c>
      <c r="M11" s="8">
        <f>SUMIFS('NEM demand data'!$I$2:$I$4357,'NEM demand data'!$D$2:$D$4357,Summary!$A11,'NEM demand data'!$F$2:$F$4357,Summary!$A$4,'NEM demand data'!$H$2:$H$4357,Summary!M$7)*1000</f>
        <v>1961.5</v>
      </c>
      <c r="N11" s="8">
        <f>SUMIFS('NEM demand data'!$I$2:$I$4357,'NEM demand data'!$D$2:$D$4357,Summary!$A11,'NEM demand data'!$F$2:$F$4357,Summary!$A$4,'NEM demand data'!$H$2:$H$4357,Summary!N$7)*1000</f>
        <v>2877.8</v>
      </c>
      <c r="O11" s="8">
        <f>SUMIFS('NEM demand data'!$I$2:$I$4357,'NEM demand data'!$D$2:$D$4357,Summary!$A11,'NEM demand data'!$F$2:$F$4357,Summary!$A$4,'NEM demand data'!$H$2:$H$4357,Summary!O$7)*1000</f>
        <v>3927.9</v>
      </c>
      <c r="P11" s="8">
        <f>SUMIFS('NEM demand data'!$I$2:$I$4357,'NEM demand data'!$D$2:$D$4357,Summary!$A11,'NEM demand data'!$F$2:$F$4357,Summary!$A$4,'NEM demand data'!$H$2:$H$4357,Summary!P$7)*1000</f>
        <v>5122.8</v>
      </c>
      <c r="Q11" s="8">
        <f>SUMIFS('NEM demand data'!$I$2:$I$4357,'NEM demand data'!$D$2:$D$4357,Summary!$A11,'NEM demand data'!$F$2:$F$4357,Summary!$A$4,'NEM demand data'!$H$2:$H$4357,Summary!Q$7)*1000</f>
        <v>6457.4</v>
      </c>
      <c r="R11" s="8">
        <f>SUMIFS('NEM demand data'!$I$2:$I$4357,'NEM demand data'!$D$2:$D$4357,Summary!$A11,'NEM demand data'!$F$2:$F$4357,Summary!$A$4,'NEM demand data'!$H$2:$H$4357,Summary!R$7)*1000</f>
        <v>7918.5999999999995</v>
      </c>
      <c r="S11" s="8">
        <f>SUMIFS('NEM demand data'!$I$2:$I$4357,'NEM demand data'!$D$2:$D$4357,Summary!$A11,'NEM demand data'!$F$2:$F$4357,Summary!$A$4,'NEM demand data'!$H$2:$H$4357,Summary!S$7)*1000</f>
        <v>9435.9</v>
      </c>
      <c r="T11" s="8">
        <f>SUMIFS('NEM demand data'!$I$2:$I$4357,'NEM demand data'!$D$2:$D$4357,Summary!$A11,'NEM demand data'!$F$2:$F$4357,Summary!$A$4,'NEM demand data'!$H$2:$H$4357,Summary!T$7)*1000</f>
        <v>11070</v>
      </c>
      <c r="U11" s="8">
        <f>SUMIFS('NEM demand data'!$I$2:$I$4357,'NEM demand data'!$D$2:$D$4357,Summary!$A11,'NEM demand data'!$F$2:$F$4357,Summary!$A$4,'NEM demand data'!$H$2:$H$4357,Summary!U$7)*1000</f>
        <v>12812.4</v>
      </c>
      <c r="V11" s="8">
        <f>SUMIFS('NEM demand data'!$I$2:$I$4357,'NEM demand data'!$D$2:$D$4357,Summary!$A11,'NEM demand data'!$F$2:$F$4357,Summary!$A$4,'NEM demand data'!$H$2:$H$4357,Summary!V$7)*1000</f>
        <v>15489.9</v>
      </c>
      <c r="W11" s="8">
        <f>SUMIFS('NEM demand data'!$I$2:$I$4357,'NEM demand data'!$D$2:$D$4357,Summary!$A11,'NEM demand data'!$F$2:$F$4357,Summary!$A$4,'NEM demand data'!$H$2:$H$4357,Summary!W$7)*1000</f>
        <v>18800.599999999999</v>
      </c>
      <c r="X11" s="8">
        <f>SUMIFS('NEM demand data'!$I$2:$I$4357,'NEM demand data'!$D$2:$D$4357,Summary!$A11,'NEM demand data'!$F$2:$F$4357,Summary!$A$4,'NEM demand data'!$H$2:$H$4357,Summary!X$7)*1000</f>
        <v>22160.899999999998</v>
      </c>
      <c r="Y11" s="8">
        <f>SUMIFS('NEM demand data'!$I$2:$I$4357,'NEM demand data'!$D$2:$D$4357,Summary!$A11,'NEM demand data'!$F$2:$F$4357,Summary!$A$4,'NEM demand data'!$H$2:$H$4357,Summary!Y$7)*1000</f>
        <v>25525.600000000002</v>
      </c>
      <c r="Z11" s="8">
        <f>SUMIFS('NEM demand data'!$I$2:$I$4357,'NEM demand data'!$D$2:$D$4357,Summary!$A11,'NEM demand data'!$F$2:$F$4357,Summary!$A$4,'NEM demand data'!$H$2:$H$4357,Summary!Z$7)*1000</f>
        <v>28983.899999999998</v>
      </c>
      <c r="AA11" s="8">
        <f>SUMIFS('NEM demand data'!$I$2:$I$4357,'NEM demand data'!$D$2:$D$4357,Summary!$A11,'NEM demand data'!$F$2:$F$4357,Summary!$A$4,'NEM demand data'!$H$2:$H$4357,Summary!AA$7)*1000</f>
        <v>32281.600000000006</v>
      </c>
      <c r="AB11" s="8">
        <f>SUMIFS('NEM demand data'!$I$2:$I$4357,'NEM demand data'!$D$2:$D$4357,Summary!$A11,'NEM demand data'!$F$2:$F$4357,Summary!$A$4,'NEM demand data'!$H$2:$H$4357,Summary!AB$7)*1000</f>
        <v>35648.9</v>
      </c>
      <c r="AC11" s="8">
        <f>SUMIFS('NEM demand data'!$I$2:$I$4357,'NEM demand data'!$D$2:$D$4357,Summary!$A11,'NEM demand data'!$F$2:$F$4357,Summary!$A$4,'NEM demand data'!$H$2:$H$4357,Summary!AC$7)*1000</f>
        <v>39032.699999999997</v>
      </c>
      <c r="AD11" s="8">
        <f>SUMIFS('NEM demand data'!$I$2:$I$4357,'NEM demand data'!$D$2:$D$4357,Summary!$A11,'NEM demand data'!$F$2:$F$4357,Summary!$A$4,'NEM demand data'!$H$2:$H$4357,Summary!AD$7)*1000</f>
        <v>42528.3</v>
      </c>
      <c r="AE11" s="8">
        <f>SUMIFS('NEM demand data'!$I$2:$I$4357,'NEM demand data'!$D$2:$D$4357,Summary!$A11,'NEM demand data'!$F$2:$F$4357,Summary!$A$4,'NEM demand data'!$H$2:$H$4357,Summary!AE$7)*1000</f>
        <v>45805.8</v>
      </c>
      <c r="AF11" s="8">
        <f>SUMIFS('NEM demand data'!$I$2:$I$4357,'NEM demand data'!$D$2:$D$4357,Summary!$A11,'NEM demand data'!$F$2:$F$4357,Summary!$A$4,'NEM demand data'!$H$2:$H$4357,Summary!AF$7)*1000</f>
        <v>49220</v>
      </c>
      <c r="AG11" s="8">
        <f>SUMIFS('NEM demand data'!$I$2:$I$4357,'NEM demand data'!$D$2:$D$4357,Summary!$A11,'NEM demand data'!$F$2:$F$4357,Summary!$A$4,'NEM demand data'!$H$2:$H$4357,Summary!AG$7)*1000</f>
        <v>52621.8</v>
      </c>
      <c r="AH11" s="8">
        <f>SUMIFS('NEM demand data'!$I$2:$I$4357,'NEM demand data'!$D$2:$D$4357,Summary!$A11,'NEM demand data'!$F$2:$F$4357,Summary!$A$4,'NEM demand data'!$H$2:$H$4357,Summary!AH$7)*1000</f>
        <v>56163.5</v>
      </c>
      <c r="AI11" s="8">
        <f>SUMIFS('NEM demand data'!$I$2:$I$4357,'NEM demand data'!$D$2:$D$4357,Summary!$A11,'NEM demand data'!$F$2:$F$4357,Summary!$A$4,'NEM demand data'!$H$2:$H$4357,Summary!AI$7)*1000</f>
        <v>59423.299999999996</v>
      </c>
      <c r="AJ11" s="8">
        <f>SUMIFS('NEM demand data'!$I$2:$I$4357,'NEM demand data'!$D$2:$D$4357,Summary!$A11,'NEM demand data'!$F$2:$F$4357,Summary!$A$4,'NEM demand data'!$H$2:$H$4357,Summary!AJ$7)*1000</f>
        <v>62829.4</v>
      </c>
      <c r="AK11" s="8">
        <f>SUMIFS('NEM demand data'!$I$2:$I$4357,'NEM demand data'!$D$2:$D$4357,Summary!$A11,'NEM demand data'!$F$2:$F$4357,Summary!$A$4,'NEM demand data'!$H$2:$H$4357,Summary!AK$7)*1000</f>
        <v>66196.099999999991</v>
      </c>
      <c r="AL11" s="8">
        <f>SUMIFS('NEM demand data'!$I$2:$I$4357,'NEM demand data'!$D$2:$D$4357,Summary!$A11,'NEM demand data'!$F$2:$F$4357,Summary!$A$4,'NEM demand data'!$H$2:$H$4357,Summary!AL$7)*1000</f>
        <v>69796.400000000009</v>
      </c>
      <c r="AM11" s="8">
        <f>SUMIFS('NEM demand data'!$I$2:$I$4357,'NEM demand data'!$D$2:$D$4357,Summary!$A11,'NEM demand data'!$F$2:$F$4357,Summary!$A$4,'NEM demand data'!$H$2:$H$4357,Summary!AM$7)*1000</f>
        <v>72938.200000000012</v>
      </c>
      <c r="AN11" s="8">
        <f>SUMIFS('NEM demand data'!$I$2:$I$4357,'NEM demand data'!$D$2:$D$4357,Summary!$A11,'NEM demand data'!$F$2:$F$4357,Summary!$A$4,'NEM demand data'!$H$2:$H$4357,Summary!AN$7)*1000</f>
        <v>76309.7</v>
      </c>
      <c r="AO11" s="9">
        <f t="shared" si="0"/>
        <v>79837.044430627546</v>
      </c>
    </row>
    <row r="12" spans="1:41">
      <c r="A12" s="6" t="s">
        <v>100</v>
      </c>
      <c r="B12" s="7" t="s">
        <v>2</v>
      </c>
      <c r="J12" s="8"/>
      <c r="K12" s="8">
        <f>SUMIFS('NEM demand data'!$I$2:$I$4357,'NEM demand data'!$D$2:$D$4357,Summary!$A12,'NEM demand data'!$F$2:$F$4357,Summary!$A$4,'NEM demand data'!$H$2:$H$4357,Summary!K$7)*1000</f>
        <v>110.8</v>
      </c>
      <c r="L12" s="8">
        <f>SUMIFS('NEM demand data'!$I$2:$I$4357,'NEM demand data'!$D$2:$D$4357,Summary!$A12,'NEM demand data'!$F$2:$F$4357,Summary!$A$4,'NEM demand data'!$H$2:$H$4357,Summary!L$7)*1000</f>
        <v>556</v>
      </c>
      <c r="M12" s="8">
        <f>SUMIFS('NEM demand data'!$I$2:$I$4357,'NEM demand data'!$D$2:$D$4357,Summary!$A12,'NEM demand data'!$F$2:$F$4357,Summary!$A$4,'NEM demand data'!$H$2:$H$4357,Summary!M$7)*1000</f>
        <v>1111.8</v>
      </c>
      <c r="N12" s="8">
        <f>SUMIFS('NEM demand data'!$I$2:$I$4357,'NEM demand data'!$D$2:$D$4357,Summary!$A12,'NEM demand data'!$F$2:$F$4357,Summary!$A$4,'NEM demand data'!$H$2:$H$4357,Summary!N$7)*1000</f>
        <v>1395.2</v>
      </c>
      <c r="O12" s="8">
        <f>SUMIFS('NEM demand data'!$I$2:$I$4357,'NEM demand data'!$D$2:$D$4357,Summary!$A12,'NEM demand data'!$F$2:$F$4357,Summary!$A$4,'NEM demand data'!$H$2:$H$4357,Summary!O$7)*1000</f>
        <v>2003.6999999999998</v>
      </c>
      <c r="P12" s="8">
        <f>SUMIFS('NEM demand data'!$I$2:$I$4357,'NEM demand data'!$D$2:$D$4357,Summary!$A12,'NEM demand data'!$F$2:$F$4357,Summary!$A$4,'NEM demand data'!$H$2:$H$4357,Summary!P$7)*1000</f>
        <v>4634.8999999999996</v>
      </c>
      <c r="Q12" s="8">
        <f>SUMIFS('NEM demand data'!$I$2:$I$4357,'NEM demand data'!$D$2:$D$4357,Summary!$A12,'NEM demand data'!$F$2:$F$4357,Summary!$A$4,'NEM demand data'!$H$2:$H$4357,Summary!Q$7)*1000</f>
        <v>8203.0999999999985</v>
      </c>
      <c r="R12" s="8">
        <f>SUMIFS('NEM demand data'!$I$2:$I$4357,'NEM demand data'!$D$2:$D$4357,Summary!$A12,'NEM demand data'!$F$2:$F$4357,Summary!$A$4,'NEM demand data'!$H$2:$H$4357,Summary!R$7)*1000</f>
        <v>12027.900000000001</v>
      </c>
      <c r="S12" s="8">
        <f>SUMIFS('NEM demand data'!$I$2:$I$4357,'NEM demand data'!$D$2:$D$4357,Summary!$A12,'NEM demand data'!$F$2:$F$4357,Summary!$A$4,'NEM demand data'!$H$2:$H$4357,Summary!S$7)*1000</f>
        <v>17895</v>
      </c>
      <c r="T12" s="8">
        <f>SUMIFS('NEM demand data'!$I$2:$I$4357,'NEM demand data'!$D$2:$D$4357,Summary!$A12,'NEM demand data'!$F$2:$F$4357,Summary!$A$4,'NEM demand data'!$H$2:$H$4357,Summary!T$7)*1000</f>
        <v>24451.5</v>
      </c>
      <c r="U12" s="8">
        <f>SUMIFS('NEM demand data'!$I$2:$I$4357,'NEM demand data'!$D$2:$D$4357,Summary!$A12,'NEM demand data'!$F$2:$F$4357,Summary!$A$4,'NEM demand data'!$H$2:$H$4357,Summary!U$7)*1000</f>
        <v>27328.9</v>
      </c>
      <c r="V12" s="8">
        <f>SUMIFS('NEM demand data'!$I$2:$I$4357,'NEM demand data'!$D$2:$D$4357,Summary!$A12,'NEM demand data'!$F$2:$F$4357,Summary!$A$4,'NEM demand data'!$H$2:$H$4357,Summary!V$7)*1000</f>
        <v>29291.800000000003</v>
      </c>
      <c r="W12" s="8">
        <f>SUMIFS('NEM demand data'!$I$2:$I$4357,'NEM demand data'!$D$2:$D$4357,Summary!$A12,'NEM demand data'!$F$2:$F$4357,Summary!$A$4,'NEM demand data'!$H$2:$H$4357,Summary!W$7)*1000</f>
        <v>31354.300000000003</v>
      </c>
      <c r="X12" s="8">
        <f>SUMIFS('NEM demand data'!$I$2:$I$4357,'NEM demand data'!$D$2:$D$4357,Summary!$A12,'NEM demand data'!$F$2:$F$4357,Summary!$A$4,'NEM demand data'!$H$2:$H$4357,Summary!X$7)*1000</f>
        <v>33603.800000000003</v>
      </c>
      <c r="Y12" s="8">
        <f>SUMIFS('NEM demand data'!$I$2:$I$4357,'NEM demand data'!$D$2:$D$4357,Summary!$A12,'NEM demand data'!$F$2:$F$4357,Summary!$A$4,'NEM demand data'!$H$2:$H$4357,Summary!Y$7)*1000</f>
        <v>34718.300000000003</v>
      </c>
      <c r="Z12" s="8">
        <f>SUMIFS('NEM demand data'!$I$2:$I$4357,'NEM demand data'!$D$2:$D$4357,Summary!$A12,'NEM demand data'!$F$2:$F$4357,Summary!$A$4,'NEM demand data'!$H$2:$H$4357,Summary!Z$7)*1000</f>
        <v>37271</v>
      </c>
      <c r="AA12" s="8">
        <f>SUMIFS('NEM demand data'!$I$2:$I$4357,'NEM demand data'!$D$2:$D$4357,Summary!$A12,'NEM demand data'!$F$2:$F$4357,Summary!$A$4,'NEM demand data'!$H$2:$H$4357,Summary!AA$7)*1000</f>
        <v>38781.4</v>
      </c>
      <c r="AB12" s="8">
        <f>SUMIFS('NEM demand data'!$I$2:$I$4357,'NEM demand data'!$D$2:$D$4357,Summary!$A12,'NEM demand data'!$F$2:$F$4357,Summary!$A$4,'NEM demand data'!$H$2:$H$4357,Summary!AB$7)*1000</f>
        <v>41329.300000000003</v>
      </c>
      <c r="AC12" s="8">
        <f>SUMIFS('NEM demand data'!$I$2:$I$4357,'NEM demand data'!$D$2:$D$4357,Summary!$A12,'NEM demand data'!$F$2:$F$4357,Summary!$A$4,'NEM demand data'!$H$2:$H$4357,Summary!AC$7)*1000</f>
        <v>43574.3</v>
      </c>
      <c r="AD12" s="8">
        <f>SUMIFS('NEM demand data'!$I$2:$I$4357,'NEM demand data'!$D$2:$D$4357,Summary!$A12,'NEM demand data'!$F$2:$F$4357,Summary!$A$4,'NEM demand data'!$H$2:$H$4357,Summary!AD$7)*1000</f>
        <v>46221</v>
      </c>
      <c r="AE12" s="8">
        <f>SUMIFS('NEM demand data'!$I$2:$I$4357,'NEM demand data'!$D$2:$D$4357,Summary!$A12,'NEM demand data'!$F$2:$F$4357,Summary!$A$4,'NEM demand data'!$H$2:$H$4357,Summary!AE$7)*1000</f>
        <v>48895.5</v>
      </c>
      <c r="AF12" s="8">
        <f>SUMIFS('NEM demand data'!$I$2:$I$4357,'NEM demand data'!$D$2:$D$4357,Summary!$A12,'NEM demand data'!$F$2:$F$4357,Summary!$A$4,'NEM demand data'!$H$2:$H$4357,Summary!AF$7)*1000</f>
        <v>50744.299999999996</v>
      </c>
      <c r="AG12" s="8">
        <f>SUMIFS('NEM demand data'!$I$2:$I$4357,'NEM demand data'!$D$2:$D$4357,Summary!$A12,'NEM demand data'!$F$2:$F$4357,Summary!$A$4,'NEM demand data'!$H$2:$H$4357,Summary!AG$7)*1000</f>
        <v>52332.499999999993</v>
      </c>
      <c r="AH12" s="8">
        <f>SUMIFS('NEM demand data'!$I$2:$I$4357,'NEM demand data'!$D$2:$D$4357,Summary!$A12,'NEM demand data'!$F$2:$F$4357,Summary!$A$4,'NEM demand data'!$H$2:$H$4357,Summary!AH$7)*1000</f>
        <v>53747.6</v>
      </c>
      <c r="AI12" s="8">
        <f>SUMIFS('NEM demand data'!$I$2:$I$4357,'NEM demand data'!$D$2:$D$4357,Summary!$A12,'NEM demand data'!$F$2:$F$4357,Summary!$A$4,'NEM demand data'!$H$2:$H$4357,Summary!AI$7)*1000</f>
        <v>57460.3</v>
      </c>
      <c r="AJ12" s="8">
        <f>SUMIFS('NEM demand data'!$I$2:$I$4357,'NEM demand data'!$D$2:$D$4357,Summary!$A12,'NEM demand data'!$F$2:$F$4357,Summary!$A$4,'NEM demand data'!$H$2:$H$4357,Summary!AJ$7)*1000</f>
        <v>59626.7</v>
      </c>
      <c r="AK12" s="8">
        <f>SUMIFS('NEM demand data'!$I$2:$I$4357,'NEM demand data'!$D$2:$D$4357,Summary!$A12,'NEM demand data'!$F$2:$F$4357,Summary!$A$4,'NEM demand data'!$H$2:$H$4357,Summary!AK$7)*1000</f>
        <v>60926.5</v>
      </c>
      <c r="AL12" s="8">
        <f>SUMIFS('NEM demand data'!$I$2:$I$4357,'NEM demand data'!$D$2:$D$4357,Summary!$A12,'NEM demand data'!$F$2:$F$4357,Summary!$A$4,'NEM demand data'!$H$2:$H$4357,Summary!AL$7)*1000</f>
        <v>62262.299999999996</v>
      </c>
      <c r="AM12" s="8">
        <f>SUMIFS('NEM demand data'!$I$2:$I$4357,'NEM demand data'!$D$2:$D$4357,Summary!$A12,'NEM demand data'!$F$2:$F$4357,Summary!$A$4,'NEM demand data'!$H$2:$H$4357,Summary!AM$7)*1000</f>
        <v>67677.099999999991</v>
      </c>
      <c r="AN12" s="8">
        <f>SUMIFS('NEM demand data'!$I$2:$I$4357,'NEM demand data'!$D$2:$D$4357,Summary!$A12,'NEM demand data'!$F$2:$F$4357,Summary!$A$4,'NEM demand data'!$H$2:$H$4357,Summary!AN$7)*1000</f>
        <v>67677.099999999991</v>
      </c>
      <c r="AO12" s="9">
        <f t="shared" si="0"/>
        <v>67677.099999999991</v>
      </c>
    </row>
    <row r="13" spans="1:41">
      <c r="A13" s="6" t="s">
        <v>83</v>
      </c>
      <c r="B13" s="7" t="s">
        <v>2</v>
      </c>
      <c r="J13" s="8">
        <f>SUMIFS('NEM demand data'!$I$2:$I$4357,'NEM demand data'!$D$2:$D$4357,Summary!$A13,'NEM demand data'!$F$2:$F$4357,Summary!$A$4,'NEM demand data'!$H$2:$H$4357,Summary!J$7)*1000</f>
        <v>10332.599999999999</v>
      </c>
      <c r="K13" s="8">
        <f>SUMIFS('NEM demand data'!$I$2:$I$4357,'NEM demand data'!$D$2:$D$4357,Summary!$A13,'NEM demand data'!$F$2:$F$4357,Summary!$A$4,'NEM demand data'!$H$2:$H$4357,Summary!K$7)*1000</f>
        <v>9532.7999999999993</v>
      </c>
      <c r="L13" s="8">
        <f>SUMIFS('NEM demand data'!$I$2:$I$4357,'NEM demand data'!$D$2:$D$4357,Summary!$A13,'NEM demand data'!$F$2:$F$4357,Summary!$A$4,'NEM demand data'!$H$2:$H$4357,Summary!L$7)*1000</f>
        <v>9596.7999999999993</v>
      </c>
      <c r="M13" s="8">
        <f>SUMIFS('NEM demand data'!$I$2:$I$4357,'NEM demand data'!$D$2:$D$4357,Summary!$A13,'NEM demand data'!$F$2:$F$4357,Summary!$A$4,'NEM demand data'!$H$2:$H$4357,Summary!M$7)*1000</f>
        <v>9728.1000000000022</v>
      </c>
      <c r="N13" s="8">
        <f>SUMIFS('NEM demand data'!$I$2:$I$4357,'NEM demand data'!$D$2:$D$4357,Summary!$A13,'NEM demand data'!$F$2:$F$4357,Summary!$A$4,'NEM demand data'!$H$2:$H$4357,Summary!N$7)*1000</f>
        <v>9845.4000000000015</v>
      </c>
      <c r="O13" s="8">
        <f>SUMIFS('NEM demand data'!$I$2:$I$4357,'NEM demand data'!$D$2:$D$4357,Summary!$A13,'NEM demand data'!$F$2:$F$4357,Summary!$A$4,'NEM demand data'!$H$2:$H$4357,Summary!O$7)*1000</f>
        <v>9939.4999999999982</v>
      </c>
      <c r="P13" s="8">
        <f>SUMIFS('NEM demand data'!$I$2:$I$4357,'NEM demand data'!$D$2:$D$4357,Summary!$A13,'NEM demand data'!$F$2:$F$4357,Summary!$A$4,'NEM demand data'!$H$2:$H$4357,Summary!P$7)*1000</f>
        <v>10042</v>
      </c>
      <c r="Q13" s="8">
        <f>SUMIFS('NEM demand data'!$I$2:$I$4357,'NEM demand data'!$D$2:$D$4357,Summary!$A13,'NEM demand data'!$F$2:$F$4357,Summary!$A$4,'NEM demand data'!$H$2:$H$4357,Summary!Q$7)*1000</f>
        <v>10164.700000000001</v>
      </c>
      <c r="R13" s="8">
        <f>SUMIFS('NEM demand data'!$I$2:$I$4357,'NEM demand data'!$D$2:$D$4357,Summary!$A13,'NEM demand data'!$F$2:$F$4357,Summary!$A$4,'NEM demand data'!$H$2:$H$4357,Summary!R$7)*1000</f>
        <v>10307.200000000001</v>
      </c>
      <c r="S13" s="8">
        <f>SUMIFS('NEM demand data'!$I$2:$I$4357,'NEM demand data'!$D$2:$D$4357,Summary!$A13,'NEM demand data'!$F$2:$F$4357,Summary!$A$4,'NEM demand data'!$H$2:$H$4357,Summary!S$7)*1000</f>
        <v>10411.200000000001</v>
      </c>
      <c r="T13" s="8">
        <f>SUMIFS('NEM demand data'!$I$2:$I$4357,'NEM demand data'!$D$2:$D$4357,Summary!$A13,'NEM demand data'!$F$2:$F$4357,Summary!$A$4,'NEM demand data'!$H$2:$H$4357,Summary!T$7)*1000</f>
        <v>10424.800000000001</v>
      </c>
      <c r="U13" s="8">
        <f>SUMIFS('NEM demand data'!$I$2:$I$4357,'NEM demand data'!$D$2:$D$4357,Summary!$A13,'NEM demand data'!$F$2:$F$4357,Summary!$A$4,'NEM demand data'!$H$2:$H$4357,Summary!U$7)*1000</f>
        <v>10463.4</v>
      </c>
      <c r="V13" s="8">
        <f>SUMIFS('NEM demand data'!$I$2:$I$4357,'NEM demand data'!$D$2:$D$4357,Summary!$A13,'NEM demand data'!$F$2:$F$4357,Summary!$A$4,'NEM demand data'!$H$2:$H$4357,Summary!V$7)*1000</f>
        <v>10692.7</v>
      </c>
      <c r="W13" s="8">
        <f>SUMIFS('NEM demand data'!$I$2:$I$4357,'NEM demand data'!$D$2:$D$4357,Summary!$A13,'NEM demand data'!$F$2:$F$4357,Summary!$A$4,'NEM demand data'!$H$2:$H$4357,Summary!W$7)*1000</f>
        <v>10994.1</v>
      </c>
      <c r="X13" s="8">
        <f>SUMIFS('NEM demand data'!$I$2:$I$4357,'NEM demand data'!$D$2:$D$4357,Summary!$A13,'NEM demand data'!$F$2:$F$4357,Summary!$A$4,'NEM demand data'!$H$2:$H$4357,Summary!X$7)*1000</f>
        <v>11271.699999999999</v>
      </c>
      <c r="Y13" s="8">
        <f>SUMIFS('NEM demand data'!$I$2:$I$4357,'NEM demand data'!$D$2:$D$4357,Summary!$A13,'NEM demand data'!$F$2:$F$4357,Summary!$A$4,'NEM demand data'!$H$2:$H$4357,Summary!Y$7)*1000</f>
        <v>11419.9</v>
      </c>
      <c r="Z13" s="8">
        <f>SUMIFS('NEM demand data'!$I$2:$I$4357,'NEM demand data'!$D$2:$D$4357,Summary!$A13,'NEM demand data'!$F$2:$F$4357,Summary!$A$4,'NEM demand data'!$H$2:$H$4357,Summary!Z$7)*1000</f>
        <v>11615.400000000001</v>
      </c>
      <c r="AA13" s="8">
        <f>SUMIFS('NEM demand data'!$I$2:$I$4357,'NEM demand data'!$D$2:$D$4357,Summary!$A13,'NEM demand data'!$F$2:$F$4357,Summary!$A$4,'NEM demand data'!$H$2:$H$4357,Summary!AA$7)*1000</f>
        <v>11812.1</v>
      </c>
      <c r="AB13" s="8">
        <f>SUMIFS('NEM demand data'!$I$2:$I$4357,'NEM demand data'!$D$2:$D$4357,Summary!$A13,'NEM demand data'!$F$2:$F$4357,Summary!$A$4,'NEM demand data'!$H$2:$H$4357,Summary!AB$7)*1000</f>
        <v>12024.6</v>
      </c>
      <c r="AC13" s="8">
        <f>SUMIFS('NEM demand data'!$I$2:$I$4357,'NEM demand data'!$D$2:$D$4357,Summary!$A13,'NEM demand data'!$F$2:$F$4357,Summary!$A$4,'NEM demand data'!$H$2:$H$4357,Summary!AC$7)*1000</f>
        <v>12203.300000000001</v>
      </c>
      <c r="AD13" s="8">
        <f>SUMIFS('NEM demand data'!$I$2:$I$4357,'NEM demand data'!$D$2:$D$4357,Summary!$A13,'NEM demand data'!$F$2:$F$4357,Summary!$A$4,'NEM demand data'!$H$2:$H$4357,Summary!AD$7)*1000</f>
        <v>12376.1</v>
      </c>
      <c r="AE13" s="8">
        <f>SUMIFS('NEM demand data'!$I$2:$I$4357,'NEM demand data'!$D$2:$D$4357,Summary!$A13,'NEM demand data'!$F$2:$F$4357,Summary!$A$4,'NEM demand data'!$H$2:$H$4357,Summary!AE$7)*1000</f>
        <v>12521</v>
      </c>
      <c r="AF13" s="8">
        <f>SUMIFS('NEM demand data'!$I$2:$I$4357,'NEM demand data'!$D$2:$D$4357,Summary!$A13,'NEM demand data'!$F$2:$F$4357,Summary!$A$4,'NEM demand data'!$H$2:$H$4357,Summary!AF$7)*1000</f>
        <v>12581.099999999999</v>
      </c>
      <c r="AG13" s="8">
        <f>SUMIFS('NEM demand data'!$I$2:$I$4357,'NEM demand data'!$D$2:$D$4357,Summary!$A13,'NEM demand data'!$F$2:$F$4357,Summary!$A$4,'NEM demand data'!$H$2:$H$4357,Summary!AG$7)*1000</f>
        <v>12628.499999999998</v>
      </c>
      <c r="AH13" s="8">
        <f>SUMIFS('NEM demand data'!$I$2:$I$4357,'NEM demand data'!$D$2:$D$4357,Summary!$A13,'NEM demand data'!$F$2:$F$4357,Summary!$A$4,'NEM demand data'!$H$2:$H$4357,Summary!AH$7)*1000</f>
        <v>12656.3</v>
      </c>
      <c r="AI13" s="8">
        <f>SUMIFS('NEM demand data'!$I$2:$I$4357,'NEM demand data'!$D$2:$D$4357,Summary!$A13,'NEM demand data'!$F$2:$F$4357,Summary!$A$4,'NEM demand data'!$H$2:$H$4357,Summary!AI$7)*1000</f>
        <v>12696.5</v>
      </c>
      <c r="AJ13" s="8">
        <f>SUMIFS('NEM demand data'!$I$2:$I$4357,'NEM demand data'!$D$2:$D$4357,Summary!$A13,'NEM demand data'!$F$2:$F$4357,Summary!$A$4,'NEM demand data'!$H$2:$H$4357,Summary!AJ$7)*1000</f>
        <v>12807.3</v>
      </c>
      <c r="AK13" s="8">
        <f>SUMIFS('NEM demand data'!$I$2:$I$4357,'NEM demand data'!$D$2:$D$4357,Summary!$A13,'NEM demand data'!$F$2:$F$4357,Summary!$A$4,'NEM demand data'!$H$2:$H$4357,Summary!AK$7)*1000</f>
        <v>12960.9</v>
      </c>
      <c r="AL13" s="8">
        <f>SUMIFS('NEM demand data'!$I$2:$I$4357,'NEM demand data'!$D$2:$D$4357,Summary!$A13,'NEM demand data'!$F$2:$F$4357,Summary!$A$4,'NEM demand data'!$H$2:$H$4357,Summary!AL$7)*1000</f>
        <v>13158.000000000002</v>
      </c>
      <c r="AM13" s="8">
        <f>SUMIFS('NEM demand data'!$I$2:$I$4357,'NEM demand data'!$D$2:$D$4357,Summary!$A13,'NEM demand data'!$F$2:$F$4357,Summary!$A$4,'NEM demand data'!$H$2:$H$4357,Summary!AM$7)*1000</f>
        <v>13335.599999999999</v>
      </c>
      <c r="AN13" s="8">
        <f>SUMIFS('NEM demand data'!$I$2:$I$4357,'NEM demand data'!$D$2:$D$4357,Summary!$A13,'NEM demand data'!$F$2:$F$4357,Summary!$A$4,'NEM demand data'!$H$2:$H$4357,Summary!AN$7)*1000</f>
        <v>13542</v>
      </c>
      <c r="AO13" s="9">
        <f t="shared" si="0"/>
        <v>13751.594528930082</v>
      </c>
    </row>
    <row r="14" spans="1:41">
      <c r="A14" s="6" t="s">
        <v>86</v>
      </c>
      <c r="B14" s="7" t="s">
        <v>2</v>
      </c>
      <c r="J14" s="8">
        <f>SUMIFS('NEM demand data'!$I$2:$I$4357,'NEM demand data'!$D$2:$D$4357,Summary!$A14,'NEM demand data'!$F$2:$F$4357,Summary!$A$4,'NEM demand data'!$H$2:$H$4357,Summary!J$7)*1000</f>
        <v>6836.2</v>
      </c>
      <c r="K14" s="8">
        <f>SUMIFS('NEM demand data'!$I$2:$I$4357,'NEM demand data'!$D$2:$D$4357,Summary!$A14,'NEM demand data'!$F$2:$F$4357,Summary!$A$4,'NEM demand data'!$H$2:$H$4357,Summary!K$7)*1000</f>
        <v>7052.3</v>
      </c>
      <c r="L14" s="8">
        <f>SUMIFS('NEM demand data'!$I$2:$I$4357,'NEM demand data'!$D$2:$D$4357,Summary!$A14,'NEM demand data'!$F$2:$F$4357,Summary!$A$4,'NEM demand data'!$H$2:$H$4357,Summary!L$7)*1000</f>
        <v>7563.4</v>
      </c>
      <c r="M14" s="8">
        <f>SUMIFS('NEM demand data'!$I$2:$I$4357,'NEM demand data'!$D$2:$D$4357,Summary!$A14,'NEM demand data'!$F$2:$F$4357,Summary!$A$4,'NEM demand data'!$H$2:$H$4357,Summary!M$7)*1000</f>
        <v>8074.3000000000011</v>
      </c>
      <c r="N14" s="8">
        <f>SUMIFS('NEM demand data'!$I$2:$I$4357,'NEM demand data'!$D$2:$D$4357,Summary!$A14,'NEM demand data'!$F$2:$F$4357,Summary!$A$4,'NEM demand data'!$H$2:$H$4357,Summary!N$7)*1000</f>
        <v>8610.3000000000011</v>
      </c>
      <c r="O14" s="8">
        <f>SUMIFS('NEM demand data'!$I$2:$I$4357,'NEM demand data'!$D$2:$D$4357,Summary!$A14,'NEM demand data'!$F$2:$F$4357,Summary!$A$4,'NEM demand data'!$H$2:$H$4357,Summary!O$7)*1000</f>
        <v>9065.2000000000007</v>
      </c>
      <c r="P14" s="8">
        <f>SUMIFS('NEM demand data'!$I$2:$I$4357,'NEM demand data'!$D$2:$D$4357,Summary!$A14,'NEM demand data'!$F$2:$F$4357,Summary!$A$4,'NEM demand data'!$H$2:$H$4357,Summary!P$7)*1000</f>
        <v>9571.9</v>
      </c>
      <c r="Q14" s="8">
        <f>SUMIFS('NEM demand data'!$I$2:$I$4357,'NEM demand data'!$D$2:$D$4357,Summary!$A14,'NEM demand data'!$F$2:$F$4357,Summary!$A$4,'NEM demand data'!$H$2:$H$4357,Summary!Q$7)*1000</f>
        <v>10217.9</v>
      </c>
      <c r="R14" s="8">
        <f>SUMIFS('NEM demand data'!$I$2:$I$4357,'NEM demand data'!$D$2:$D$4357,Summary!$A14,'NEM demand data'!$F$2:$F$4357,Summary!$A$4,'NEM demand data'!$H$2:$H$4357,Summary!R$7)*1000</f>
        <v>10899.5</v>
      </c>
      <c r="S14" s="8">
        <f>SUMIFS('NEM demand data'!$I$2:$I$4357,'NEM demand data'!$D$2:$D$4357,Summary!$A14,'NEM demand data'!$F$2:$F$4357,Summary!$A$4,'NEM demand data'!$H$2:$H$4357,Summary!S$7)*1000</f>
        <v>11678</v>
      </c>
      <c r="T14" s="8">
        <f>SUMIFS('NEM demand data'!$I$2:$I$4357,'NEM demand data'!$D$2:$D$4357,Summary!$A14,'NEM demand data'!$F$2:$F$4357,Summary!$A$4,'NEM demand data'!$H$2:$H$4357,Summary!T$7)*1000</f>
        <v>12479.699999999999</v>
      </c>
      <c r="U14" s="8">
        <f>SUMIFS('NEM demand data'!$I$2:$I$4357,'NEM demand data'!$D$2:$D$4357,Summary!$A14,'NEM demand data'!$F$2:$F$4357,Summary!$A$4,'NEM demand data'!$H$2:$H$4357,Summary!U$7)*1000</f>
        <v>13196</v>
      </c>
      <c r="V14" s="8">
        <f>SUMIFS('NEM demand data'!$I$2:$I$4357,'NEM demand data'!$D$2:$D$4357,Summary!$A14,'NEM demand data'!$F$2:$F$4357,Summary!$A$4,'NEM demand data'!$H$2:$H$4357,Summary!V$7)*1000</f>
        <v>13632.1</v>
      </c>
      <c r="W14" s="8">
        <f>SUMIFS('NEM demand data'!$I$2:$I$4357,'NEM demand data'!$D$2:$D$4357,Summary!$A14,'NEM demand data'!$F$2:$F$4357,Summary!$A$4,'NEM demand data'!$H$2:$H$4357,Summary!W$7)*1000</f>
        <v>14497.599999999999</v>
      </c>
      <c r="X14" s="8">
        <f>SUMIFS('NEM demand data'!$I$2:$I$4357,'NEM demand data'!$D$2:$D$4357,Summary!$A14,'NEM demand data'!$F$2:$F$4357,Summary!$A$4,'NEM demand data'!$H$2:$H$4357,Summary!X$7)*1000</f>
        <v>15052.6</v>
      </c>
      <c r="Y14" s="8">
        <f>SUMIFS('NEM demand data'!$I$2:$I$4357,'NEM demand data'!$D$2:$D$4357,Summary!$A14,'NEM demand data'!$F$2:$F$4357,Summary!$A$4,'NEM demand data'!$H$2:$H$4357,Summary!Y$7)*1000</f>
        <v>16195.800000000001</v>
      </c>
      <c r="Z14" s="8">
        <f>SUMIFS('NEM demand data'!$I$2:$I$4357,'NEM demand data'!$D$2:$D$4357,Summary!$A14,'NEM demand data'!$F$2:$F$4357,Summary!$A$4,'NEM demand data'!$H$2:$H$4357,Summary!Z$7)*1000</f>
        <v>17475.599999999999</v>
      </c>
      <c r="AA14" s="8">
        <f>SUMIFS('NEM demand data'!$I$2:$I$4357,'NEM demand data'!$D$2:$D$4357,Summary!$A14,'NEM demand data'!$F$2:$F$4357,Summary!$A$4,'NEM demand data'!$H$2:$H$4357,Summary!AA$7)*1000</f>
        <v>18524.400000000001</v>
      </c>
      <c r="AB14" s="8">
        <f>SUMIFS('NEM demand data'!$I$2:$I$4357,'NEM demand data'!$D$2:$D$4357,Summary!$A14,'NEM demand data'!$F$2:$F$4357,Summary!$A$4,'NEM demand data'!$H$2:$H$4357,Summary!AB$7)*1000</f>
        <v>19660.399999999998</v>
      </c>
      <c r="AC14" s="8">
        <f>SUMIFS('NEM demand data'!$I$2:$I$4357,'NEM demand data'!$D$2:$D$4357,Summary!$A14,'NEM demand data'!$F$2:$F$4357,Summary!$A$4,'NEM demand data'!$H$2:$H$4357,Summary!AC$7)*1000</f>
        <v>21034.7</v>
      </c>
      <c r="AD14" s="8">
        <f>SUMIFS('NEM demand data'!$I$2:$I$4357,'NEM demand data'!$D$2:$D$4357,Summary!$A14,'NEM demand data'!$F$2:$F$4357,Summary!$A$4,'NEM demand data'!$H$2:$H$4357,Summary!AD$7)*1000</f>
        <v>22475.3</v>
      </c>
      <c r="AE14" s="8">
        <f>SUMIFS('NEM demand data'!$I$2:$I$4357,'NEM demand data'!$D$2:$D$4357,Summary!$A14,'NEM demand data'!$F$2:$F$4357,Summary!$A$4,'NEM demand data'!$H$2:$H$4357,Summary!AE$7)*1000</f>
        <v>23428.5</v>
      </c>
      <c r="AF14" s="8">
        <f>SUMIFS('NEM demand data'!$I$2:$I$4357,'NEM demand data'!$D$2:$D$4357,Summary!$A14,'NEM demand data'!$F$2:$F$4357,Summary!$A$4,'NEM demand data'!$H$2:$H$4357,Summary!AF$7)*1000</f>
        <v>24427.500000000004</v>
      </c>
      <c r="AG14" s="8">
        <f>SUMIFS('NEM demand data'!$I$2:$I$4357,'NEM demand data'!$D$2:$D$4357,Summary!$A14,'NEM demand data'!$F$2:$F$4357,Summary!$A$4,'NEM demand data'!$H$2:$H$4357,Summary!AG$7)*1000</f>
        <v>25533.599999999999</v>
      </c>
      <c r="AH14" s="8">
        <f>SUMIFS('NEM demand data'!$I$2:$I$4357,'NEM demand data'!$D$2:$D$4357,Summary!$A14,'NEM demand data'!$F$2:$F$4357,Summary!$A$4,'NEM demand data'!$H$2:$H$4357,Summary!AH$7)*1000</f>
        <v>26674.800000000003</v>
      </c>
      <c r="AI14" s="8">
        <f>SUMIFS('NEM demand data'!$I$2:$I$4357,'NEM demand data'!$D$2:$D$4357,Summary!$A14,'NEM demand data'!$F$2:$F$4357,Summary!$A$4,'NEM demand data'!$H$2:$H$4357,Summary!AI$7)*1000</f>
        <v>28026.800000000003</v>
      </c>
      <c r="AJ14" s="8">
        <f>SUMIFS('NEM demand data'!$I$2:$I$4357,'NEM demand data'!$D$2:$D$4357,Summary!$A14,'NEM demand data'!$F$2:$F$4357,Summary!$A$4,'NEM demand data'!$H$2:$H$4357,Summary!AJ$7)*1000</f>
        <v>29865</v>
      </c>
      <c r="AK14" s="8">
        <f>SUMIFS('NEM demand data'!$I$2:$I$4357,'NEM demand data'!$D$2:$D$4357,Summary!$A14,'NEM demand data'!$F$2:$F$4357,Summary!$A$4,'NEM demand data'!$H$2:$H$4357,Summary!AK$7)*1000</f>
        <v>31444.1</v>
      </c>
      <c r="AL14" s="8">
        <f>SUMIFS('NEM demand data'!$I$2:$I$4357,'NEM demand data'!$D$2:$D$4357,Summary!$A14,'NEM demand data'!$F$2:$F$4357,Summary!$A$4,'NEM demand data'!$H$2:$H$4357,Summary!AL$7)*1000</f>
        <v>32838.199999999997</v>
      </c>
      <c r="AM14" s="8">
        <f>SUMIFS('NEM demand data'!$I$2:$I$4357,'NEM demand data'!$D$2:$D$4357,Summary!$A14,'NEM demand data'!$F$2:$F$4357,Summary!$A$4,'NEM demand data'!$H$2:$H$4357,Summary!AM$7)*1000</f>
        <v>34040.799999999996</v>
      </c>
      <c r="AN14" s="8">
        <f>SUMIFS('NEM demand data'!$I$2:$I$4357,'NEM demand data'!$D$2:$D$4357,Summary!$A14,'NEM demand data'!$F$2:$F$4357,Summary!$A$4,'NEM demand data'!$H$2:$H$4357,Summary!AN$7)*1000</f>
        <v>35352.600000000006</v>
      </c>
      <c r="AO14" s="9">
        <f>AN14/AM14*AN14</f>
        <v>36714.951668585949</v>
      </c>
    </row>
    <row r="15" spans="1:41">
      <c r="A15" s="6" t="s">
        <v>108</v>
      </c>
      <c r="B15" s="7" t="s">
        <v>2</v>
      </c>
      <c r="J15" s="8">
        <f>SUMIFS('NEM demand data'!$I$2:$I$4357,'NEM demand data'!$D$2:$D$4357,Summary!$A15,'NEM demand data'!$F$2:$F$4357,Summary!$A$4,'NEM demand data'!$H$2:$H$4357,Summary!J$7)*1000</f>
        <v>7782.3</v>
      </c>
      <c r="K15" s="8">
        <f>SUMIFS('NEM demand data'!$I$2:$I$4357,'NEM demand data'!$D$2:$D$4357,Summary!$A15,'NEM demand data'!$F$2:$F$4357,Summary!$A$4,'NEM demand data'!$H$2:$H$4357,Summary!K$7)*1000</f>
        <v>7928</v>
      </c>
      <c r="L15" s="8">
        <f>SUMIFS('NEM demand data'!$I$2:$I$4357,'NEM demand data'!$D$2:$D$4357,Summary!$A15,'NEM demand data'!$F$2:$F$4357,Summary!$A$4,'NEM demand data'!$H$2:$H$4357,Summary!L$7)*1000</f>
        <v>8069.9000000000005</v>
      </c>
      <c r="M15" s="8">
        <f>SUMIFS('NEM demand data'!$I$2:$I$4357,'NEM demand data'!$D$2:$D$4357,Summary!$A15,'NEM demand data'!$F$2:$F$4357,Summary!$A$4,'NEM demand data'!$H$2:$H$4357,Summary!M$7)*1000</f>
        <v>7794</v>
      </c>
      <c r="N15" s="8">
        <f>SUMIFS('NEM demand data'!$I$2:$I$4357,'NEM demand data'!$D$2:$D$4357,Summary!$A15,'NEM demand data'!$F$2:$F$4357,Summary!$A$4,'NEM demand data'!$H$2:$H$4357,Summary!N$7)*1000</f>
        <v>6300.3</v>
      </c>
      <c r="O15" s="8">
        <f>SUMIFS('NEM demand data'!$I$2:$I$4357,'NEM demand data'!$D$2:$D$4357,Summary!$A15,'NEM demand data'!$F$2:$F$4357,Summary!$A$4,'NEM demand data'!$H$2:$H$4357,Summary!O$7)*1000</f>
        <v>5243.7</v>
      </c>
      <c r="P15" s="8">
        <f>SUMIFS('NEM demand data'!$I$2:$I$4357,'NEM demand data'!$D$2:$D$4357,Summary!$A15,'NEM demand data'!$F$2:$F$4357,Summary!$A$4,'NEM demand data'!$H$2:$H$4357,Summary!P$7)*1000</f>
        <v>4684.8</v>
      </c>
      <c r="Q15" s="8">
        <f>SUMIFS('NEM demand data'!$I$2:$I$4357,'NEM demand data'!$D$2:$D$4357,Summary!$A15,'NEM demand data'!$F$2:$F$4357,Summary!$A$4,'NEM demand data'!$H$2:$H$4357,Summary!Q$7)*1000</f>
        <v>3933.8</v>
      </c>
      <c r="R15" s="8">
        <f>SUMIFS('NEM demand data'!$I$2:$I$4357,'NEM demand data'!$D$2:$D$4357,Summary!$A15,'NEM demand data'!$F$2:$F$4357,Summary!$A$4,'NEM demand data'!$H$2:$H$4357,Summary!R$7)*1000</f>
        <v>3399.9</v>
      </c>
      <c r="S15" s="8">
        <f>SUMIFS('NEM demand data'!$I$2:$I$4357,'NEM demand data'!$D$2:$D$4357,Summary!$A15,'NEM demand data'!$F$2:$F$4357,Summary!$A$4,'NEM demand data'!$H$2:$H$4357,Summary!S$7)*1000</f>
        <v>3124.8999999999996</v>
      </c>
      <c r="T15" s="8">
        <f>SUMIFS('NEM demand data'!$I$2:$I$4357,'NEM demand data'!$D$2:$D$4357,Summary!$A15,'NEM demand data'!$F$2:$F$4357,Summary!$A$4,'NEM demand data'!$H$2:$H$4357,Summary!T$7)*1000</f>
        <v>1745.7</v>
      </c>
      <c r="U15" s="8">
        <f>SUMIFS('NEM demand data'!$I$2:$I$4357,'NEM demand data'!$D$2:$D$4357,Summary!$A15,'NEM demand data'!$F$2:$F$4357,Summary!$A$4,'NEM demand data'!$H$2:$H$4357,Summary!U$7)*1000</f>
        <v>1147.2</v>
      </c>
      <c r="V15" s="8">
        <f>SUMIFS('NEM demand data'!$I$2:$I$4357,'NEM demand data'!$D$2:$D$4357,Summary!$A15,'NEM demand data'!$F$2:$F$4357,Summary!$A$4,'NEM demand data'!$H$2:$H$4357,Summary!V$7)*1000</f>
        <v>1065.7</v>
      </c>
      <c r="W15" s="8">
        <f>SUMIFS('NEM demand data'!$I$2:$I$4357,'NEM demand data'!$D$2:$D$4357,Summary!$A15,'NEM demand data'!$F$2:$F$4357,Summary!$A$4,'NEM demand data'!$H$2:$H$4357,Summary!W$7)*1000</f>
        <v>878.5</v>
      </c>
      <c r="X15" s="8">
        <f>SUMIFS('NEM demand data'!$I$2:$I$4357,'NEM demand data'!$D$2:$D$4357,Summary!$A15,'NEM demand data'!$F$2:$F$4357,Summary!$A$4,'NEM demand data'!$H$2:$H$4357,Summary!X$7)*1000</f>
        <v>701.30000000000007</v>
      </c>
      <c r="Y15" s="8">
        <f>SUMIFS('NEM demand data'!$I$2:$I$4357,'NEM demand data'!$D$2:$D$4357,Summary!$A15,'NEM demand data'!$F$2:$F$4357,Summary!$A$4,'NEM demand data'!$H$2:$H$4357,Summary!Y$7)*1000</f>
        <v>713.40000000000009</v>
      </c>
      <c r="Z15" s="8">
        <f>SUMIFS('NEM demand data'!$I$2:$I$4357,'NEM demand data'!$D$2:$D$4357,Summary!$A15,'NEM demand data'!$F$2:$F$4357,Summary!$A$4,'NEM demand data'!$H$2:$H$4357,Summary!Z$7)*1000</f>
        <v>700.4</v>
      </c>
      <c r="AA15" s="8">
        <f>SUMIFS('NEM demand data'!$I$2:$I$4357,'NEM demand data'!$D$2:$D$4357,Summary!$A15,'NEM demand data'!$F$2:$F$4357,Summary!$A$4,'NEM demand data'!$H$2:$H$4357,Summary!AA$7)*1000</f>
        <v>716</v>
      </c>
      <c r="AB15" s="8">
        <f>SUMIFS('NEM demand data'!$I$2:$I$4357,'NEM demand data'!$D$2:$D$4357,Summary!$A15,'NEM demand data'!$F$2:$F$4357,Summary!$A$4,'NEM demand data'!$H$2:$H$4357,Summary!AB$7)*1000</f>
        <v>750.19999999999993</v>
      </c>
      <c r="AC15" s="8">
        <f>SUMIFS('NEM demand data'!$I$2:$I$4357,'NEM demand data'!$D$2:$D$4357,Summary!$A15,'NEM demand data'!$F$2:$F$4357,Summary!$A$4,'NEM demand data'!$H$2:$H$4357,Summary!AC$7)*1000</f>
        <v>752.1</v>
      </c>
      <c r="AD15" s="8">
        <f>SUMIFS('NEM demand data'!$I$2:$I$4357,'NEM demand data'!$D$2:$D$4357,Summary!$A15,'NEM demand data'!$F$2:$F$4357,Summary!$A$4,'NEM demand data'!$H$2:$H$4357,Summary!AD$7)*1000</f>
        <v>724.09999999999991</v>
      </c>
      <c r="AE15" s="8">
        <f>SUMIFS('NEM demand data'!$I$2:$I$4357,'NEM demand data'!$D$2:$D$4357,Summary!$A15,'NEM demand data'!$F$2:$F$4357,Summary!$A$4,'NEM demand data'!$H$2:$H$4357,Summary!AE$7)*1000</f>
        <v>729.6</v>
      </c>
      <c r="AF15" s="8">
        <f>SUMIFS('NEM demand data'!$I$2:$I$4357,'NEM demand data'!$D$2:$D$4357,Summary!$A15,'NEM demand data'!$F$2:$F$4357,Summary!$A$4,'NEM demand data'!$H$2:$H$4357,Summary!AF$7)*1000</f>
        <v>730.40000000000009</v>
      </c>
      <c r="AG15" s="8">
        <f>SUMIFS('NEM demand data'!$I$2:$I$4357,'NEM demand data'!$D$2:$D$4357,Summary!$A15,'NEM demand data'!$F$2:$F$4357,Summary!$A$4,'NEM demand data'!$H$2:$H$4357,Summary!AG$7)*1000</f>
        <v>730.3</v>
      </c>
      <c r="AH15" s="8">
        <f>SUMIFS('NEM demand data'!$I$2:$I$4357,'NEM demand data'!$D$2:$D$4357,Summary!$A15,'NEM demand data'!$F$2:$F$4357,Summary!$A$4,'NEM demand data'!$H$2:$H$4357,Summary!AH$7)*1000</f>
        <v>729.3</v>
      </c>
      <c r="AI15" s="8">
        <f>SUMIFS('NEM demand data'!$I$2:$I$4357,'NEM demand data'!$D$2:$D$4357,Summary!$A15,'NEM demand data'!$F$2:$F$4357,Summary!$A$4,'NEM demand data'!$H$2:$H$4357,Summary!AI$7)*1000</f>
        <v>728.19999999999993</v>
      </c>
      <c r="AJ15" s="8">
        <f>SUMIFS('NEM demand data'!$I$2:$I$4357,'NEM demand data'!$D$2:$D$4357,Summary!$A15,'NEM demand data'!$F$2:$F$4357,Summary!$A$4,'NEM demand data'!$H$2:$H$4357,Summary!AJ$7)*1000</f>
        <v>729.3</v>
      </c>
      <c r="AK15" s="8">
        <f>SUMIFS('NEM demand data'!$I$2:$I$4357,'NEM demand data'!$D$2:$D$4357,Summary!$A15,'NEM demand data'!$F$2:$F$4357,Summary!$A$4,'NEM demand data'!$H$2:$H$4357,Summary!AK$7)*1000</f>
        <v>733.3</v>
      </c>
      <c r="AL15" s="8">
        <f>SUMIFS('NEM demand data'!$I$2:$I$4357,'NEM demand data'!$D$2:$D$4357,Summary!$A15,'NEM demand data'!$F$2:$F$4357,Summary!$A$4,'NEM demand data'!$H$2:$H$4357,Summary!AL$7)*1000</f>
        <v>740.19999999999993</v>
      </c>
      <c r="AM15" s="8">
        <f>SUMIFS('NEM demand data'!$I$2:$I$4357,'NEM demand data'!$D$2:$D$4357,Summary!$A15,'NEM demand data'!$F$2:$F$4357,Summary!$A$4,'NEM demand data'!$H$2:$H$4357,Summary!AM$7)*1000</f>
        <v>747.1</v>
      </c>
      <c r="AN15" s="8">
        <f>SUMIFS('NEM demand data'!$I$2:$I$4357,'NEM demand data'!$D$2:$D$4357,Summary!$A15,'NEM demand data'!$F$2:$F$4357,Summary!$A$4,'NEM demand data'!$H$2:$H$4357,Summary!AN$7)*1000</f>
        <v>755.7</v>
      </c>
      <c r="AO15" s="9">
        <f>AN15/AM15*AN15</f>
        <v>764.39899611832425</v>
      </c>
    </row>
    <row r="16" spans="1:41">
      <c r="A16" s="6" t="s">
        <v>103</v>
      </c>
      <c r="B16" s="7" t="s">
        <v>2</v>
      </c>
      <c r="J16" s="53">
        <f>K16/L16*K16</f>
        <v>24233.45537339709</v>
      </c>
      <c r="K16" s="8">
        <f>SUMIFS('NEM demand data'!$I$2:$I$4357,'NEM demand data'!$D$2:$D$4357,Summary!$A16,'NEM demand data'!$F$2:$F$4357,Summary!$A$4,'NEM demand data'!$H$2:$H$4357,Summary!K$7)*1000</f>
        <v>26959.500000000004</v>
      </c>
      <c r="L16" s="8">
        <f>SUMIFS('NEM demand data'!$I$2:$I$4357,'NEM demand data'!$D$2:$D$4357,Summary!$A16,'NEM demand data'!$F$2:$F$4357,Summary!$A$4,'NEM demand data'!$H$2:$H$4357,Summary!L$7)*1000</f>
        <v>29992.2</v>
      </c>
      <c r="M16" s="8">
        <f>SUMIFS('NEM demand data'!$I$2:$I$4357,'NEM demand data'!$D$2:$D$4357,Summary!$A16,'NEM demand data'!$F$2:$F$4357,Summary!$A$4,'NEM demand data'!$H$2:$H$4357,Summary!M$7)*1000</f>
        <v>33056.399999999994</v>
      </c>
      <c r="N16" s="8">
        <f>SUMIFS('NEM demand data'!$I$2:$I$4357,'NEM demand data'!$D$2:$D$4357,Summary!$A16,'NEM demand data'!$F$2:$F$4357,Summary!$A$4,'NEM demand data'!$H$2:$H$4357,Summary!N$7)*1000</f>
        <v>36191.4</v>
      </c>
      <c r="O16" s="8">
        <f>SUMIFS('NEM demand data'!$I$2:$I$4357,'NEM demand data'!$D$2:$D$4357,Summary!$A16,'NEM demand data'!$F$2:$F$4357,Summary!$A$4,'NEM demand data'!$H$2:$H$4357,Summary!O$7)*1000</f>
        <v>38881</v>
      </c>
      <c r="P16" s="8">
        <f>SUMIFS('NEM demand data'!$I$2:$I$4357,'NEM demand data'!$D$2:$D$4357,Summary!$A16,'NEM demand data'!$F$2:$F$4357,Summary!$A$4,'NEM demand data'!$H$2:$H$4357,Summary!P$7)*1000</f>
        <v>41225.700000000004</v>
      </c>
      <c r="Q16" s="8">
        <f>SUMIFS('NEM demand data'!$I$2:$I$4357,'NEM demand data'!$D$2:$D$4357,Summary!$A16,'NEM demand data'!$F$2:$F$4357,Summary!$A$4,'NEM demand data'!$H$2:$H$4357,Summary!Q$7)*1000</f>
        <v>43744.3</v>
      </c>
      <c r="R16" s="8">
        <f>SUMIFS('NEM demand data'!$I$2:$I$4357,'NEM demand data'!$D$2:$D$4357,Summary!$A16,'NEM demand data'!$F$2:$F$4357,Summary!$A$4,'NEM demand data'!$H$2:$H$4357,Summary!R$7)*1000</f>
        <v>46507.199999999997</v>
      </c>
      <c r="S16" s="8">
        <f>SUMIFS('NEM demand data'!$I$2:$I$4357,'NEM demand data'!$D$2:$D$4357,Summary!$A16,'NEM demand data'!$F$2:$F$4357,Summary!$A$4,'NEM demand data'!$H$2:$H$4357,Summary!S$7)*1000</f>
        <v>49259.4</v>
      </c>
      <c r="T16" s="8">
        <f>SUMIFS('NEM demand data'!$I$2:$I$4357,'NEM demand data'!$D$2:$D$4357,Summary!$A16,'NEM demand data'!$F$2:$F$4357,Summary!$A$4,'NEM demand data'!$H$2:$H$4357,Summary!T$7)*1000</f>
        <v>51988</v>
      </c>
      <c r="U16" s="8">
        <f>SUMIFS('NEM demand data'!$I$2:$I$4357,'NEM demand data'!$D$2:$D$4357,Summary!$A16,'NEM demand data'!$F$2:$F$4357,Summary!$A$4,'NEM demand data'!$H$2:$H$4357,Summary!U$7)*1000</f>
        <v>54668.5</v>
      </c>
      <c r="V16" s="8">
        <f>SUMIFS('NEM demand data'!$I$2:$I$4357,'NEM demand data'!$D$2:$D$4357,Summary!$A16,'NEM demand data'!$F$2:$F$4357,Summary!$A$4,'NEM demand data'!$H$2:$H$4357,Summary!V$7)*1000</f>
        <v>57422</v>
      </c>
      <c r="W16" s="8">
        <f>SUMIFS('NEM demand data'!$I$2:$I$4357,'NEM demand data'!$D$2:$D$4357,Summary!$A16,'NEM demand data'!$F$2:$F$4357,Summary!$A$4,'NEM demand data'!$H$2:$H$4357,Summary!W$7)*1000</f>
        <v>60170.3</v>
      </c>
      <c r="X16" s="8">
        <f>SUMIFS('NEM demand data'!$I$2:$I$4357,'NEM demand data'!$D$2:$D$4357,Summary!$A16,'NEM demand data'!$F$2:$F$4357,Summary!$A$4,'NEM demand data'!$H$2:$H$4357,Summary!X$7)*1000</f>
        <v>63091.6</v>
      </c>
      <c r="Y16" s="8">
        <f>SUMIFS('NEM demand data'!$I$2:$I$4357,'NEM demand data'!$D$2:$D$4357,Summary!$A16,'NEM demand data'!$F$2:$F$4357,Summary!$A$4,'NEM demand data'!$H$2:$H$4357,Summary!Y$7)*1000</f>
        <v>66123.8</v>
      </c>
      <c r="Z16" s="8">
        <f>SUMIFS('NEM demand data'!$I$2:$I$4357,'NEM demand data'!$D$2:$D$4357,Summary!$A16,'NEM demand data'!$F$2:$F$4357,Summary!$A$4,'NEM demand data'!$H$2:$H$4357,Summary!Z$7)*1000</f>
        <v>69271.600000000006</v>
      </c>
      <c r="AA16" s="8">
        <f>SUMIFS('NEM demand data'!$I$2:$I$4357,'NEM demand data'!$D$2:$D$4357,Summary!$A16,'NEM demand data'!$F$2:$F$4357,Summary!$A$4,'NEM demand data'!$H$2:$H$4357,Summary!AA$7)*1000</f>
        <v>72137.7</v>
      </c>
      <c r="AB16" s="8">
        <f>SUMIFS('NEM demand data'!$I$2:$I$4357,'NEM demand data'!$D$2:$D$4357,Summary!$A16,'NEM demand data'!$F$2:$F$4357,Summary!$A$4,'NEM demand data'!$H$2:$H$4357,Summary!AB$7)*1000</f>
        <v>74957.3</v>
      </c>
      <c r="AC16" s="8">
        <f>SUMIFS('NEM demand data'!$I$2:$I$4357,'NEM demand data'!$D$2:$D$4357,Summary!$A16,'NEM demand data'!$F$2:$F$4357,Summary!$A$4,'NEM demand data'!$H$2:$H$4357,Summary!AC$7)*1000</f>
        <v>77954.899999999994</v>
      </c>
      <c r="AD16" s="8">
        <f>SUMIFS('NEM demand data'!$I$2:$I$4357,'NEM demand data'!$D$2:$D$4357,Summary!$A16,'NEM demand data'!$F$2:$F$4357,Summary!$A$4,'NEM demand data'!$H$2:$H$4357,Summary!AD$7)*1000</f>
        <v>81100.399999999994</v>
      </c>
      <c r="AE16" s="8">
        <f>SUMIFS('NEM demand data'!$I$2:$I$4357,'NEM demand data'!$D$2:$D$4357,Summary!$A16,'NEM demand data'!$F$2:$F$4357,Summary!$A$4,'NEM demand data'!$H$2:$H$4357,Summary!AE$7)*1000</f>
        <v>84130.799999999988</v>
      </c>
      <c r="AF16" s="8">
        <f>SUMIFS('NEM demand data'!$I$2:$I$4357,'NEM demand data'!$D$2:$D$4357,Summary!$A16,'NEM demand data'!$F$2:$F$4357,Summary!$A$4,'NEM demand data'!$H$2:$H$4357,Summary!AF$7)*1000</f>
        <v>87272.400000000009</v>
      </c>
      <c r="AG16" s="8">
        <f>SUMIFS('NEM demand data'!$I$2:$I$4357,'NEM demand data'!$D$2:$D$4357,Summary!$A16,'NEM demand data'!$F$2:$F$4357,Summary!$A$4,'NEM demand data'!$H$2:$H$4357,Summary!AG$7)*1000</f>
        <v>90723.8</v>
      </c>
      <c r="AH16" s="8">
        <f>SUMIFS('NEM demand data'!$I$2:$I$4357,'NEM demand data'!$D$2:$D$4357,Summary!$A16,'NEM demand data'!$F$2:$F$4357,Summary!$A$4,'NEM demand data'!$H$2:$H$4357,Summary!AH$7)*1000</f>
        <v>94479.700000000012</v>
      </c>
      <c r="AI16" s="8">
        <f>SUMIFS('NEM demand data'!$I$2:$I$4357,'NEM demand data'!$D$2:$D$4357,Summary!$A16,'NEM demand data'!$F$2:$F$4357,Summary!$A$4,'NEM demand data'!$H$2:$H$4357,Summary!AI$7)*1000</f>
        <v>97895.5</v>
      </c>
      <c r="AJ16" s="8">
        <f>SUMIFS('NEM demand data'!$I$2:$I$4357,'NEM demand data'!$D$2:$D$4357,Summary!$A16,'NEM demand data'!$F$2:$F$4357,Summary!$A$4,'NEM demand data'!$H$2:$H$4357,Summary!AJ$7)*1000</f>
        <v>101127.6</v>
      </c>
      <c r="AK16" s="8">
        <f>SUMIFS('NEM demand data'!$I$2:$I$4357,'NEM demand data'!$D$2:$D$4357,Summary!$A16,'NEM demand data'!$F$2:$F$4357,Summary!$A$4,'NEM demand data'!$H$2:$H$4357,Summary!AK$7)*1000</f>
        <v>104290.70000000001</v>
      </c>
      <c r="AL16" s="8">
        <f>SUMIFS('NEM demand data'!$I$2:$I$4357,'NEM demand data'!$D$2:$D$4357,Summary!$A16,'NEM demand data'!$F$2:$F$4357,Summary!$A$4,'NEM demand data'!$H$2:$H$4357,Summary!AL$7)*1000</f>
        <v>107550</v>
      </c>
      <c r="AM16" s="8">
        <f>SUMIFS('NEM demand data'!$I$2:$I$4357,'NEM demand data'!$D$2:$D$4357,Summary!$A16,'NEM demand data'!$F$2:$F$4357,Summary!$A$4,'NEM demand data'!$H$2:$H$4357,Summary!AM$7)*1000</f>
        <v>110542.59999999999</v>
      </c>
      <c r="AN16" s="8">
        <f>SUMIFS('NEM demand data'!$I$2:$I$4357,'NEM demand data'!$D$2:$D$4357,Summary!$A16,'NEM demand data'!$F$2:$F$4357,Summary!$A$4,'NEM demand data'!$H$2:$H$4357,Summary!AN$7)*1000</f>
        <v>113487.9</v>
      </c>
      <c r="AO16" s="9">
        <f>AN16/AM16*AN16</f>
        <v>116511.67465221552</v>
      </c>
    </row>
    <row r="17" spans="1:41">
      <c r="A17" s="33" t="s">
        <v>80</v>
      </c>
      <c r="B17" s="64" t="s">
        <v>2</v>
      </c>
      <c r="C17" s="32"/>
      <c r="D17" s="32"/>
      <c r="E17" s="32"/>
      <c r="F17" s="32"/>
      <c r="G17" s="32"/>
      <c r="H17" s="32"/>
      <c r="I17" s="32"/>
      <c r="J17" s="65">
        <f>SUMIFS('NEM demand data'!$I$2:$I$4357,'NEM demand data'!$D$2:$D$4357,Summary!$A17,'NEM demand data'!$F$2:$F$4357,Summary!$A$4,'NEM demand data'!$H$2:$H$4357,Summary!J$7)*1000</f>
        <v>177057.19999999998</v>
      </c>
      <c r="K17" s="65">
        <f t="shared" ref="K17:AN17" si="1">SUM(K8:K13)</f>
        <v>175566.1</v>
      </c>
      <c r="L17" s="65">
        <f t="shared" si="1"/>
        <v>177124.1</v>
      </c>
      <c r="M17" s="65">
        <f t="shared" si="1"/>
        <v>179848.1</v>
      </c>
      <c r="N17" s="65">
        <f t="shared" si="1"/>
        <v>181709.5</v>
      </c>
      <c r="O17" s="65">
        <f t="shared" si="1"/>
        <v>183548.90000000002</v>
      </c>
      <c r="P17" s="65">
        <f t="shared" si="1"/>
        <v>187543.4</v>
      </c>
      <c r="Q17" s="65">
        <f t="shared" si="1"/>
        <v>192484.50000000003</v>
      </c>
      <c r="R17" s="65">
        <f t="shared" si="1"/>
        <v>198050.7</v>
      </c>
      <c r="S17" s="65">
        <f t="shared" si="1"/>
        <v>204963.4</v>
      </c>
      <c r="T17" s="65">
        <f t="shared" si="1"/>
        <v>211135.49999999997</v>
      </c>
      <c r="U17" s="65">
        <f t="shared" si="1"/>
        <v>214051.5</v>
      </c>
      <c r="V17" s="65">
        <f t="shared" si="1"/>
        <v>219415.5</v>
      </c>
      <c r="W17" s="65">
        <f t="shared" si="1"/>
        <v>225553.69999999998</v>
      </c>
      <c r="X17" s="65">
        <f t="shared" si="1"/>
        <v>231929.30000000005</v>
      </c>
      <c r="Y17" s="65">
        <f t="shared" si="1"/>
        <v>234582.9</v>
      </c>
      <c r="Z17" s="65">
        <f t="shared" si="1"/>
        <v>239144.59999999998</v>
      </c>
      <c r="AA17" s="65">
        <f t="shared" si="1"/>
        <v>242914.40000000005</v>
      </c>
      <c r="AB17" s="65">
        <f t="shared" si="1"/>
        <v>247976.1</v>
      </c>
      <c r="AC17" s="65">
        <f t="shared" si="1"/>
        <v>252003.19999999995</v>
      </c>
      <c r="AD17" s="65">
        <f t="shared" si="1"/>
        <v>256318.19999999998</v>
      </c>
      <c r="AE17" s="65">
        <f t="shared" si="1"/>
        <v>260744.3</v>
      </c>
      <c r="AF17" s="65">
        <f t="shared" si="1"/>
        <v>263012.69999999995</v>
      </c>
      <c r="AG17" s="65">
        <f t="shared" si="1"/>
        <v>264780.3</v>
      </c>
      <c r="AH17" s="65">
        <f t="shared" si="1"/>
        <v>266055.90000000002</v>
      </c>
      <c r="AI17" s="65">
        <f t="shared" si="1"/>
        <v>269657.09999999998</v>
      </c>
      <c r="AJ17" s="65">
        <f t="shared" si="1"/>
        <v>272330.8</v>
      </c>
      <c r="AK17" s="65">
        <f t="shared" si="1"/>
        <v>275113.60000000003</v>
      </c>
      <c r="AL17" s="65">
        <f t="shared" si="1"/>
        <v>278899.59999999998</v>
      </c>
      <c r="AM17" s="65">
        <f t="shared" si="1"/>
        <v>286774.3</v>
      </c>
      <c r="AN17" s="65">
        <f t="shared" si="1"/>
        <v>289603.3</v>
      </c>
      <c r="AO17" s="66">
        <f>AN17/AM17*AN17</f>
        <v>292460.20780415123</v>
      </c>
    </row>
    <row r="18" spans="1:41">
      <c r="A18" s="33" t="s">
        <v>126</v>
      </c>
      <c r="B18" s="64" t="s">
        <v>2</v>
      </c>
      <c r="C18" s="32"/>
      <c r="D18" s="32"/>
      <c r="E18" s="32"/>
      <c r="F18" s="32"/>
      <c r="G18" s="32"/>
      <c r="H18" s="32"/>
      <c r="I18" s="32"/>
      <c r="J18" s="65">
        <f>J17+J15+J14</f>
        <v>191675.69999999998</v>
      </c>
      <c r="K18" s="65">
        <f t="shared" ref="K18:AO18" si="2">K17+K15+K14</f>
        <v>190546.4</v>
      </c>
      <c r="L18" s="65">
        <f t="shared" si="2"/>
        <v>192757.4</v>
      </c>
      <c r="M18" s="65">
        <f t="shared" si="2"/>
        <v>195716.4</v>
      </c>
      <c r="N18" s="65">
        <f t="shared" si="2"/>
        <v>196620.09999999998</v>
      </c>
      <c r="O18" s="65">
        <f t="shared" si="2"/>
        <v>197857.80000000005</v>
      </c>
      <c r="P18" s="65">
        <f t="shared" si="2"/>
        <v>201800.09999999998</v>
      </c>
      <c r="Q18" s="65">
        <f t="shared" si="2"/>
        <v>206636.2</v>
      </c>
      <c r="R18" s="65">
        <f t="shared" si="2"/>
        <v>212350.1</v>
      </c>
      <c r="S18" s="65">
        <f t="shared" si="2"/>
        <v>219766.3</v>
      </c>
      <c r="T18" s="65">
        <f t="shared" si="2"/>
        <v>225360.9</v>
      </c>
      <c r="U18" s="65">
        <f t="shared" si="2"/>
        <v>228394.7</v>
      </c>
      <c r="V18" s="65">
        <f t="shared" si="2"/>
        <v>234113.30000000002</v>
      </c>
      <c r="W18" s="65">
        <f t="shared" si="2"/>
        <v>240929.8</v>
      </c>
      <c r="X18" s="65">
        <f t="shared" si="2"/>
        <v>247683.20000000004</v>
      </c>
      <c r="Y18" s="65">
        <f t="shared" si="2"/>
        <v>251492.09999999998</v>
      </c>
      <c r="Z18" s="65">
        <f t="shared" si="2"/>
        <v>257320.59999999998</v>
      </c>
      <c r="AA18" s="65">
        <f t="shared" si="2"/>
        <v>262154.80000000005</v>
      </c>
      <c r="AB18" s="65">
        <f t="shared" si="2"/>
        <v>268386.7</v>
      </c>
      <c r="AC18" s="65">
        <f t="shared" si="2"/>
        <v>273789.99999999994</v>
      </c>
      <c r="AD18" s="65">
        <f t="shared" si="2"/>
        <v>279517.59999999998</v>
      </c>
      <c r="AE18" s="65">
        <f t="shared" si="2"/>
        <v>284902.40000000002</v>
      </c>
      <c r="AF18" s="65">
        <f t="shared" si="2"/>
        <v>288170.59999999998</v>
      </c>
      <c r="AG18" s="65">
        <f t="shared" si="2"/>
        <v>291044.19999999995</v>
      </c>
      <c r="AH18" s="65">
        <f t="shared" si="2"/>
        <v>293460</v>
      </c>
      <c r="AI18" s="65">
        <f t="shared" si="2"/>
        <v>298412.09999999998</v>
      </c>
      <c r="AJ18" s="65">
        <f t="shared" si="2"/>
        <v>302925.09999999998</v>
      </c>
      <c r="AK18" s="65">
        <f t="shared" si="2"/>
        <v>307291</v>
      </c>
      <c r="AL18" s="65">
        <f t="shared" si="2"/>
        <v>312478</v>
      </c>
      <c r="AM18" s="65">
        <f t="shared" si="2"/>
        <v>321562.19999999995</v>
      </c>
      <c r="AN18" s="65">
        <f t="shared" si="2"/>
        <v>325711.59999999998</v>
      </c>
      <c r="AO18" s="66">
        <f t="shared" si="2"/>
        <v>329939.55846885551</v>
      </c>
    </row>
    <row r="19" spans="1:41" ht="14.5" thickBot="1">
      <c r="A19" s="63" t="s">
        <v>209</v>
      </c>
      <c r="B19" s="28" t="s">
        <v>2</v>
      </c>
      <c r="C19" s="29"/>
      <c r="D19" s="29"/>
      <c r="E19" s="29"/>
      <c r="F19" s="29"/>
      <c r="G19" s="29"/>
      <c r="H19" s="29"/>
      <c r="I19" s="29"/>
      <c r="J19" s="68">
        <f>SUM(J17+J16+J14)</f>
        <v>208126.85537339709</v>
      </c>
      <c r="K19" s="30">
        <f>SUM(K17+K16+K14)</f>
        <v>209577.9</v>
      </c>
      <c r="L19" s="30">
        <f t="shared" ref="L19:AO19" si="3">SUM(L17+L16+L14)</f>
        <v>214679.7</v>
      </c>
      <c r="M19" s="30">
        <f t="shared" si="3"/>
        <v>220978.8</v>
      </c>
      <c r="N19" s="30">
        <f t="shared" si="3"/>
        <v>226511.19999999998</v>
      </c>
      <c r="O19" s="30">
        <f t="shared" si="3"/>
        <v>231495.10000000003</v>
      </c>
      <c r="P19" s="30">
        <f t="shared" si="3"/>
        <v>238341</v>
      </c>
      <c r="Q19" s="30">
        <f t="shared" si="3"/>
        <v>246446.70000000004</v>
      </c>
      <c r="R19" s="30">
        <f t="shared" si="3"/>
        <v>255457.40000000002</v>
      </c>
      <c r="S19" s="30">
        <f t="shared" si="3"/>
        <v>265900.79999999999</v>
      </c>
      <c r="T19" s="30">
        <f t="shared" si="3"/>
        <v>275603.20000000001</v>
      </c>
      <c r="U19" s="30">
        <f t="shared" si="3"/>
        <v>281916</v>
      </c>
      <c r="V19" s="30">
        <f t="shared" si="3"/>
        <v>290469.59999999998</v>
      </c>
      <c r="W19" s="30">
        <f t="shared" si="3"/>
        <v>300221.59999999998</v>
      </c>
      <c r="X19" s="30">
        <f t="shared" si="3"/>
        <v>310073.5</v>
      </c>
      <c r="Y19" s="30">
        <f t="shared" si="3"/>
        <v>316902.5</v>
      </c>
      <c r="Z19" s="30">
        <f t="shared" si="3"/>
        <v>325891.79999999993</v>
      </c>
      <c r="AA19" s="30">
        <f t="shared" si="3"/>
        <v>333576.50000000006</v>
      </c>
      <c r="AB19" s="30">
        <f t="shared" si="3"/>
        <v>342593.80000000005</v>
      </c>
      <c r="AC19" s="30">
        <f t="shared" si="3"/>
        <v>350992.8</v>
      </c>
      <c r="AD19" s="30">
        <f t="shared" si="3"/>
        <v>359893.89999999997</v>
      </c>
      <c r="AE19" s="30">
        <f t="shared" si="3"/>
        <v>368303.6</v>
      </c>
      <c r="AF19" s="30">
        <f t="shared" si="3"/>
        <v>374712.6</v>
      </c>
      <c r="AG19" s="30">
        <f t="shared" si="3"/>
        <v>381037.69999999995</v>
      </c>
      <c r="AH19" s="30">
        <f t="shared" si="3"/>
        <v>387210.4</v>
      </c>
      <c r="AI19" s="30">
        <f t="shared" si="3"/>
        <v>395579.39999999997</v>
      </c>
      <c r="AJ19" s="30">
        <f t="shared" si="3"/>
        <v>403323.4</v>
      </c>
      <c r="AK19" s="30">
        <f t="shared" si="3"/>
        <v>410848.4</v>
      </c>
      <c r="AL19" s="30">
        <f t="shared" si="3"/>
        <v>419287.8</v>
      </c>
      <c r="AM19" s="30">
        <f t="shared" si="3"/>
        <v>431357.69999999995</v>
      </c>
      <c r="AN19" s="30">
        <f t="shared" si="3"/>
        <v>438443.79999999993</v>
      </c>
      <c r="AO19" s="30">
        <f t="shared" si="3"/>
        <v>445686.83412495267</v>
      </c>
    </row>
    <row r="20" spans="1:41">
      <c r="A20" s="23"/>
    </row>
    <row r="21" spans="1:41"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</row>
    <row r="22" spans="1:41" ht="25">
      <c r="A22" s="44" t="s">
        <v>8</v>
      </c>
    </row>
    <row r="23" spans="1:41">
      <c r="A23" s="23" t="s">
        <v>9</v>
      </c>
      <c r="B23" t="s">
        <v>78</v>
      </c>
    </row>
    <row r="24" spans="1:41" ht="23.5" thickBot="1">
      <c r="A24" s="1" t="s">
        <v>115</v>
      </c>
      <c r="C24" s="67" t="s">
        <v>81</v>
      </c>
    </row>
    <row r="25" spans="1:41">
      <c r="A25" s="2" t="s">
        <v>0</v>
      </c>
      <c r="B25" s="3"/>
      <c r="C25" s="4">
        <v>2017</v>
      </c>
      <c r="D25" s="4">
        <v>2018</v>
      </c>
      <c r="E25" s="4">
        <v>2019</v>
      </c>
      <c r="F25" s="4">
        <v>2020</v>
      </c>
      <c r="G25" s="4">
        <v>2021</v>
      </c>
      <c r="H25" s="4">
        <v>2022</v>
      </c>
      <c r="I25" s="4">
        <v>2023</v>
      </c>
      <c r="J25" s="4">
        <v>2024</v>
      </c>
      <c r="K25" s="4">
        <v>2025</v>
      </c>
      <c r="L25" s="4">
        <v>2026</v>
      </c>
      <c r="M25" s="4">
        <v>2027</v>
      </c>
      <c r="N25" s="4">
        <v>2028</v>
      </c>
      <c r="O25" s="4">
        <v>2029</v>
      </c>
      <c r="P25" s="4">
        <v>2030</v>
      </c>
      <c r="Q25" s="4">
        <v>2031</v>
      </c>
      <c r="R25" s="4">
        <v>2032</v>
      </c>
      <c r="S25" s="4">
        <v>2033</v>
      </c>
      <c r="T25" s="4">
        <v>2034</v>
      </c>
      <c r="U25" s="4">
        <v>2035</v>
      </c>
      <c r="V25" s="4">
        <v>2036</v>
      </c>
      <c r="W25" s="4">
        <v>2037</v>
      </c>
      <c r="X25" s="4">
        <v>2038</v>
      </c>
      <c r="Y25" s="4">
        <v>2039</v>
      </c>
      <c r="Z25" s="4">
        <v>2040</v>
      </c>
      <c r="AA25" s="4">
        <v>2041</v>
      </c>
      <c r="AB25" s="4">
        <v>2042</v>
      </c>
      <c r="AC25" s="4">
        <v>2043</v>
      </c>
      <c r="AD25" s="4">
        <v>2044</v>
      </c>
      <c r="AE25" s="4">
        <v>2045</v>
      </c>
      <c r="AF25" s="4">
        <v>2046</v>
      </c>
      <c r="AG25" s="4">
        <v>2047</v>
      </c>
      <c r="AH25" s="4">
        <v>2048</v>
      </c>
      <c r="AI25" s="4">
        <v>2049</v>
      </c>
      <c r="AJ25" s="4">
        <v>2050</v>
      </c>
      <c r="AK25" s="4">
        <v>2051</v>
      </c>
      <c r="AL25" s="4">
        <v>2052</v>
      </c>
      <c r="AM25" s="4">
        <v>2053</v>
      </c>
      <c r="AN25" s="4">
        <v>2054</v>
      </c>
      <c r="AO25" s="5">
        <v>2055</v>
      </c>
    </row>
    <row r="26" spans="1:41">
      <c r="A26" s="6" t="s">
        <v>89</v>
      </c>
      <c r="B26" s="7" t="s">
        <v>2</v>
      </c>
      <c r="E26" s="8"/>
      <c r="F26" s="8"/>
      <c r="G26" s="8"/>
      <c r="H26" s="8"/>
      <c r="I26" s="8"/>
      <c r="J26" s="8">
        <f>SUMIFS('WEM demand data'!$I$2:$I$4357,'WEM demand data'!$D$2:$D$4357,Summary!$A26,'WEM demand data'!$F$2:$F$4357,Summary!$C$24,'WEM demand data'!$H$2:$H$4357,Summary!J$25)*1000</f>
        <v>3249.5000000000005</v>
      </c>
      <c r="K26" s="8">
        <f>SUMIFS('WEM demand data'!$I$2:$I$4357,'WEM demand data'!$D$2:$D$4357,Summary!$A26,'WEM demand data'!$F$2:$F$4357,Summary!$C$24,'WEM demand data'!$H$2:$H$4357,Summary!K$25)*1000</f>
        <v>2996.4</v>
      </c>
      <c r="L26" s="8">
        <f>SUMIFS('WEM demand data'!$I$2:$I$4357,'WEM demand data'!$D$2:$D$4357,Summary!$A26,'WEM demand data'!$F$2:$F$4357,Summary!$C$24,'WEM demand data'!$H$2:$H$4357,Summary!L$25)*1000</f>
        <v>2705</v>
      </c>
      <c r="M26" s="8">
        <f>SUMIFS('WEM demand data'!$I$2:$I$4357,'WEM demand data'!$D$2:$D$4357,Summary!$A26,'WEM demand data'!$F$2:$F$4357,Summary!$C$24,'WEM demand data'!$H$2:$H$4357,Summary!M$25)*1000</f>
        <v>2382.6999999999998</v>
      </c>
      <c r="N26" s="8">
        <f>SUMIFS('WEM demand data'!$I$2:$I$4357,'WEM demand data'!$D$2:$D$4357,Summary!$A26,'WEM demand data'!$F$2:$F$4357,Summary!$C$24,'WEM demand data'!$H$2:$H$4357,Summary!N$25)*1000</f>
        <v>2018.2000000000003</v>
      </c>
      <c r="O26" s="8">
        <f>SUMIFS('WEM demand data'!$I$2:$I$4357,'WEM demand data'!$D$2:$D$4357,Summary!$A26,'WEM demand data'!$F$2:$F$4357,Summary!$C$24,'WEM demand data'!$H$2:$H$4357,Summary!O$25)*1000</f>
        <v>1631.8</v>
      </c>
      <c r="P26" s="8">
        <f>SUMIFS('WEM demand data'!$I$2:$I$4357,'WEM demand data'!$D$2:$D$4357,Summary!$A26,'WEM demand data'!$F$2:$F$4357,Summary!$C$24,'WEM demand data'!$H$2:$H$4357,Summary!P$25)*1000</f>
        <v>1279.5</v>
      </c>
      <c r="Q26" s="8">
        <f>SUMIFS('WEM demand data'!$I$2:$I$4357,'WEM demand data'!$D$2:$D$4357,Summary!$A26,'WEM demand data'!$F$2:$F$4357,Summary!$C$24,'WEM demand data'!$H$2:$H$4357,Summary!Q$25)*1000</f>
        <v>916.60000000000014</v>
      </c>
      <c r="R26" s="8">
        <f>SUMIFS('WEM demand data'!$I$2:$I$4357,'WEM demand data'!$D$2:$D$4357,Summary!$A26,'WEM demand data'!$F$2:$F$4357,Summary!$C$24,'WEM demand data'!$H$2:$H$4357,Summary!R$25)*1000</f>
        <v>538.29999999999995</v>
      </c>
      <c r="S26" s="8">
        <f>SUMIFS('WEM demand data'!$I$2:$I$4357,'WEM demand data'!$D$2:$D$4357,Summary!$A26,'WEM demand data'!$F$2:$F$4357,Summary!$C$24,'WEM demand data'!$H$2:$H$4357,Summary!S$25)*1000</f>
        <v>170</v>
      </c>
      <c r="T26" s="8">
        <f>SUMIFS('WEM demand data'!$I$2:$I$4357,'WEM demand data'!$D$2:$D$4357,Summary!$A26,'WEM demand data'!$F$2:$F$4357,Summary!$C$24,'WEM demand data'!$H$2:$H$4357,Summary!T$25)*1000</f>
        <v>-180.89999999999998</v>
      </c>
      <c r="U26" s="8">
        <f>SUMIFS('WEM demand data'!$I$2:$I$4357,'WEM demand data'!$D$2:$D$4357,Summary!$A26,'WEM demand data'!$F$2:$F$4357,Summary!$A$4,'WEM demand data'!$H$2:$H$4357,Summary!U$7)*1000</f>
        <v>0</v>
      </c>
      <c r="V26" s="8">
        <f>SUMIFS('WEM demand data'!$I$2:$I$4357,'WEM demand data'!$D$2:$D$4357,Summary!$A26,'WEM demand data'!$F$2:$F$4357,Summary!$A$4,'WEM demand data'!$H$2:$H$4357,Summary!V$7)*1000</f>
        <v>0</v>
      </c>
      <c r="W26" s="8">
        <f>SUMIFS('WEM demand data'!$I$2:$I$4357,'WEM demand data'!$D$2:$D$4357,Summary!$A26,'WEM demand data'!$F$2:$F$4357,Summary!$A$4,'WEM demand data'!$H$2:$H$4357,Summary!W$7)*1000</f>
        <v>0</v>
      </c>
      <c r="X26" s="8">
        <f>SUMIFS('WEM demand data'!$I$2:$I$4357,'WEM demand data'!$D$2:$D$4357,Summary!$A26,'WEM demand data'!$F$2:$F$4357,Summary!$A$4,'WEM demand data'!$H$2:$H$4357,Summary!X$7)*1000</f>
        <v>0</v>
      </c>
      <c r="Y26" s="8">
        <f>SUMIFS('WEM demand data'!$I$2:$I$4357,'WEM demand data'!$D$2:$D$4357,Summary!$A26,'WEM demand data'!$F$2:$F$4357,Summary!$A$4,'WEM demand data'!$H$2:$H$4357,Summary!Y$7)*1000</f>
        <v>0</v>
      </c>
      <c r="Z26" s="8">
        <f>SUMIFS('WEM demand data'!$I$2:$I$4357,'WEM demand data'!$D$2:$D$4357,Summary!$A26,'WEM demand data'!$F$2:$F$4357,Summary!$A$4,'WEM demand data'!$H$2:$H$4357,Summary!Z$7)*1000</f>
        <v>0</v>
      </c>
      <c r="AA26" s="8">
        <f>SUMIFS('WEM demand data'!$I$2:$I$4357,'WEM demand data'!$D$2:$D$4357,Summary!$A26,'WEM demand data'!$F$2:$F$4357,Summary!$A$4,'WEM demand data'!$H$2:$H$4357,Summary!AA$7)*1000</f>
        <v>0</v>
      </c>
      <c r="AB26" s="8">
        <f>SUMIFS('WEM demand data'!$I$2:$I$4357,'WEM demand data'!$D$2:$D$4357,Summary!$A26,'WEM demand data'!$F$2:$F$4357,Summary!$A$4,'WEM demand data'!$H$2:$H$4357,Summary!AB$7)*1000</f>
        <v>0</v>
      </c>
      <c r="AC26" s="8">
        <f>SUMIFS('WEM demand data'!$I$2:$I$4357,'WEM demand data'!$D$2:$D$4357,Summary!$A26,'WEM demand data'!$F$2:$F$4357,Summary!$A$4,'WEM demand data'!$H$2:$H$4357,Summary!AC$7)*1000</f>
        <v>0</v>
      </c>
      <c r="AD26" s="8">
        <f>SUMIFS('WEM demand data'!$I$2:$I$4357,'WEM demand data'!$D$2:$D$4357,Summary!$A26,'WEM demand data'!$F$2:$F$4357,Summary!$A$4,'WEM demand data'!$H$2:$H$4357,Summary!AD$7)*1000</f>
        <v>0</v>
      </c>
      <c r="AE26" s="8">
        <f>SUMIFS('WEM demand data'!$I$2:$I$4357,'WEM demand data'!$D$2:$D$4357,Summary!$A26,'WEM demand data'!$F$2:$F$4357,Summary!$A$4,'WEM demand data'!$H$2:$H$4357,Summary!AE$7)*1000</f>
        <v>0</v>
      </c>
      <c r="AF26" s="8">
        <f>SUMIFS('WEM demand data'!$I$2:$I$4357,'WEM demand data'!$D$2:$D$4357,Summary!$A26,'WEM demand data'!$F$2:$F$4357,Summary!$A$4,'WEM demand data'!$H$2:$H$4357,Summary!AF$7)*1000</f>
        <v>0</v>
      </c>
      <c r="AG26" s="8">
        <f>SUMIFS('WEM demand data'!$I$2:$I$4357,'WEM demand data'!$D$2:$D$4357,Summary!$A26,'WEM demand data'!$F$2:$F$4357,Summary!$A$4,'WEM demand data'!$H$2:$H$4357,Summary!AG$7)*1000</f>
        <v>0</v>
      </c>
      <c r="AH26" s="8">
        <f>SUMIFS('WEM demand data'!$I$2:$I$4357,'WEM demand data'!$D$2:$D$4357,Summary!$A26,'WEM demand data'!$F$2:$F$4357,Summary!$A$4,'WEM demand data'!$H$2:$H$4357,Summary!AH$7)*1000</f>
        <v>0</v>
      </c>
      <c r="AI26" s="8">
        <f>SUMIFS('WEM demand data'!$I$2:$I$4357,'WEM demand data'!$D$2:$D$4357,Summary!$A26,'WEM demand data'!$F$2:$F$4357,Summary!$A$4,'WEM demand data'!$H$2:$H$4357,Summary!AI$7)*1000</f>
        <v>0</v>
      </c>
      <c r="AJ26" s="8">
        <f>SUMIFS('WEM demand data'!$I$2:$I$4357,'WEM demand data'!$D$2:$D$4357,Summary!$A26,'WEM demand data'!$F$2:$F$4357,Summary!$A$4,'WEM demand data'!$H$2:$H$4357,Summary!AJ$7)*1000</f>
        <v>0</v>
      </c>
      <c r="AK26" s="8"/>
      <c r="AL26" s="8"/>
      <c r="AM26" s="8"/>
      <c r="AN26" s="8"/>
      <c r="AO26" s="9"/>
    </row>
    <row r="27" spans="1:41">
      <c r="A27" s="6" t="s">
        <v>92</v>
      </c>
      <c r="B27" s="7" t="s">
        <v>2</v>
      </c>
      <c r="E27" s="8"/>
      <c r="F27" s="8"/>
      <c r="G27" s="8"/>
      <c r="H27" s="8"/>
      <c r="I27" s="8"/>
      <c r="J27" s="8">
        <f>SUMIFS('WEM demand data'!$I$2:$I$4357,'WEM demand data'!$D$2:$D$4357,Summary!$A27,'WEM demand data'!$F$2:$F$4357,Summary!$C$24,'WEM demand data'!$H$2:$H$4357,Summary!J$25)*1000</f>
        <v>13030.999999999998</v>
      </c>
      <c r="K27" s="8">
        <f>SUMIFS('WEM demand data'!$I$2:$I$4357,'WEM demand data'!$D$2:$D$4357,Summary!$A27,'WEM demand data'!$F$2:$F$4357,Summary!$C$24,'WEM demand data'!$H$2:$H$4357,Summary!K$25)*1000</f>
        <v>13394.300000000001</v>
      </c>
      <c r="L27" s="8">
        <f>SUMIFS('WEM demand data'!$I$2:$I$4357,'WEM demand data'!$D$2:$D$4357,Summary!$A27,'WEM demand data'!$F$2:$F$4357,Summary!$C$24,'WEM demand data'!$H$2:$H$4357,Summary!L$25)*1000</f>
        <v>13511.399999999998</v>
      </c>
      <c r="M27" s="8">
        <f>SUMIFS('WEM demand data'!$I$2:$I$4357,'WEM demand data'!$D$2:$D$4357,Summary!$A27,'WEM demand data'!$F$2:$F$4357,Summary!$C$24,'WEM demand data'!$H$2:$H$4357,Summary!M$25)*1000</f>
        <v>13627.1</v>
      </c>
      <c r="N27" s="8">
        <f>SUMIFS('WEM demand data'!$I$2:$I$4357,'WEM demand data'!$D$2:$D$4357,Summary!$A27,'WEM demand data'!$F$2:$F$4357,Summary!$C$24,'WEM demand data'!$H$2:$H$4357,Summary!N$25)*1000</f>
        <v>13643.5</v>
      </c>
      <c r="O27" s="8">
        <f>SUMIFS('WEM demand data'!$I$2:$I$4357,'WEM demand data'!$D$2:$D$4357,Summary!$A27,'WEM demand data'!$F$2:$F$4357,Summary!$C$24,'WEM demand data'!$H$2:$H$4357,Summary!O$25)*1000</f>
        <v>13802.699999999999</v>
      </c>
      <c r="P27" s="8">
        <f>SUMIFS('WEM demand data'!$I$2:$I$4357,'WEM demand data'!$D$2:$D$4357,Summary!$A27,'WEM demand data'!$F$2:$F$4357,Summary!$C$24,'WEM demand data'!$H$2:$H$4357,Summary!P$25)*1000</f>
        <v>13869.4</v>
      </c>
      <c r="Q27" s="8">
        <f>SUMIFS('WEM demand data'!$I$2:$I$4357,'WEM demand data'!$D$2:$D$4357,Summary!$A27,'WEM demand data'!$F$2:$F$4357,Summary!$C$24,'WEM demand data'!$H$2:$H$4357,Summary!Q$25)*1000</f>
        <v>13926.3</v>
      </c>
      <c r="R27" s="8">
        <f>SUMIFS('WEM demand data'!$I$2:$I$4357,'WEM demand data'!$D$2:$D$4357,Summary!$A27,'WEM demand data'!$F$2:$F$4357,Summary!$C$24,'WEM demand data'!$H$2:$H$4357,Summary!R$25)*1000</f>
        <v>13989.7</v>
      </c>
      <c r="S27" s="8">
        <f>SUMIFS('WEM demand data'!$I$2:$I$4357,'WEM demand data'!$D$2:$D$4357,Summary!$A27,'WEM demand data'!$F$2:$F$4357,Summary!$C$24,'WEM demand data'!$H$2:$H$4357,Summary!S$25)*1000</f>
        <v>14065.6</v>
      </c>
      <c r="T27" s="8">
        <f>SUMIFS('WEM demand data'!$I$2:$I$4357,'WEM demand data'!$D$2:$D$4357,Summary!$A27,'WEM demand data'!$F$2:$F$4357,Summary!$C$24,'WEM demand data'!$H$2:$H$4357,Summary!T$25)*1000</f>
        <v>14130.8</v>
      </c>
      <c r="U27" s="8">
        <f>SUMIFS('WEM demand data'!$I$2:$I$4357,'WEM demand data'!$D$2:$D$4357,Summary!$A27,'WEM demand data'!$F$2:$F$4357,Summary!$A$4,'WEM demand data'!$H$2:$H$4357,Summary!U$7)*1000</f>
        <v>0</v>
      </c>
      <c r="V27" s="8">
        <f>SUMIFS('WEM demand data'!$I$2:$I$4357,'WEM demand data'!$D$2:$D$4357,Summary!$A27,'WEM demand data'!$F$2:$F$4357,Summary!$A$4,'WEM demand data'!$H$2:$H$4357,Summary!V$7)*1000</f>
        <v>0</v>
      </c>
      <c r="W27" s="8">
        <f>SUMIFS('WEM demand data'!$I$2:$I$4357,'WEM demand data'!$D$2:$D$4357,Summary!$A27,'WEM demand data'!$F$2:$F$4357,Summary!$A$4,'WEM demand data'!$H$2:$H$4357,Summary!W$7)*1000</f>
        <v>0</v>
      </c>
      <c r="X27" s="8">
        <f>SUMIFS('WEM demand data'!$I$2:$I$4357,'WEM demand data'!$D$2:$D$4357,Summary!$A27,'WEM demand data'!$F$2:$F$4357,Summary!$A$4,'WEM demand data'!$H$2:$H$4357,Summary!X$7)*1000</f>
        <v>0</v>
      </c>
      <c r="Y27" s="8">
        <f>SUMIFS('WEM demand data'!$I$2:$I$4357,'WEM demand data'!$D$2:$D$4357,Summary!$A27,'WEM demand data'!$F$2:$F$4357,Summary!$A$4,'WEM demand data'!$H$2:$H$4357,Summary!Y$7)*1000</f>
        <v>0</v>
      </c>
      <c r="Z27" s="8">
        <f>SUMIFS('WEM demand data'!$I$2:$I$4357,'WEM demand data'!$D$2:$D$4357,Summary!$A27,'WEM demand data'!$F$2:$F$4357,Summary!$A$4,'WEM demand data'!$H$2:$H$4357,Summary!Z$7)*1000</f>
        <v>0</v>
      </c>
      <c r="AA27" s="8">
        <f>SUMIFS('WEM demand data'!$I$2:$I$4357,'WEM demand data'!$D$2:$D$4357,Summary!$A27,'WEM demand data'!$F$2:$F$4357,Summary!$A$4,'WEM demand data'!$H$2:$H$4357,Summary!AA$7)*1000</f>
        <v>0</v>
      </c>
      <c r="AB27" s="8">
        <f>SUMIFS('WEM demand data'!$I$2:$I$4357,'WEM demand data'!$D$2:$D$4357,Summary!$A27,'WEM demand data'!$F$2:$F$4357,Summary!$A$4,'WEM demand data'!$H$2:$H$4357,Summary!AB$7)*1000</f>
        <v>0</v>
      </c>
      <c r="AC27" s="8">
        <f>SUMIFS('WEM demand data'!$I$2:$I$4357,'WEM demand data'!$D$2:$D$4357,Summary!$A27,'WEM demand data'!$F$2:$F$4357,Summary!$A$4,'WEM demand data'!$H$2:$H$4357,Summary!AC$7)*1000</f>
        <v>0</v>
      </c>
      <c r="AD27" s="8">
        <f>SUMIFS('WEM demand data'!$I$2:$I$4357,'WEM demand data'!$D$2:$D$4357,Summary!$A27,'WEM demand data'!$F$2:$F$4357,Summary!$A$4,'WEM demand data'!$H$2:$H$4357,Summary!AD$7)*1000</f>
        <v>0</v>
      </c>
      <c r="AE27" s="8">
        <f>SUMIFS('WEM demand data'!$I$2:$I$4357,'WEM demand data'!$D$2:$D$4357,Summary!$A27,'WEM demand data'!$F$2:$F$4357,Summary!$A$4,'WEM demand data'!$H$2:$H$4357,Summary!AE$7)*1000</f>
        <v>0</v>
      </c>
      <c r="AF27" s="8">
        <f>SUMIFS('WEM demand data'!$I$2:$I$4357,'WEM demand data'!$D$2:$D$4357,Summary!$A27,'WEM demand data'!$F$2:$F$4357,Summary!$A$4,'WEM demand data'!$H$2:$H$4357,Summary!AF$7)*1000</f>
        <v>0</v>
      </c>
      <c r="AG27" s="8">
        <f>SUMIFS('WEM demand data'!$I$2:$I$4357,'WEM demand data'!$D$2:$D$4357,Summary!$A27,'WEM demand data'!$F$2:$F$4357,Summary!$A$4,'WEM demand data'!$H$2:$H$4357,Summary!AG$7)*1000</f>
        <v>0</v>
      </c>
      <c r="AH27" s="8">
        <f>SUMIFS('WEM demand data'!$I$2:$I$4357,'WEM demand data'!$D$2:$D$4357,Summary!$A27,'WEM demand data'!$F$2:$F$4357,Summary!$A$4,'WEM demand data'!$H$2:$H$4357,Summary!AH$7)*1000</f>
        <v>0</v>
      </c>
      <c r="AI27" s="8">
        <f>SUMIFS('WEM demand data'!$I$2:$I$4357,'WEM demand data'!$D$2:$D$4357,Summary!$A27,'WEM demand data'!$F$2:$F$4357,Summary!$A$4,'WEM demand data'!$H$2:$H$4357,Summary!AI$7)*1000</f>
        <v>0</v>
      </c>
      <c r="AJ27" s="8">
        <f>SUMIFS('WEM demand data'!$I$2:$I$4357,'WEM demand data'!$D$2:$D$4357,Summary!$A27,'WEM demand data'!$F$2:$F$4357,Summary!$A$4,'WEM demand data'!$H$2:$H$4357,Summary!AJ$7)*1000</f>
        <v>0</v>
      </c>
      <c r="AK27" s="8"/>
      <c r="AL27" s="8"/>
      <c r="AM27" s="8"/>
      <c r="AN27" s="8"/>
      <c r="AO27" s="9"/>
    </row>
    <row r="28" spans="1:41">
      <c r="A28" s="6" t="s">
        <v>96</v>
      </c>
      <c r="B28" s="7" t="s">
        <v>2</v>
      </c>
      <c r="E28" s="8"/>
      <c r="F28" s="8"/>
      <c r="G28" s="8"/>
      <c r="H28" s="8"/>
      <c r="I28" s="8"/>
      <c r="J28" s="8">
        <f>SUMIFS('WEM demand data'!$I$2:$I$4357,'WEM demand data'!$D$2:$D$4357,Summary!$A28,'WEM demand data'!$F$2:$F$4357,Summary!$C$24,'WEM demand data'!$H$2:$H$4357,Summary!J$25)*1000</f>
        <v>10.6</v>
      </c>
      <c r="K28" s="8">
        <f>SUMIFS('WEM demand data'!$I$2:$I$4357,'WEM demand data'!$D$2:$D$4357,Summary!$A28,'WEM demand data'!$F$2:$F$4357,Summary!$C$24,'WEM demand data'!$H$2:$H$4357,Summary!K$25)*1000</f>
        <v>75.599999999999994</v>
      </c>
      <c r="L28" s="8">
        <f>SUMIFS('WEM demand data'!$I$2:$I$4357,'WEM demand data'!$D$2:$D$4357,Summary!$A28,'WEM demand data'!$F$2:$F$4357,Summary!$C$24,'WEM demand data'!$H$2:$H$4357,Summary!L$25)*1000</f>
        <v>237.8</v>
      </c>
      <c r="M28" s="8">
        <f>SUMIFS('WEM demand data'!$I$2:$I$4357,'WEM demand data'!$D$2:$D$4357,Summary!$A28,'WEM demand data'!$F$2:$F$4357,Summary!$C$24,'WEM demand data'!$H$2:$H$4357,Summary!M$25)*1000</f>
        <v>539.70000000000005</v>
      </c>
      <c r="N28" s="8">
        <f>SUMIFS('WEM demand data'!$I$2:$I$4357,'WEM demand data'!$D$2:$D$4357,Summary!$A28,'WEM demand data'!$F$2:$F$4357,Summary!$C$24,'WEM demand data'!$H$2:$H$4357,Summary!N$25)*1000</f>
        <v>997.30000000000007</v>
      </c>
      <c r="O28" s="8">
        <f>SUMIFS('WEM demand data'!$I$2:$I$4357,'WEM demand data'!$D$2:$D$4357,Summary!$A28,'WEM demand data'!$F$2:$F$4357,Summary!$C$24,'WEM demand data'!$H$2:$H$4357,Summary!O$25)*1000</f>
        <v>1639</v>
      </c>
      <c r="P28" s="8">
        <f>SUMIFS('WEM demand data'!$I$2:$I$4357,'WEM demand data'!$D$2:$D$4357,Summary!$A28,'WEM demand data'!$F$2:$F$4357,Summary!$C$24,'WEM demand data'!$H$2:$H$4357,Summary!P$25)*1000</f>
        <v>3031.1000000000004</v>
      </c>
      <c r="Q28" s="8">
        <f>SUMIFS('WEM demand data'!$I$2:$I$4357,'WEM demand data'!$D$2:$D$4357,Summary!$A28,'WEM demand data'!$F$2:$F$4357,Summary!$C$24,'WEM demand data'!$H$2:$H$4357,Summary!Q$25)*1000</f>
        <v>4834.1000000000004</v>
      </c>
      <c r="R28" s="8">
        <f>SUMIFS('WEM demand data'!$I$2:$I$4357,'WEM demand data'!$D$2:$D$4357,Summary!$A28,'WEM demand data'!$F$2:$F$4357,Summary!$C$24,'WEM demand data'!$H$2:$H$4357,Summary!R$25)*1000</f>
        <v>6150.7999999999993</v>
      </c>
      <c r="S28" s="8">
        <f>SUMIFS('WEM demand data'!$I$2:$I$4357,'WEM demand data'!$D$2:$D$4357,Summary!$A28,'WEM demand data'!$F$2:$F$4357,Summary!$C$24,'WEM demand data'!$H$2:$H$4357,Summary!S$25)*1000</f>
        <v>7272.4000000000005</v>
      </c>
      <c r="T28" s="8">
        <f>SUMIFS('WEM demand data'!$I$2:$I$4357,'WEM demand data'!$D$2:$D$4357,Summary!$A28,'WEM demand data'!$F$2:$F$4357,Summary!$C$24,'WEM demand data'!$H$2:$H$4357,Summary!T$25)*1000</f>
        <v>8139.3</v>
      </c>
      <c r="U28" s="8">
        <f>SUMIFS('WEM demand data'!$I$2:$I$4357,'WEM demand data'!$D$2:$D$4357,Summary!$A28,'WEM demand data'!$F$2:$F$4357,Summary!$A$4,'WEM demand data'!$H$2:$H$4357,Summary!U$7)*1000</f>
        <v>0</v>
      </c>
      <c r="V28" s="8">
        <f>SUMIFS('WEM demand data'!$I$2:$I$4357,'WEM demand data'!$D$2:$D$4357,Summary!$A28,'WEM demand data'!$F$2:$F$4357,Summary!$A$4,'WEM demand data'!$H$2:$H$4357,Summary!V$7)*1000</f>
        <v>0</v>
      </c>
      <c r="W28" s="8">
        <f>SUMIFS('WEM demand data'!$I$2:$I$4357,'WEM demand data'!$D$2:$D$4357,Summary!$A28,'WEM demand data'!$F$2:$F$4357,Summary!$A$4,'WEM demand data'!$H$2:$H$4357,Summary!W$7)*1000</f>
        <v>0</v>
      </c>
      <c r="X28" s="8">
        <f>SUMIFS('WEM demand data'!$I$2:$I$4357,'WEM demand data'!$D$2:$D$4357,Summary!$A28,'WEM demand data'!$F$2:$F$4357,Summary!$A$4,'WEM demand data'!$H$2:$H$4357,Summary!X$7)*1000</f>
        <v>0</v>
      </c>
      <c r="Y28" s="8">
        <f>SUMIFS('WEM demand data'!$I$2:$I$4357,'WEM demand data'!$D$2:$D$4357,Summary!$A28,'WEM demand data'!$F$2:$F$4357,Summary!$A$4,'WEM demand data'!$H$2:$H$4357,Summary!Y$7)*1000</f>
        <v>0</v>
      </c>
      <c r="Z28" s="8">
        <f>SUMIFS('WEM demand data'!$I$2:$I$4357,'WEM demand data'!$D$2:$D$4357,Summary!$A28,'WEM demand data'!$F$2:$F$4357,Summary!$A$4,'WEM demand data'!$H$2:$H$4357,Summary!Z$7)*1000</f>
        <v>0</v>
      </c>
      <c r="AA28" s="8">
        <f>SUMIFS('WEM demand data'!$I$2:$I$4357,'WEM demand data'!$D$2:$D$4357,Summary!$A28,'WEM demand data'!$F$2:$F$4357,Summary!$A$4,'WEM demand data'!$H$2:$H$4357,Summary!AA$7)*1000</f>
        <v>0</v>
      </c>
      <c r="AB28" s="8">
        <f>SUMIFS('WEM demand data'!$I$2:$I$4357,'WEM demand data'!$D$2:$D$4357,Summary!$A28,'WEM demand data'!$F$2:$F$4357,Summary!$A$4,'WEM demand data'!$H$2:$H$4357,Summary!AB$7)*1000</f>
        <v>0</v>
      </c>
      <c r="AC28" s="8">
        <f>SUMIFS('WEM demand data'!$I$2:$I$4357,'WEM demand data'!$D$2:$D$4357,Summary!$A28,'WEM demand data'!$F$2:$F$4357,Summary!$A$4,'WEM demand data'!$H$2:$H$4357,Summary!AC$7)*1000</f>
        <v>0</v>
      </c>
      <c r="AD28" s="8">
        <f>SUMIFS('WEM demand data'!$I$2:$I$4357,'WEM demand data'!$D$2:$D$4357,Summary!$A28,'WEM demand data'!$F$2:$F$4357,Summary!$A$4,'WEM demand data'!$H$2:$H$4357,Summary!AD$7)*1000</f>
        <v>0</v>
      </c>
      <c r="AE28" s="8">
        <f>SUMIFS('WEM demand data'!$I$2:$I$4357,'WEM demand data'!$D$2:$D$4357,Summary!$A28,'WEM demand data'!$F$2:$F$4357,Summary!$A$4,'WEM demand data'!$H$2:$H$4357,Summary!AE$7)*1000</f>
        <v>0</v>
      </c>
      <c r="AF28" s="8">
        <f>SUMIFS('WEM demand data'!$I$2:$I$4357,'WEM demand data'!$D$2:$D$4357,Summary!$A28,'WEM demand data'!$F$2:$F$4357,Summary!$A$4,'WEM demand data'!$H$2:$H$4357,Summary!AF$7)*1000</f>
        <v>0</v>
      </c>
      <c r="AG28" s="8">
        <f>SUMIFS('WEM demand data'!$I$2:$I$4357,'WEM demand data'!$D$2:$D$4357,Summary!$A28,'WEM demand data'!$F$2:$F$4357,Summary!$A$4,'WEM demand data'!$H$2:$H$4357,Summary!AG$7)*1000</f>
        <v>0</v>
      </c>
      <c r="AH28" s="8">
        <f>SUMIFS('WEM demand data'!$I$2:$I$4357,'WEM demand data'!$D$2:$D$4357,Summary!$A28,'WEM demand data'!$F$2:$F$4357,Summary!$A$4,'WEM demand data'!$H$2:$H$4357,Summary!AH$7)*1000</f>
        <v>0</v>
      </c>
      <c r="AI28" s="8">
        <f>SUMIFS('WEM demand data'!$I$2:$I$4357,'WEM demand data'!$D$2:$D$4357,Summary!$A28,'WEM demand data'!$F$2:$F$4357,Summary!$A$4,'WEM demand data'!$H$2:$H$4357,Summary!AI$7)*1000</f>
        <v>0</v>
      </c>
      <c r="AJ28" s="8">
        <f>SUMIFS('WEM demand data'!$I$2:$I$4357,'WEM demand data'!$D$2:$D$4357,Summary!$A28,'WEM demand data'!$F$2:$F$4357,Summary!$A$4,'WEM demand data'!$H$2:$H$4357,Summary!AJ$7)*1000</f>
        <v>0</v>
      </c>
      <c r="AK28" s="8"/>
      <c r="AL28" s="8"/>
      <c r="AM28" s="8"/>
      <c r="AN28" s="8"/>
      <c r="AO28" s="9"/>
    </row>
    <row r="29" spans="1:41">
      <c r="A29" s="6" t="s">
        <v>97</v>
      </c>
      <c r="B29" s="7" t="s">
        <v>2</v>
      </c>
      <c r="E29" s="8"/>
      <c r="F29" s="8"/>
      <c r="G29" s="8"/>
      <c r="H29" s="8"/>
      <c r="I29" s="8"/>
      <c r="J29" s="8">
        <f>SUMIFS('WEM demand data'!$I$2:$I$4357,'WEM demand data'!$D$2:$D$4357,Summary!$A29,'WEM demand data'!$F$2:$F$4357,Summary!$C$24,'WEM demand data'!$H$2:$H$4357,Summary!J$25)*1000</f>
        <v>51</v>
      </c>
      <c r="K29" s="8">
        <f>SUMIFS('WEM demand data'!$I$2:$I$4357,'WEM demand data'!$D$2:$D$4357,Summary!$A29,'WEM demand data'!$F$2:$F$4357,Summary!$C$24,'WEM demand data'!$H$2:$H$4357,Summary!K$25)*1000</f>
        <v>96.100000000000009</v>
      </c>
      <c r="L29" s="8">
        <f>SUMIFS('WEM demand data'!$I$2:$I$4357,'WEM demand data'!$D$2:$D$4357,Summary!$A29,'WEM demand data'!$F$2:$F$4357,Summary!$C$24,'WEM demand data'!$H$2:$H$4357,Summary!L$25)*1000</f>
        <v>164.20000000000002</v>
      </c>
      <c r="M29" s="8">
        <f>SUMIFS('WEM demand data'!$I$2:$I$4357,'WEM demand data'!$D$2:$D$4357,Summary!$A29,'WEM demand data'!$F$2:$F$4357,Summary!$C$24,'WEM demand data'!$H$2:$H$4357,Summary!M$25)*1000</f>
        <v>254.4</v>
      </c>
      <c r="N29" s="8">
        <f>SUMIFS('WEM demand data'!$I$2:$I$4357,'WEM demand data'!$D$2:$D$4357,Summary!$A29,'WEM demand data'!$F$2:$F$4357,Summary!$C$24,'WEM demand data'!$H$2:$H$4357,Summary!N$25)*1000</f>
        <v>365.5</v>
      </c>
      <c r="O29" s="8">
        <f>SUMIFS('WEM demand data'!$I$2:$I$4357,'WEM demand data'!$D$2:$D$4357,Summary!$A29,'WEM demand data'!$F$2:$F$4357,Summary!$C$24,'WEM demand data'!$H$2:$H$4357,Summary!O$25)*1000</f>
        <v>493.3</v>
      </c>
      <c r="P29" s="8">
        <f>SUMIFS('WEM demand data'!$I$2:$I$4357,'WEM demand data'!$D$2:$D$4357,Summary!$A29,'WEM demand data'!$F$2:$F$4357,Summary!$C$24,'WEM demand data'!$H$2:$H$4357,Summary!P$25)*1000</f>
        <v>644.4</v>
      </c>
      <c r="Q29" s="8">
        <f>SUMIFS('WEM demand data'!$I$2:$I$4357,'WEM demand data'!$D$2:$D$4357,Summary!$A29,'WEM demand data'!$F$2:$F$4357,Summary!$C$24,'WEM demand data'!$H$2:$H$4357,Summary!Q$25)*1000</f>
        <v>820.90000000000009</v>
      </c>
      <c r="R29" s="8">
        <f>SUMIFS('WEM demand data'!$I$2:$I$4357,'WEM demand data'!$D$2:$D$4357,Summary!$A29,'WEM demand data'!$F$2:$F$4357,Summary!$C$24,'WEM demand data'!$H$2:$H$4357,Summary!R$25)*1000</f>
        <v>1019.8000000000001</v>
      </c>
      <c r="S29" s="8">
        <f>SUMIFS('WEM demand data'!$I$2:$I$4357,'WEM demand data'!$D$2:$D$4357,Summary!$A29,'WEM demand data'!$F$2:$F$4357,Summary!$C$24,'WEM demand data'!$H$2:$H$4357,Summary!S$25)*1000</f>
        <v>1236</v>
      </c>
      <c r="T29" s="8">
        <f>SUMIFS('WEM demand data'!$I$2:$I$4357,'WEM demand data'!$D$2:$D$4357,Summary!$A29,'WEM demand data'!$F$2:$F$4357,Summary!$C$24,'WEM demand data'!$H$2:$H$4357,Summary!T$25)*1000</f>
        <v>1474.8000000000002</v>
      </c>
      <c r="U29" s="8">
        <f>SUMIFS('WEM demand data'!$I$2:$I$4357,'WEM demand data'!$D$2:$D$4357,Summary!$A29,'WEM demand data'!$F$2:$F$4357,Summary!$A$4,'WEM demand data'!$H$2:$H$4357,Summary!U$7)*1000</f>
        <v>0</v>
      </c>
      <c r="V29" s="8">
        <f>SUMIFS('WEM demand data'!$I$2:$I$4357,'WEM demand data'!$D$2:$D$4357,Summary!$A29,'WEM demand data'!$F$2:$F$4357,Summary!$A$4,'WEM demand data'!$H$2:$H$4357,Summary!V$7)*1000</f>
        <v>0</v>
      </c>
      <c r="W29" s="8">
        <f>SUMIFS('WEM demand data'!$I$2:$I$4357,'WEM demand data'!$D$2:$D$4357,Summary!$A29,'WEM demand data'!$F$2:$F$4357,Summary!$A$4,'WEM demand data'!$H$2:$H$4357,Summary!W$7)*1000</f>
        <v>0</v>
      </c>
      <c r="X29" s="8">
        <f>SUMIFS('WEM demand data'!$I$2:$I$4357,'WEM demand data'!$D$2:$D$4357,Summary!$A29,'WEM demand data'!$F$2:$F$4357,Summary!$A$4,'WEM demand data'!$H$2:$H$4357,Summary!X$7)*1000</f>
        <v>0</v>
      </c>
      <c r="Y29" s="8">
        <f>SUMIFS('WEM demand data'!$I$2:$I$4357,'WEM demand data'!$D$2:$D$4357,Summary!$A29,'WEM demand data'!$F$2:$F$4357,Summary!$A$4,'WEM demand data'!$H$2:$H$4357,Summary!Y$7)*1000</f>
        <v>0</v>
      </c>
      <c r="Z29" s="8">
        <f>SUMIFS('WEM demand data'!$I$2:$I$4357,'WEM demand data'!$D$2:$D$4357,Summary!$A29,'WEM demand data'!$F$2:$F$4357,Summary!$A$4,'WEM demand data'!$H$2:$H$4357,Summary!Z$7)*1000</f>
        <v>0</v>
      </c>
      <c r="AA29" s="8">
        <f>SUMIFS('WEM demand data'!$I$2:$I$4357,'WEM demand data'!$D$2:$D$4357,Summary!$A29,'WEM demand data'!$F$2:$F$4357,Summary!$A$4,'WEM demand data'!$H$2:$H$4357,Summary!AA$7)*1000</f>
        <v>0</v>
      </c>
      <c r="AB29" s="8">
        <f>SUMIFS('WEM demand data'!$I$2:$I$4357,'WEM demand data'!$D$2:$D$4357,Summary!$A29,'WEM demand data'!$F$2:$F$4357,Summary!$A$4,'WEM demand data'!$H$2:$H$4357,Summary!AB$7)*1000</f>
        <v>0</v>
      </c>
      <c r="AC29" s="8">
        <f>SUMIFS('WEM demand data'!$I$2:$I$4357,'WEM demand data'!$D$2:$D$4357,Summary!$A29,'WEM demand data'!$F$2:$F$4357,Summary!$A$4,'WEM demand data'!$H$2:$H$4357,Summary!AC$7)*1000</f>
        <v>0</v>
      </c>
      <c r="AD29" s="8">
        <f>SUMIFS('WEM demand data'!$I$2:$I$4357,'WEM demand data'!$D$2:$D$4357,Summary!$A29,'WEM demand data'!$F$2:$F$4357,Summary!$A$4,'WEM demand data'!$H$2:$H$4357,Summary!AD$7)*1000</f>
        <v>0</v>
      </c>
      <c r="AE29" s="8">
        <f>SUMIFS('WEM demand data'!$I$2:$I$4357,'WEM demand data'!$D$2:$D$4357,Summary!$A29,'WEM demand data'!$F$2:$F$4357,Summary!$A$4,'WEM demand data'!$H$2:$H$4357,Summary!AE$7)*1000</f>
        <v>0</v>
      </c>
      <c r="AF29" s="8">
        <f>SUMIFS('WEM demand data'!$I$2:$I$4357,'WEM demand data'!$D$2:$D$4357,Summary!$A29,'WEM demand data'!$F$2:$F$4357,Summary!$A$4,'WEM demand data'!$H$2:$H$4357,Summary!AF$7)*1000</f>
        <v>0</v>
      </c>
      <c r="AG29" s="8">
        <f>SUMIFS('WEM demand data'!$I$2:$I$4357,'WEM demand data'!$D$2:$D$4357,Summary!$A29,'WEM demand data'!$F$2:$F$4357,Summary!$A$4,'WEM demand data'!$H$2:$H$4357,Summary!AG$7)*1000</f>
        <v>0</v>
      </c>
      <c r="AH29" s="8">
        <f>SUMIFS('WEM demand data'!$I$2:$I$4357,'WEM demand data'!$D$2:$D$4357,Summary!$A29,'WEM demand data'!$F$2:$F$4357,Summary!$A$4,'WEM demand data'!$H$2:$H$4357,Summary!AH$7)*1000</f>
        <v>0</v>
      </c>
      <c r="AI29" s="8">
        <f>SUMIFS('WEM demand data'!$I$2:$I$4357,'WEM demand data'!$D$2:$D$4357,Summary!$A29,'WEM demand data'!$F$2:$F$4357,Summary!$A$4,'WEM demand data'!$H$2:$H$4357,Summary!AI$7)*1000</f>
        <v>0</v>
      </c>
      <c r="AJ29" s="8">
        <f>SUMIFS('WEM demand data'!$I$2:$I$4357,'WEM demand data'!$D$2:$D$4357,Summary!$A29,'WEM demand data'!$F$2:$F$4357,Summary!$A$4,'WEM demand data'!$H$2:$H$4357,Summary!AJ$7)*1000</f>
        <v>0</v>
      </c>
      <c r="AK29" s="8"/>
      <c r="AL29" s="8"/>
      <c r="AM29" s="8"/>
      <c r="AN29" s="8"/>
      <c r="AO29" s="9"/>
    </row>
    <row r="30" spans="1:41">
      <c r="A30" s="6" t="s">
        <v>100</v>
      </c>
      <c r="B30" s="7" t="s">
        <v>2</v>
      </c>
      <c r="E30" s="8"/>
      <c r="F30" s="8"/>
      <c r="G30" s="8"/>
      <c r="H30" s="8"/>
      <c r="I30" s="8"/>
      <c r="J30" s="8">
        <f>SUMIFS('WEM demand data'!$I$2:$I$4357,'WEM demand data'!$D$2:$D$4357,Summary!$A30,'WEM demand data'!$F$2:$F$4357,Summary!$C$24,'WEM demand data'!$H$2:$H$4357,Summary!J$25)*1000</f>
        <v>0.3</v>
      </c>
      <c r="K30" s="8">
        <f>SUMIFS('WEM demand data'!$I$2:$I$4357,'WEM demand data'!$D$2:$D$4357,Summary!$A30,'WEM demand data'!$F$2:$F$4357,Summary!$C$24,'WEM demand data'!$H$2:$H$4357,Summary!K$25)*1000</f>
        <v>1.2</v>
      </c>
      <c r="L30" s="8">
        <f>SUMIFS('WEM demand data'!$I$2:$I$4357,'WEM demand data'!$D$2:$D$4357,Summary!$A30,'WEM demand data'!$F$2:$F$4357,Summary!$C$24,'WEM demand data'!$H$2:$H$4357,Summary!L$25)*1000</f>
        <v>1.5</v>
      </c>
      <c r="M30" s="8">
        <f>SUMIFS('WEM demand data'!$I$2:$I$4357,'WEM demand data'!$D$2:$D$4357,Summary!$A30,'WEM demand data'!$F$2:$F$4357,Summary!$C$24,'WEM demand data'!$H$2:$H$4357,Summary!M$25)*1000</f>
        <v>1.5</v>
      </c>
      <c r="N30" s="8">
        <f>SUMIFS('WEM demand data'!$I$2:$I$4357,'WEM demand data'!$D$2:$D$4357,Summary!$A30,'WEM demand data'!$F$2:$F$4357,Summary!$C$24,'WEM demand data'!$H$2:$H$4357,Summary!N$25)*1000</f>
        <v>1.5</v>
      </c>
      <c r="O30" s="8">
        <f>SUMIFS('WEM demand data'!$I$2:$I$4357,'WEM demand data'!$D$2:$D$4357,Summary!$A30,'WEM demand data'!$F$2:$F$4357,Summary!$C$24,'WEM demand data'!$H$2:$H$4357,Summary!O$25)*1000</f>
        <v>61.599999999999994</v>
      </c>
      <c r="P30" s="8">
        <f>SUMIFS('WEM demand data'!$I$2:$I$4357,'WEM demand data'!$D$2:$D$4357,Summary!$A30,'WEM demand data'!$F$2:$F$4357,Summary!$C$24,'WEM demand data'!$H$2:$H$4357,Summary!P$25)*1000</f>
        <v>283.7</v>
      </c>
      <c r="Q30" s="8">
        <f>SUMIFS('WEM demand data'!$I$2:$I$4357,'WEM demand data'!$D$2:$D$4357,Summary!$A30,'WEM demand data'!$F$2:$F$4357,Summary!$C$24,'WEM demand data'!$H$2:$H$4357,Summary!Q$25)*1000</f>
        <v>478.3</v>
      </c>
      <c r="R30" s="8">
        <f>SUMIFS('WEM demand data'!$I$2:$I$4357,'WEM demand data'!$D$2:$D$4357,Summary!$A30,'WEM demand data'!$F$2:$F$4357,Summary!$C$24,'WEM demand data'!$H$2:$H$4357,Summary!R$25)*1000</f>
        <v>776.99999999999989</v>
      </c>
      <c r="S30" s="8">
        <f>SUMIFS('WEM demand data'!$I$2:$I$4357,'WEM demand data'!$D$2:$D$4357,Summary!$A30,'WEM demand data'!$F$2:$F$4357,Summary!$C$24,'WEM demand data'!$H$2:$H$4357,Summary!S$25)*1000</f>
        <v>1251</v>
      </c>
      <c r="T30" s="8">
        <f>SUMIFS('WEM demand data'!$I$2:$I$4357,'WEM demand data'!$D$2:$D$4357,Summary!$A30,'WEM demand data'!$F$2:$F$4357,Summary!$C$24,'WEM demand data'!$H$2:$H$4357,Summary!T$25)*1000</f>
        <v>2039.3</v>
      </c>
      <c r="U30" s="8">
        <f>SUMIFS('WEM demand data'!$I$2:$I$4357,'WEM demand data'!$D$2:$D$4357,Summary!$A30,'WEM demand data'!$F$2:$F$4357,Summary!$A$4,'WEM demand data'!$H$2:$H$4357,Summary!U$7)*1000</f>
        <v>0</v>
      </c>
      <c r="V30" s="8">
        <f>SUMIFS('WEM demand data'!$I$2:$I$4357,'WEM demand data'!$D$2:$D$4357,Summary!$A30,'WEM demand data'!$F$2:$F$4357,Summary!$A$4,'WEM demand data'!$H$2:$H$4357,Summary!V$7)*1000</f>
        <v>0</v>
      </c>
      <c r="W30" s="8">
        <f>SUMIFS('WEM demand data'!$I$2:$I$4357,'WEM demand data'!$D$2:$D$4357,Summary!$A30,'WEM demand data'!$F$2:$F$4357,Summary!$A$4,'WEM demand data'!$H$2:$H$4357,Summary!W$7)*1000</f>
        <v>0</v>
      </c>
      <c r="X30" s="8">
        <f>SUMIFS('WEM demand data'!$I$2:$I$4357,'WEM demand data'!$D$2:$D$4357,Summary!$A30,'WEM demand data'!$F$2:$F$4357,Summary!$A$4,'WEM demand data'!$H$2:$H$4357,Summary!X$7)*1000</f>
        <v>0</v>
      </c>
      <c r="Y30" s="8">
        <f>SUMIFS('WEM demand data'!$I$2:$I$4357,'WEM demand data'!$D$2:$D$4357,Summary!$A30,'WEM demand data'!$F$2:$F$4357,Summary!$A$4,'WEM demand data'!$H$2:$H$4357,Summary!Y$7)*1000</f>
        <v>0</v>
      </c>
      <c r="Z30" s="8">
        <f>SUMIFS('WEM demand data'!$I$2:$I$4357,'WEM demand data'!$D$2:$D$4357,Summary!$A30,'WEM demand data'!$F$2:$F$4357,Summary!$A$4,'WEM demand data'!$H$2:$H$4357,Summary!Z$7)*1000</f>
        <v>0</v>
      </c>
      <c r="AA30" s="8">
        <f>SUMIFS('WEM demand data'!$I$2:$I$4357,'WEM demand data'!$D$2:$D$4357,Summary!$A30,'WEM demand data'!$F$2:$F$4357,Summary!$A$4,'WEM demand data'!$H$2:$H$4357,Summary!AA$7)*1000</f>
        <v>0</v>
      </c>
      <c r="AB30" s="8">
        <f>SUMIFS('WEM demand data'!$I$2:$I$4357,'WEM demand data'!$D$2:$D$4357,Summary!$A30,'WEM demand data'!$F$2:$F$4357,Summary!$A$4,'WEM demand data'!$H$2:$H$4357,Summary!AB$7)*1000</f>
        <v>0</v>
      </c>
      <c r="AC30" s="8">
        <f>SUMIFS('WEM demand data'!$I$2:$I$4357,'WEM demand data'!$D$2:$D$4357,Summary!$A30,'WEM demand data'!$F$2:$F$4357,Summary!$A$4,'WEM demand data'!$H$2:$H$4357,Summary!AC$7)*1000</f>
        <v>0</v>
      </c>
      <c r="AD30" s="8">
        <f>SUMIFS('WEM demand data'!$I$2:$I$4357,'WEM demand data'!$D$2:$D$4357,Summary!$A30,'WEM demand data'!$F$2:$F$4357,Summary!$A$4,'WEM demand data'!$H$2:$H$4357,Summary!AD$7)*1000</f>
        <v>0</v>
      </c>
      <c r="AE30" s="8">
        <f>SUMIFS('WEM demand data'!$I$2:$I$4357,'WEM demand data'!$D$2:$D$4357,Summary!$A30,'WEM demand data'!$F$2:$F$4357,Summary!$A$4,'WEM demand data'!$H$2:$H$4357,Summary!AE$7)*1000</f>
        <v>0</v>
      </c>
      <c r="AF30" s="8">
        <f>SUMIFS('WEM demand data'!$I$2:$I$4357,'WEM demand data'!$D$2:$D$4357,Summary!$A30,'WEM demand data'!$F$2:$F$4357,Summary!$A$4,'WEM demand data'!$H$2:$H$4357,Summary!AF$7)*1000</f>
        <v>0</v>
      </c>
      <c r="AG30" s="8">
        <f>SUMIFS('WEM demand data'!$I$2:$I$4357,'WEM demand data'!$D$2:$D$4357,Summary!$A30,'WEM demand data'!$F$2:$F$4357,Summary!$A$4,'WEM demand data'!$H$2:$H$4357,Summary!AG$7)*1000</f>
        <v>0</v>
      </c>
      <c r="AH30" s="8">
        <f>SUMIFS('WEM demand data'!$I$2:$I$4357,'WEM demand data'!$D$2:$D$4357,Summary!$A30,'WEM demand data'!$F$2:$F$4357,Summary!$A$4,'WEM demand data'!$H$2:$H$4357,Summary!AH$7)*1000</f>
        <v>0</v>
      </c>
      <c r="AI30" s="8">
        <f>SUMIFS('WEM demand data'!$I$2:$I$4357,'WEM demand data'!$D$2:$D$4357,Summary!$A30,'WEM demand data'!$F$2:$F$4357,Summary!$A$4,'WEM demand data'!$H$2:$H$4357,Summary!AI$7)*1000</f>
        <v>0</v>
      </c>
      <c r="AJ30" s="8">
        <f>SUMIFS('WEM demand data'!$I$2:$I$4357,'WEM demand data'!$D$2:$D$4357,Summary!$A30,'WEM demand data'!$F$2:$F$4357,Summary!$A$4,'WEM demand data'!$H$2:$H$4357,Summary!AJ$7)*1000</f>
        <v>0</v>
      </c>
      <c r="AK30" s="8"/>
      <c r="AL30" s="8"/>
      <c r="AM30" s="8"/>
      <c r="AN30" s="8"/>
      <c r="AO30" s="9"/>
    </row>
    <row r="31" spans="1:41">
      <c r="A31" s="6" t="s">
        <v>83</v>
      </c>
      <c r="B31" s="7" t="s">
        <v>2</v>
      </c>
      <c r="E31" s="8">
        <f>SUMIFS('WEM demand data'!$I$2:$I$4357,'WEM demand data'!$D$2:$D$4357,Summary!$A31,'WEM demand data'!$F$2:$F$4357,Summary!$C$24,'WEM demand data'!$H$2:$H$4357,Summary!E$25)*1000</f>
        <v>1396.6000000000001</v>
      </c>
      <c r="F31" s="8">
        <f>SUMIFS('WEM demand data'!$I$2:$I$4357,'WEM demand data'!$D$2:$D$4357,Summary!$A31,'WEM demand data'!$F$2:$F$4357,Summary!$C$24,'WEM demand data'!$H$2:$H$4357,Summary!F$25)*1000</f>
        <v>1392.5</v>
      </c>
      <c r="G31" s="8">
        <f>SUMIFS('WEM demand data'!$I$2:$I$4357,'WEM demand data'!$D$2:$D$4357,Summary!$A31,'WEM demand data'!$F$2:$F$4357,Summary!$C$24,'WEM demand data'!$H$2:$H$4357,Summary!G$25)*1000</f>
        <v>1418.9</v>
      </c>
      <c r="H31" s="8">
        <f>SUMIFS('WEM demand data'!$I$2:$I$4357,'WEM demand data'!$D$2:$D$4357,Summary!$A31,'WEM demand data'!$F$2:$F$4357,Summary!$C$24,'WEM demand data'!$H$2:$H$4357,Summary!H$25)*1000</f>
        <v>1312.7</v>
      </c>
      <c r="I31" s="8">
        <f>SUMIFS('WEM demand data'!$I$2:$I$4357,'WEM demand data'!$D$2:$D$4357,Summary!$A31,'WEM demand data'!$F$2:$F$4357,Summary!$C$24,'WEM demand data'!$H$2:$H$4357,Summary!I$25)*1000</f>
        <v>1524.8</v>
      </c>
      <c r="J31" s="8">
        <f>SUMIFS('WEM demand data'!$I$2:$I$4357,'WEM demand data'!$D$2:$D$4357,Summary!$A31,'WEM demand data'!$F$2:$F$4357,Summary!$C$24,'WEM demand data'!$H$2:$H$4357,Summary!J$25)*1000</f>
        <v>1434.9</v>
      </c>
      <c r="K31" s="8">
        <f>SUMIFS('WEM demand data'!$I$2:$I$4357,'WEM demand data'!$D$2:$D$4357,Summary!$A31,'WEM demand data'!$F$2:$F$4357,Summary!$C$24,'WEM demand data'!$H$2:$H$4357,Summary!K$25)*1000</f>
        <v>1454.6999999999998</v>
      </c>
      <c r="L31" s="8">
        <f>SUMIFS('WEM demand data'!$I$2:$I$4357,'WEM demand data'!$D$2:$D$4357,Summary!$A31,'WEM demand data'!$F$2:$F$4357,Summary!$C$24,'WEM demand data'!$H$2:$H$4357,Summary!L$25)*1000</f>
        <v>1462.6</v>
      </c>
      <c r="M31" s="8">
        <f>SUMIFS('WEM demand data'!$I$2:$I$4357,'WEM demand data'!$D$2:$D$4357,Summary!$A31,'WEM demand data'!$F$2:$F$4357,Summary!$C$24,'WEM demand data'!$H$2:$H$4357,Summary!M$25)*1000</f>
        <v>1481.8</v>
      </c>
      <c r="N31" s="8">
        <f>SUMIFS('WEM demand data'!$I$2:$I$4357,'WEM demand data'!$D$2:$D$4357,Summary!$A31,'WEM demand data'!$F$2:$F$4357,Summary!$C$24,'WEM demand data'!$H$2:$H$4357,Summary!N$25)*1000</f>
        <v>1504.0999999999997</v>
      </c>
      <c r="O31" s="8">
        <f>SUMIFS('WEM demand data'!$I$2:$I$4357,'WEM demand data'!$D$2:$D$4357,Summary!$A31,'WEM demand data'!$F$2:$F$4357,Summary!$C$24,'WEM demand data'!$H$2:$H$4357,Summary!O$25)*1000</f>
        <v>1559.6000000000001</v>
      </c>
      <c r="P31" s="8">
        <f>SUMIFS('WEM demand data'!$I$2:$I$4357,'WEM demand data'!$D$2:$D$4357,Summary!$A31,'WEM demand data'!$F$2:$F$4357,Summary!$C$24,'WEM demand data'!$H$2:$H$4357,Summary!P$25)*1000</f>
        <v>1691.7</v>
      </c>
      <c r="Q31" s="8">
        <f>SUMIFS('WEM demand data'!$I$2:$I$4357,'WEM demand data'!$D$2:$D$4357,Summary!$A31,'WEM demand data'!$F$2:$F$4357,Summary!$C$24,'WEM demand data'!$H$2:$H$4357,Summary!Q$25)*1000</f>
        <v>1857.6</v>
      </c>
      <c r="R31" s="8">
        <f>SUMIFS('WEM demand data'!$I$2:$I$4357,'WEM demand data'!$D$2:$D$4357,Summary!$A31,'WEM demand data'!$F$2:$F$4357,Summary!$C$24,'WEM demand data'!$H$2:$H$4357,Summary!R$25)*1000</f>
        <v>1991.4</v>
      </c>
      <c r="S31" s="8">
        <f>SUMIFS('WEM demand data'!$I$2:$I$4357,'WEM demand data'!$D$2:$D$4357,Summary!$A31,'WEM demand data'!$F$2:$F$4357,Summary!$C$24,'WEM demand data'!$H$2:$H$4357,Summary!S$25)*1000</f>
        <v>2126.8000000000002</v>
      </c>
      <c r="T31" s="8">
        <f>SUMIFS('WEM demand data'!$I$2:$I$4357,'WEM demand data'!$D$2:$D$4357,Summary!$A31,'WEM demand data'!$F$2:$F$4357,Summary!$C$24,'WEM demand data'!$H$2:$H$4357,Summary!T$25)*1000</f>
        <v>2270.1000000000004</v>
      </c>
      <c r="U31" s="8">
        <f>SUMIFS('WEM demand data'!$I$2:$I$4357,'WEM demand data'!$D$2:$D$4357,Summary!$A31,'WEM demand data'!$F$2:$F$4357,Summary!$A$4,'WEM demand data'!$H$2:$H$4357,Summary!U$7)*1000</f>
        <v>0</v>
      </c>
      <c r="V31" s="8">
        <f>SUMIFS('WEM demand data'!$I$2:$I$4357,'WEM demand data'!$D$2:$D$4357,Summary!$A31,'WEM demand data'!$F$2:$F$4357,Summary!$A$4,'WEM demand data'!$H$2:$H$4357,Summary!V$7)*1000</f>
        <v>0</v>
      </c>
      <c r="W31" s="8">
        <f>SUMIFS('WEM demand data'!$I$2:$I$4357,'WEM demand data'!$D$2:$D$4357,Summary!$A31,'WEM demand data'!$F$2:$F$4357,Summary!$A$4,'WEM demand data'!$H$2:$H$4357,Summary!W$7)*1000</f>
        <v>0</v>
      </c>
      <c r="X31" s="8">
        <f>SUMIFS('WEM demand data'!$I$2:$I$4357,'WEM demand data'!$D$2:$D$4357,Summary!$A31,'WEM demand data'!$F$2:$F$4357,Summary!$A$4,'WEM demand data'!$H$2:$H$4357,Summary!X$7)*1000</f>
        <v>0</v>
      </c>
      <c r="Y31" s="8">
        <f>SUMIFS('WEM demand data'!$I$2:$I$4357,'WEM demand data'!$D$2:$D$4357,Summary!$A31,'WEM demand data'!$F$2:$F$4357,Summary!$A$4,'WEM demand data'!$H$2:$H$4357,Summary!Y$7)*1000</f>
        <v>0</v>
      </c>
      <c r="Z31" s="8">
        <f>SUMIFS('WEM demand data'!$I$2:$I$4357,'WEM demand data'!$D$2:$D$4357,Summary!$A31,'WEM demand data'!$F$2:$F$4357,Summary!$A$4,'WEM demand data'!$H$2:$H$4357,Summary!Z$7)*1000</f>
        <v>0</v>
      </c>
      <c r="AA31" s="8">
        <f>SUMIFS('WEM demand data'!$I$2:$I$4357,'WEM demand data'!$D$2:$D$4357,Summary!$A31,'WEM demand data'!$F$2:$F$4357,Summary!$A$4,'WEM demand data'!$H$2:$H$4357,Summary!AA$7)*1000</f>
        <v>0</v>
      </c>
      <c r="AB31" s="8">
        <f>SUMIFS('WEM demand data'!$I$2:$I$4357,'WEM demand data'!$D$2:$D$4357,Summary!$A31,'WEM demand data'!$F$2:$F$4357,Summary!$A$4,'WEM demand data'!$H$2:$H$4357,Summary!AB$7)*1000</f>
        <v>0</v>
      </c>
      <c r="AC31" s="8">
        <f>SUMIFS('WEM demand data'!$I$2:$I$4357,'WEM demand data'!$D$2:$D$4357,Summary!$A31,'WEM demand data'!$F$2:$F$4357,Summary!$A$4,'WEM demand data'!$H$2:$H$4357,Summary!AC$7)*1000</f>
        <v>0</v>
      </c>
      <c r="AD31" s="8">
        <f>SUMIFS('WEM demand data'!$I$2:$I$4357,'WEM demand data'!$D$2:$D$4357,Summary!$A31,'WEM demand data'!$F$2:$F$4357,Summary!$A$4,'WEM demand data'!$H$2:$H$4357,Summary!AD$7)*1000</f>
        <v>0</v>
      </c>
      <c r="AE31" s="8">
        <f>SUMIFS('WEM demand data'!$I$2:$I$4357,'WEM demand data'!$D$2:$D$4357,Summary!$A31,'WEM demand data'!$F$2:$F$4357,Summary!$A$4,'WEM demand data'!$H$2:$H$4357,Summary!AE$7)*1000</f>
        <v>0</v>
      </c>
      <c r="AF31" s="8">
        <f>SUMIFS('WEM demand data'!$I$2:$I$4357,'WEM demand data'!$D$2:$D$4357,Summary!$A31,'WEM demand data'!$F$2:$F$4357,Summary!$A$4,'WEM demand data'!$H$2:$H$4357,Summary!AF$7)*1000</f>
        <v>0</v>
      </c>
      <c r="AG31" s="8">
        <f>SUMIFS('WEM demand data'!$I$2:$I$4357,'WEM demand data'!$D$2:$D$4357,Summary!$A31,'WEM demand data'!$F$2:$F$4357,Summary!$A$4,'WEM demand data'!$H$2:$H$4357,Summary!AG$7)*1000</f>
        <v>0</v>
      </c>
      <c r="AH31" s="8">
        <f>SUMIFS('WEM demand data'!$I$2:$I$4357,'WEM demand data'!$D$2:$D$4357,Summary!$A31,'WEM demand data'!$F$2:$F$4357,Summary!$A$4,'WEM demand data'!$H$2:$H$4357,Summary!AH$7)*1000</f>
        <v>0</v>
      </c>
      <c r="AI31" s="8">
        <f>SUMIFS('WEM demand data'!$I$2:$I$4357,'WEM demand data'!$D$2:$D$4357,Summary!$A31,'WEM demand data'!$F$2:$F$4357,Summary!$A$4,'WEM demand data'!$H$2:$H$4357,Summary!AI$7)*1000</f>
        <v>0</v>
      </c>
      <c r="AJ31" s="8">
        <f>SUMIFS('WEM demand data'!$I$2:$I$4357,'WEM demand data'!$D$2:$D$4357,Summary!$A31,'WEM demand data'!$F$2:$F$4357,Summary!$A$4,'WEM demand data'!$H$2:$H$4357,Summary!AJ$7)*1000</f>
        <v>0</v>
      </c>
      <c r="AK31" s="8"/>
      <c r="AL31" s="8"/>
      <c r="AM31" s="8"/>
      <c r="AN31" s="8"/>
      <c r="AO31" s="9"/>
    </row>
    <row r="32" spans="1:41">
      <c r="A32" s="6" t="s">
        <v>86</v>
      </c>
      <c r="B32" s="7" t="s">
        <v>2</v>
      </c>
      <c r="E32" s="8">
        <f>SUMIFS('WEM demand data'!$I$2:$I$4357,'WEM demand data'!$D$2:$D$4357,Summary!$A32,'WEM demand data'!$F$2:$F$4357,Summary!$C$24,'WEM demand data'!$H$2:$H$4357,Summary!E$25)*1000</f>
        <v>21.3</v>
      </c>
      <c r="F32" s="8">
        <f>SUMIFS('WEM demand data'!$I$2:$I$4357,'WEM demand data'!$D$2:$D$4357,Summary!$A32,'WEM demand data'!$F$2:$F$4357,Summary!$C$24,'WEM demand data'!$H$2:$H$4357,Summary!F$25)*1000</f>
        <v>39</v>
      </c>
      <c r="G32" s="8">
        <f>SUMIFS('WEM demand data'!$I$2:$I$4357,'WEM demand data'!$D$2:$D$4357,Summary!$A32,'WEM demand data'!$F$2:$F$4357,Summary!$C$24,'WEM demand data'!$H$2:$H$4357,Summary!G$25)*1000</f>
        <v>57.1</v>
      </c>
      <c r="H32" s="8">
        <f>SUMIFS('WEM demand data'!$I$2:$I$4357,'WEM demand data'!$D$2:$D$4357,Summary!$A32,'WEM demand data'!$F$2:$F$4357,Summary!$C$24,'WEM demand data'!$H$2:$H$4357,Summary!H$25)*1000</f>
        <v>70.900000000000006</v>
      </c>
      <c r="I32" s="8">
        <f>SUMIFS('WEM demand data'!$I$2:$I$4357,'WEM demand data'!$D$2:$D$4357,Summary!$A32,'WEM demand data'!$F$2:$F$4357,Summary!$C$24,'WEM demand data'!$H$2:$H$4357,Summary!I$25)*1000</f>
        <v>77.899999999999991</v>
      </c>
      <c r="J32" s="8">
        <f>SUMIFS('WEM demand data'!$I$2:$I$4357,'WEM demand data'!$D$2:$D$4357,Summary!$A32,'WEM demand data'!$F$2:$F$4357,Summary!$C$24,'WEM demand data'!$H$2:$H$4357,Summary!J$25)*1000</f>
        <v>93.899999999999991</v>
      </c>
      <c r="K32" s="8">
        <f>SUMIFS('WEM demand data'!$I$2:$I$4357,'WEM demand data'!$D$2:$D$4357,Summary!$A32,'WEM demand data'!$F$2:$F$4357,Summary!$C$24,'WEM demand data'!$H$2:$H$4357,Summary!K$25)*1000</f>
        <v>122.30000000000001</v>
      </c>
      <c r="L32" s="8">
        <f>SUMIFS('WEM demand data'!$I$2:$I$4357,'WEM demand data'!$D$2:$D$4357,Summary!$A32,'WEM demand data'!$F$2:$F$4357,Summary!$C$24,'WEM demand data'!$H$2:$H$4357,Summary!L$25)*1000</f>
        <v>156.29999999999998</v>
      </c>
      <c r="M32" s="8">
        <f>SUMIFS('WEM demand data'!$I$2:$I$4357,'WEM demand data'!$D$2:$D$4357,Summary!$A32,'WEM demand data'!$F$2:$F$4357,Summary!$C$24,'WEM demand data'!$H$2:$H$4357,Summary!M$25)*1000</f>
        <v>191.39999999999998</v>
      </c>
      <c r="N32" s="8">
        <f>SUMIFS('WEM demand data'!$I$2:$I$4357,'WEM demand data'!$D$2:$D$4357,Summary!$A32,'WEM demand data'!$F$2:$F$4357,Summary!$C$24,'WEM demand data'!$H$2:$H$4357,Summary!N$25)*1000</f>
        <v>226.6</v>
      </c>
      <c r="O32" s="8">
        <f>SUMIFS('WEM demand data'!$I$2:$I$4357,'WEM demand data'!$D$2:$D$4357,Summary!$A32,'WEM demand data'!$F$2:$F$4357,Summary!$C$24,'WEM demand data'!$H$2:$H$4357,Summary!O$25)*1000</f>
        <v>261</v>
      </c>
      <c r="P32" s="8">
        <f>SUMIFS('WEM demand data'!$I$2:$I$4357,'WEM demand data'!$D$2:$D$4357,Summary!$A32,'WEM demand data'!$F$2:$F$4357,Summary!$C$24,'WEM demand data'!$H$2:$H$4357,Summary!P$25)*1000</f>
        <v>296</v>
      </c>
      <c r="Q32" s="8">
        <f>SUMIFS('WEM demand data'!$I$2:$I$4357,'WEM demand data'!$D$2:$D$4357,Summary!$A32,'WEM demand data'!$F$2:$F$4357,Summary!$C$24,'WEM demand data'!$H$2:$H$4357,Summary!Q$25)*1000</f>
        <v>331.4</v>
      </c>
      <c r="R32" s="8">
        <f>SUMIFS('WEM demand data'!$I$2:$I$4357,'WEM demand data'!$D$2:$D$4357,Summary!$A32,'WEM demand data'!$F$2:$F$4357,Summary!$C$24,'WEM demand data'!$H$2:$H$4357,Summary!R$25)*1000</f>
        <v>367.8</v>
      </c>
      <c r="S32" s="8">
        <f>SUMIFS('WEM demand data'!$I$2:$I$4357,'WEM demand data'!$D$2:$D$4357,Summary!$A32,'WEM demand data'!$F$2:$F$4357,Summary!$C$24,'WEM demand data'!$H$2:$H$4357,Summary!S$25)*1000</f>
        <v>403.6</v>
      </c>
      <c r="T32" s="8">
        <f>SUMIFS('WEM demand data'!$I$2:$I$4357,'WEM demand data'!$D$2:$D$4357,Summary!$A32,'WEM demand data'!$F$2:$F$4357,Summary!$C$24,'WEM demand data'!$H$2:$H$4357,Summary!T$25)*1000</f>
        <v>441.2</v>
      </c>
      <c r="U32" s="8">
        <f>SUMIFS('WEM demand data'!$I$2:$I$4357,'WEM demand data'!$D$2:$D$4357,Summary!$A32,'WEM demand data'!$F$2:$F$4357,Summary!$A$4,'WEM demand data'!$H$2:$H$4357,Summary!U$7)*1000</f>
        <v>0</v>
      </c>
      <c r="V32" s="8">
        <f>SUMIFS('WEM demand data'!$I$2:$I$4357,'WEM demand data'!$D$2:$D$4357,Summary!$A32,'WEM demand data'!$F$2:$F$4357,Summary!$A$4,'WEM demand data'!$H$2:$H$4357,Summary!V$7)*1000</f>
        <v>0</v>
      </c>
      <c r="W32" s="8">
        <f>SUMIFS('WEM demand data'!$I$2:$I$4357,'WEM demand data'!$D$2:$D$4357,Summary!$A32,'WEM demand data'!$F$2:$F$4357,Summary!$A$4,'WEM demand data'!$H$2:$H$4357,Summary!W$7)*1000</f>
        <v>0</v>
      </c>
      <c r="X32" s="8">
        <f>SUMIFS('WEM demand data'!$I$2:$I$4357,'WEM demand data'!$D$2:$D$4357,Summary!$A32,'WEM demand data'!$F$2:$F$4357,Summary!$A$4,'WEM demand data'!$H$2:$H$4357,Summary!X$7)*1000</f>
        <v>0</v>
      </c>
      <c r="Y32" s="8">
        <f>SUMIFS('WEM demand data'!$I$2:$I$4357,'WEM demand data'!$D$2:$D$4357,Summary!$A32,'WEM demand data'!$F$2:$F$4357,Summary!$A$4,'WEM demand data'!$H$2:$H$4357,Summary!Y$7)*1000</f>
        <v>0</v>
      </c>
      <c r="Z32" s="8">
        <f>SUMIFS('WEM demand data'!$I$2:$I$4357,'WEM demand data'!$D$2:$D$4357,Summary!$A32,'WEM demand data'!$F$2:$F$4357,Summary!$A$4,'WEM demand data'!$H$2:$H$4357,Summary!Z$7)*1000</f>
        <v>0</v>
      </c>
      <c r="AA32" s="8">
        <f>SUMIFS('WEM demand data'!$I$2:$I$4357,'WEM demand data'!$D$2:$D$4357,Summary!$A32,'WEM demand data'!$F$2:$F$4357,Summary!$A$4,'WEM demand data'!$H$2:$H$4357,Summary!AA$7)*1000</f>
        <v>0</v>
      </c>
      <c r="AB32" s="8">
        <f>SUMIFS('WEM demand data'!$I$2:$I$4357,'WEM demand data'!$D$2:$D$4357,Summary!$A32,'WEM demand data'!$F$2:$F$4357,Summary!$A$4,'WEM demand data'!$H$2:$H$4357,Summary!AB$7)*1000</f>
        <v>0</v>
      </c>
      <c r="AC32" s="8">
        <f>SUMIFS('WEM demand data'!$I$2:$I$4357,'WEM demand data'!$D$2:$D$4357,Summary!$A32,'WEM demand data'!$F$2:$F$4357,Summary!$A$4,'WEM demand data'!$H$2:$H$4357,Summary!AC$7)*1000</f>
        <v>0</v>
      </c>
      <c r="AD32" s="8">
        <f>SUMIFS('WEM demand data'!$I$2:$I$4357,'WEM demand data'!$D$2:$D$4357,Summary!$A32,'WEM demand data'!$F$2:$F$4357,Summary!$A$4,'WEM demand data'!$H$2:$H$4357,Summary!AD$7)*1000</f>
        <v>0</v>
      </c>
      <c r="AE32" s="8">
        <f>SUMIFS('WEM demand data'!$I$2:$I$4357,'WEM demand data'!$D$2:$D$4357,Summary!$A32,'WEM demand data'!$F$2:$F$4357,Summary!$A$4,'WEM demand data'!$H$2:$H$4357,Summary!AE$7)*1000</f>
        <v>0</v>
      </c>
      <c r="AF32" s="8">
        <f>SUMIFS('WEM demand data'!$I$2:$I$4357,'WEM demand data'!$D$2:$D$4357,Summary!$A32,'WEM demand data'!$F$2:$F$4357,Summary!$A$4,'WEM demand data'!$H$2:$H$4357,Summary!AF$7)*1000</f>
        <v>0</v>
      </c>
      <c r="AG32" s="8">
        <f>SUMIFS('WEM demand data'!$I$2:$I$4357,'WEM demand data'!$D$2:$D$4357,Summary!$A32,'WEM demand data'!$F$2:$F$4357,Summary!$A$4,'WEM demand data'!$H$2:$H$4357,Summary!AG$7)*1000</f>
        <v>0</v>
      </c>
      <c r="AH32" s="8">
        <f>SUMIFS('WEM demand data'!$I$2:$I$4357,'WEM demand data'!$D$2:$D$4357,Summary!$A32,'WEM demand data'!$F$2:$F$4357,Summary!$A$4,'WEM demand data'!$H$2:$H$4357,Summary!AH$7)*1000</f>
        <v>0</v>
      </c>
      <c r="AI32" s="8">
        <f>SUMIFS('WEM demand data'!$I$2:$I$4357,'WEM demand data'!$D$2:$D$4357,Summary!$A32,'WEM demand data'!$F$2:$F$4357,Summary!$A$4,'WEM demand data'!$H$2:$H$4357,Summary!AI$7)*1000</f>
        <v>0</v>
      </c>
      <c r="AJ32" s="8">
        <f>SUMIFS('WEM demand data'!$I$2:$I$4357,'WEM demand data'!$D$2:$D$4357,Summary!$A32,'WEM demand data'!$F$2:$F$4357,Summary!$A$4,'WEM demand data'!$H$2:$H$4357,Summary!AJ$7)*1000</f>
        <v>0</v>
      </c>
      <c r="AK32" s="8"/>
      <c r="AL32" s="8"/>
      <c r="AM32" s="8"/>
      <c r="AN32" s="8"/>
      <c r="AO32" s="9"/>
    </row>
    <row r="33" spans="1:41">
      <c r="A33" s="6" t="s">
        <v>103</v>
      </c>
      <c r="B33" s="7" t="s">
        <v>2</v>
      </c>
      <c r="E33" s="8"/>
      <c r="F33" s="8"/>
      <c r="G33" s="8"/>
      <c r="H33" s="8"/>
      <c r="I33" s="8"/>
      <c r="J33" s="8">
        <f>SUMIFS('WEM demand data'!$I$2:$I$4357,'WEM demand data'!$D$2:$D$4357,Summary!$A33,'WEM demand data'!$F$2:$F$4357,Summary!$C$24,'WEM demand data'!$H$2:$H$4357,Summary!J$25)*1000</f>
        <v>3503</v>
      </c>
      <c r="K33" s="8">
        <f>SUMIFS('WEM demand data'!$I$2:$I$4357,'WEM demand data'!$D$2:$D$4357,Summary!$A33,'WEM demand data'!$F$2:$F$4357,Summary!$C$24,'WEM demand data'!$H$2:$H$4357,Summary!K$25)*1000</f>
        <v>3939.8</v>
      </c>
      <c r="L33" s="8">
        <f>SUMIFS('WEM demand data'!$I$2:$I$4357,'WEM demand data'!$D$2:$D$4357,Summary!$A33,'WEM demand data'!$F$2:$F$4357,Summary!$C$24,'WEM demand data'!$H$2:$H$4357,Summary!L$25)*1000</f>
        <v>4399.3</v>
      </c>
      <c r="M33" s="8">
        <f>SUMIFS('WEM demand data'!$I$2:$I$4357,'WEM demand data'!$D$2:$D$4357,Summary!$A33,'WEM demand data'!$F$2:$F$4357,Summary!$C$24,'WEM demand data'!$H$2:$H$4357,Summary!M$25)*1000</f>
        <v>4866</v>
      </c>
      <c r="N33" s="8">
        <f>SUMIFS('WEM demand data'!$I$2:$I$4357,'WEM demand data'!$D$2:$D$4357,Summary!$A33,'WEM demand data'!$F$2:$F$4357,Summary!$C$24,'WEM demand data'!$H$2:$H$4357,Summary!N$25)*1000</f>
        <v>5343.4</v>
      </c>
      <c r="O33" s="8">
        <f>SUMIFS('WEM demand data'!$I$2:$I$4357,'WEM demand data'!$D$2:$D$4357,Summary!$A33,'WEM demand data'!$F$2:$F$4357,Summary!$C$24,'WEM demand data'!$H$2:$H$4357,Summary!O$25)*1000</f>
        <v>5826.1</v>
      </c>
      <c r="P33" s="8">
        <f>SUMIFS('WEM demand data'!$I$2:$I$4357,'WEM demand data'!$D$2:$D$4357,Summary!$A33,'WEM demand data'!$F$2:$F$4357,Summary!$C$24,'WEM demand data'!$H$2:$H$4357,Summary!P$25)*1000</f>
        <v>6306.2000000000007</v>
      </c>
      <c r="Q33" s="8">
        <f>SUMIFS('WEM demand data'!$I$2:$I$4357,'WEM demand data'!$D$2:$D$4357,Summary!$A33,'WEM demand data'!$F$2:$F$4357,Summary!$C$24,'WEM demand data'!$H$2:$H$4357,Summary!Q$25)*1000</f>
        <v>6817.7000000000007</v>
      </c>
      <c r="R33" s="8">
        <f>SUMIFS('WEM demand data'!$I$2:$I$4357,'WEM demand data'!$D$2:$D$4357,Summary!$A33,'WEM demand data'!$F$2:$F$4357,Summary!$C$24,'WEM demand data'!$H$2:$H$4357,Summary!R$25)*1000</f>
        <v>7351.4</v>
      </c>
      <c r="S33" s="8">
        <f>SUMIFS('WEM demand data'!$I$2:$I$4357,'WEM demand data'!$D$2:$D$4357,Summary!$A33,'WEM demand data'!$F$2:$F$4357,Summary!$C$24,'WEM demand data'!$H$2:$H$4357,Summary!S$25)*1000</f>
        <v>7876.9</v>
      </c>
      <c r="T33" s="8">
        <f>SUMIFS('WEM demand data'!$I$2:$I$4357,'WEM demand data'!$D$2:$D$4357,Summary!$A33,'WEM demand data'!$F$2:$F$4357,Summary!$C$24,'WEM demand data'!$H$2:$H$4357,Summary!T$25)*1000</f>
        <v>8384.5000000000018</v>
      </c>
      <c r="U33" s="8">
        <f>SUMIFS('WEM demand data'!$I$2:$I$4357,'WEM demand data'!$D$2:$D$4357,Summary!$A33,'WEM demand data'!$F$2:$F$4357,Summary!$A$4,'WEM demand data'!$H$2:$H$4357,Summary!U$7)*1000</f>
        <v>0</v>
      </c>
      <c r="V33" s="8">
        <f>SUMIFS('WEM demand data'!$I$2:$I$4357,'WEM demand data'!$D$2:$D$4357,Summary!$A33,'WEM demand data'!$F$2:$F$4357,Summary!$A$4,'WEM demand data'!$H$2:$H$4357,Summary!V$7)*1000</f>
        <v>0</v>
      </c>
      <c r="W33" s="8">
        <f>SUMIFS('WEM demand data'!$I$2:$I$4357,'WEM demand data'!$D$2:$D$4357,Summary!$A33,'WEM demand data'!$F$2:$F$4357,Summary!$A$4,'WEM demand data'!$H$2:$H$4357,Summary!W$7)*1000</f>
        <v>0</v>
      </c>
      <c r="X33" s="8">
        <f>SUMIFS('WEM demand data'!$I$2:$I$4357,'WEM demand data'!$D$2:$D$4357,Summary!$A33,'WEM demand data'!$F$2:$F$4357,Summary!$A$4,'WEM demand data'!$H$2:$H$4357,Summary!X$7)*1000</f>
        <v>0</v>
      </c>
      <c r="Y33" s="8">
        <f>SUMIFS('WEM demand data'!$I$2:$I$4357,'WEM demand data'!$D$2:$D$4357,Summary!$A33,'WEM demand data'!$F$2:$F$4357,Summary!$A$4,'WEM demand data'!$H$2:$H$4357,Summary!Y$7)*1000</f>
        <v>0</v>
      </c>
      <c r="Z33" s="8">
        <f>SUMIFS('WEM demand data'!$I$2:$I$4357,'WEM demand data'!$D$2:$D$4357,Summary!$A33,'WEM demand data'!$F$2:$F$4357,Summary!$A$4,'WEM demand data'!$H$2:$H$4357,Summary!Z$7)*1000</f>
        <v>0</v>
      </c>
      <c r="AA33" s="8">
        <f>SUMIFS('WEM demand data'!$I$2:$I$4357,'WEM demand data'!$D$2:$D$4357,Summary!$A33,'WEM demand data'!$F$2:$F$4357,Summary!$A$4,'WEM demand data'!$H$2:$H$4357,Summary!AA$7)*1000</f>
        <v>0</v>
      </c>
      <c r="AB33" s="8">
        <f>SUMIFS('WEM demand data'!$I$2:$I$4357,'WEM demand data'!$D$2:$D$4357,Summary!$A33,'WEM demand data'!$F$2:$F$4357,Summary!$A$4,'WEM demand data'!$H$2:$H$4357,Summary!AB$7)*1000</f>
        <v>0</v>
      </c>
      <c r="AC33" s="8">
        <f>SUMIFS('WEM demand data'!$I$2:$I$4357,'WEM demand data'!$D$2:$D$4357,Summary!$A33,'WEM demand data'!$F$2:$F$4357,Summary!$A$4,'WEM demand data'!$H$2:$H$4357,Summary!AC$7)*1000</f>
        <v>0</v>
      </c>
      <c r="AD33" s="8">
        <f>SUMIFS('WEM demand data'!$I$2:$I$4357,'WEM demand data'!$D$2:$D$4357,Summary!$A33,'WEM demand data'!$F$2:$F$4357,Summary!$A$4,'WEM demand data'!$H$2:$H$4357,Summary!AD$7)*1000</f>
        <v>0</v>
      </c>
      <c r="AE33" s="8">
        <f>SUMIFS('WEM demand data'!$I$2:$I$4357,'WEM demand data'!$D$2:$D$4357,Summary!$A33,'WEM demand data'!$F$2:$F$4357,Summary!$A$4,'WEM demand data'!$H$2:$H$4357,Summary!AE$7)*1000</f>
        <v>0</v>
      </c>
      <c r="AF33" s="8">
        <f>SUMIFS('WEM demand data'!$I$2:$I$4357,'WEM demand data'!$D$2:$D$4357,Summary!$A33,'WEM demand data'!$F$2:$F$4357,Summary!$A$4,'WEM demand data'!$H$2:$H$4357,Summary!AF$7)*1000</f>
        <v>0</v>
      </c>
      <c r="AG33" s="8">
        <f>SUMIFS('WEM demand data'!$I$2:$I$4357,'WEM demand data'!$D$2:$D$4357,Summary!$A33,'WEM demand data'!$F$2:$F$4357,Summary!$A$4,'WEM demand data'!$H$2:$H$4357,Summary!AG$7)*1000</f>
        <v>0</v>
      </c>
      <c r="AH33" s="8">
        <f>SUMIFS('WEM demand data'!$I$2:$I$4357,'WEM demand data'!$D$2:$D$4357,Summary!$A33,'WEM demand data'!$F$2:$F$4357,Summary!$A$4,'WEM demand data'!$H$2:$H$4357,Summary!AH$7)*1000</f>
        <v>0</v>
      </c>
      <c r="AI33" s="8">
        <f>SUMIFS('WEM demand data'!$I$2:$I$4357,'WEM demand data'!$D$2:$D$4357,Summary!$A33,'WEM demand data'!$F$2:$F$4357,Summary!$A$4,'WEM demand data'!$H$2:$H$4357,Summary!AI$7)*1000</f>
        <v>0</v>
      </c>
      <c r="AJ33" s="8">
        <f>SUMIFS('WEM demand data'!$I$2:$I$4357,'WEM demand data'!$D$2:$D$4357,Summary!$A33,'WEM demand data'!$F$2:$F$4357,Summary!$A$4,'WEM demand data'!$H$2:$H$4357,Summary!AJ$7)*1000</f>
        <v>0</v>
      </c>
      <c r="AK33" s="8"/>
      <c r="AL33" s="8"/>
      <c r="AM33" s="8"/>
      <c r="AN33" s="8"/>
      <c r="AO33" s="9"/>
    </row>
    <row r="34" spans="1:41">
      <c r="A34" s="33" t="s">
        <v>80</v>
      </c>
      <c r="B34" s="64" t="s">
        <v>2</v>
      </c>
      <c r="C34" s="32"/>
      <c r="D34" s="32"/>
      <c r="E34" s="65">
        <f>SUMIFS('WEM demand data'!$I$2:$I$4357,'WEM demand data'!$D$2:$D$4357,Summary!$A34,'WEM demand data'!$F$2:$F$4357,Summary!$C$24,'WEM demand data'!$H$2:$H$4357,Summary!E$25)*1000</f>
        <v>17420.2</v>
      </c>
      <c r="F34" s="65">
        <f>SUMIFS('WEM demand data'!$I$2:$I$4357,'WEM demand data'!$D$2:$D$4357,Summary!$A34,'WEM demand data'!$F$2:$F$4357,Summary!$C$24,'WEM demand data'!$H$2:$H$4357,Summary!F$25)*1000</f>
        <v>17664.3</v>
      </c>
      <c r="G34" s="65">
        <f>SUMIFS('WEM demand data'!$I$2:$I$4357,'WEM demand data'!$D$2:$D$4357,Summary!$A34,'WEM demand data'!$F$2:$F$4357,Summary!$C$24,'WEM demand data'!$H$2:$H$4357,Summary!G$25)*1000</f>
        <v>17543.8</v>
      </c>
      <c r="H34" s="65">
        <f>SUMIFS('WEM demand data'!$I$2:$I$4357,'WEM demand data'!$D$2:$D$4357,Summary!$A34,'WEM demand data'!$F$2:$F$4357,Summary!$C$24,'WEM demand data'!$H$2:$H$4357,Summary!H$25)*1000</f>
        <v>17847.400000000001</v>
      </c>
      <c r="I34" s="65">
        <f>SUMIFS('WEM demand data'!$I$2:$I$4357,'WEM demand data'!$D$2:$D$4357,Summary!$A34,'WEM demand data'!$F$2:$F$4357,Summary!$C$24,'WEM demand data'!$H$2:$H$4357,Summary!I$25)*1000</f>
        <v>17302.3</v>
      </c>
      <c r="J34" s="65">
        <f>SUMIFS('WEM demand data'!$I$2:$I$4357,'WEM demand data'!$D$2:$D$4357,Summary!$A34,'WEM demand data'!$F$2:$F$4357,Summary!$C$24,'WEM demand data'!$H$2:$H$4357,Summary!J$25)*1000</f>
        <v>17800.2</v>
      </c>
      <c r="K34" s="65">
        <f>SUMIFS('WEM demand data'!$I$2:$I$4357,'WEM demand data'!$D$2:$D$4357,Summary!$A34,'WEM demand data'!$F$2:$F$4357,Summary!$C$24,'WEM demand data'!$H$2:$H$4357,Summary!K$25)*1000</f>
        <v>18018.2</v>
      </c>
      <c r="L34" s="65">
        <f>SUMIFS('WEM demand data'!$I$2:$I$4357,'WEM demand data'!$D$2:$D$4357,Summary!$A34,'WEM demand data'!$F$2:$F$4357,Summary!$C$24,'WEM demand data'!$H$2:$H$4357,Summary!L$25)*1000</f>
        <v>18082.400000000001</v>
      </c>
      <c r="M34" s="65">
        <f>SUMIFS('WEM demand data'!$I$2:$I$4357,'WEM demand data'!$D$2:$D$4357,Summary!$A34,'WEM demand data'!$F$2:$F$4357,Summary!$C$24,'WEM demand data'!$H$2:$H$4357,Summary!M$25)*1000</f>
        <v>18287.199999999997</v>
      </c>
      <c r="N34" s="65">
        <f>SUMIFS('WEM demand data'!$I$2:$I$4357,'WEM demand data'!$D$2:$D$4357,Summary!$A34,'WEM demand data'!$F$2:$F$4357,Summary!$C$24,'WEM demand data'!$H$2:$H$4357,Summary!N$25)*1000</f>
        <v>18530</v>
      </c>
      <c r="O34" s="65">
        <f>SUMIFS('WEM demand data'!$I$2:$I$4357,'WEM demand data'!$D$2:$D$4357,Summary!$A34,'WEM demand data'!$F$2:$F$4357,Summary!$C$24,'WEM demand data'!$H$2:$H$4357,Summary!O$25)*1000</f>
        <v>19188.199999999997</v>
      </c>
      <c r="P34" s="65">
        <f>SUMIFS('WEM demand data'!$I$2:$I$4357,'WEM demand data'!$D$2:$D$4357,Summary!$A34,'WEM demand data'!$F$2:$F$4357,Summary!$C$24,'WEM demand data'!$H$2:$H$4357,Summary!P$25)*1000</f>
        <v>20799.7</v>
      </c>
      <c r="Q34" s="65">
        <f>SUMIFS('WEM demand data'!$I$2:$I$4357,'WEM demand data'!$D$2:$D$4357,Summary!$A34,'WEM demand data'!$F$2:$F$4357,Summary!$C$24,'WEM demand data'!$H$2:$H$4357,Summary!Q$25)*1000</f>
        <v>22832.899999999998</v>
      </c>
      <c r="R34" s="65">
        <f>SUMIFS('WEM demand data'!$I$2:$I$4357,'WEM demand data'!$D$2:$D$4357,Summary!$A34,'WEM demand data'!$F$2:$F$4357,Summary!$C$24,'WEM demand data'!$H$2:$H$4357,Summary!R$25)*1000</f>
        <v>24464.799999999999</v>
      </c>
      <c r="S34" s="65">
        <f>SUMIFS('WEM demand data'!$I$2:$I$4357,'WEM demand data'!$D$2:$D$4357,Summary!$A34,'WEM demand data'!$F$2:$F$4357,Summary!$C$24,'WEM demand data'!$H$2:$H$4357,Summary!S$25)*1000</f>
        <v>26117.899999999998</v>
      </c>
      <c r="T34" s="65">
        <f>SUMIFS('WEM demand data'!$I$2:$I$4357,'WEM demand data'!$D$2:$D$4357,Summary!$A34,'WEM demand data'!$F$2:$F$4357,Summary!$C$24,'WEM demand data'!$H$2:$H$4357,Summary!T$25)*1000</f>
        <v>27867.599999999999</v>
      </c>
      <c r="U34" s="69">
        <f t="shared" ref="U34:AJ34" si="4">T34*(1+U94)</f>
        <v>28030.055888726067</v>
      </c>
      <c r="V34" s="69">
        <f t="shared" si="4"/>
        <v>28193.458824050398</v>
      </c>
      <c r="W34" s="69">
        <f t="shared" si="4"/>
        <v>28357.814326839405</v>
      </c>
      <c r="X34" s="69">
        <f t="shared" si="4"/>
        <v>28523.127950143728</v>
      </c>
      <c r="Y34" s="69">
        <f t="shared" si="4"/>
        <v>28689.405279385857</v>
      </c>
      <c r="Z34" s="69">
        <f t="shared" si="4"/>
        <v>28856.651932548848</v>
      </c>
      <c r="AA34" s="69">
        <f t="shared" si="4"/>
        <v>29024.873560366137</v>
      </c>
      <c r="AB34" s="69">
        <f t="shared" si="4"/>
        <v>29194.075846512453</v>
      </c>
      <c r="AC34" s="69">
        <f t="shared" si="4"/>
        <v>29364.264507795859</v>
      </c>
      <c r="AD34" s="69">
        <f t="shared" si="4"/>
        <v>29535.445294350902</v>
      </c>
      <c r="AE34" s="69">
        <f t="shared" si="4"/>
        <v>29707.623989832893</v>
      </c>
      <c r="AF34" s="69">
        <f t="shared" si="4"/>
        <v>29880.806411613317</v>
      </c>
      <c r="AG34" s="69">
        <f t="shared" si="4"/>
        <v>30054.998410976386</v>
      </c>
      <c r="AH34" s="69">
        <f t="shared" si="4"/>
        <v>30230.205873316729</v>
      </c>
      <c r="AI34" s="69">
        <f t="shared" si="4"/>
        <v>30406.434718338249</v>
      </c>
      <c r="AJ34" s="69">
        <f t="shared" si="4"/>
        <v>30583.690900254125</v>
      </c>
      <c r="AK34" s="65"/>
      <c r="AL34" s="65"/>
      <c r="AM34" s="65"/>
      <c r="AN34" s="65"/>
      <c r="AO34" s="66"/>
    </row>
    <row r="35" spans="1:41">
      <c r="A35" s="33" t="s">
        <v>127</v>
      </c>
      <c r="B35" s="64" t="s">
        <v>2</v>
      </c>
      <c r="C35" s="32"/>
      <c r="D35" s="32"/>
      <c r="E35" s="65">
        <f>E34+E32</f>
        <v>17441.5</v>
      </c>
      <c r="F35" s="65">
        <f t="shared" ref="F35:T35" si="5">F34+F32</f>
        <v>17703.3</v>
      </c>
      <c r="G35" s="65">
        <f t="shared" si="5"/>
        <v>17600.899999999998</v>
      </c>
      <c r="H35" s="65">
        <f t="shared" si="5"/>
        <v>17918.300000000003</v>
      </c>
      <c r="I35" s="65">
        <f t="shared" si="5"/>
        <v>17380.2</v>
      </c>
      <c r="J35" s="65">
        <f t="shared" si="5"/>
        <v>17894.100000000002</v>
      </c>
      <c r="K35" s="65">
        <f t="shared" si="5"/>
        <v>18140.5</v>
      </c>
      <c r="L35" s="65">
        <f t="shared" si="5"/>
        <v>18238.7</v>
      </c>
      <c r="M35" s="65">
        <f t="shared" si="5"/>
        <v>18478.599999999999</v>
      </c>
      <c r="N35" s="65">
        <f t="shared" si="5"/>
        <v>18756.599999999999</v>
      </c>
      <c r="O35" s="65">
        <f t="shared" si="5"/>
        <v>19449.199999999997</v>
      </c>
      <c r="P35" s="65">
        <f t="shared" si="5"/>
        <v>21095.7</v>
      </c>
      <c r="Q35" s="65">
        <f t="shared" si="5"/>
        <v>23164.3</v>
      </c>
      <c r="R35" s="65">
        <f t="shared" si="5"/>
        <v>24832.6</v>
      </c>
      <c r="S35" s="65">
        <f t="shared" si="5"/>
        <v>26521.499999999996</v>
      </c>
      <c r="T35" s="65">
        <f t="shared" si="5"/>
        <v>28308.799999999999</v>
      </c>
      <c r="U35" s="69">
        <f>T35*(1+U94)</f>
        <v>28473.827891270455</v>
      </c>
      <c r="V35" s="69">
        <f t="shared" ref="V35:AJ35" si="6">U35*(1+V94)</f>
        <v>28639.817822786248</v>
      </c>
      <c r="W35" s="69">
        <f t="shared" si="6"/>
        <v>28806.775402820174</v>
      </c>
      <c r="X35" s="69">
        <f t="shared" si="6"/>
        <v>28974.706272338804</v>
      </c>
      <c r="Y35" s="69">
        <f t="shared" si="6"/>
        <v>29143.616105193072</v>
      </c>
      <c r="Z35" s="69">
        <f t="shared" si="6"/>
        <v>29313.510608309971</v>
      </c>
      <c r="AA35" s="69">
        <f t="shared" si="6"/>
        <v>29484.395521885381</v>
      </c>
      <c r="AB35" s="69">
        <f t="shared" si="6"/>
        <v>29656.276619577999</v>
      </c>
      <c r="AC35" s="69">
        <f t="shared" si="6"/>
        <v>29829.159708704428</v>
      </c>
      <c r="AD35" s="69">
        <f t="shared" si="6"/>
        <v>30003.05063043538</v>
      </c>
      <c r="AE35" s="69">
        <f t="shared" si="6"/>
        <v>30177.955259993025</v>
      </c>
      <c r="AF35" s="69">
        <f t="shared" si="6"/>
        <v>30353.879506849509</v>
      </c>
      <c r="AG35" s="69">
        <f t="shared" si="6"/>
        <v>30530.829314926603</v>
      </c>
      <c r="AH35" s="69">
        <f t="shared" si="6"/>
        <v>30708.810662796543</v>
      </c>
      <c r="AI35" s="69">
        <f t="shared" si="6"/>
        <v>30887.829563884014</v>
      </c>
      <c r="AJ35" s="69">
        <f t="shared" si="6"/>
        <v>31067.89206666933</v>
      </c>
      <c r="AK35" s="65"/>
      <c r="AL35" s="65"/>
      <c r="AM35" s="65"/>
      <c r="AN35" s="65"/>
      <c r="AO35" s="66"/>
    </row>
    <row r="36" spans="1:41" ht="14.5" thickBot="1">
      <c r="A36" s="63" t="s">
        <v>209</v>
      </c>
      <c r="B36" s="28" t="s">
        <v>2</v>
      </c>
      <c r="C36" s="29"/>
      <c r="D36" s="29"/>
      <c r="E36" s="70">
        <v>17471.629885639013</v>
      </c>
      <c r="F36" s="70">
        <v>18107.076754693997</v>
      </c>
      <c r="G36" s="70">
        <v>18558.214072789011</v>
      </c>
      <c r="H36" s="70">
        <v>19340.245882417999</v>
      </c>
      <c r="I36" s="70">
        <v>18934.792746488012</v>
      </c>
      <c r="J36" s="30">
        <f>SUM(J34,J33,J32)</f>
        <v>21397.100000000002</v>
      </c>
      <c r="K36" s="30">
        <f t="shared" ref="K36:T36" si="7">SUM(K34,K33,K32)</f>
        <v>22080.3</v>
      </c>
      <c r="L36" s="30">
        <f t="shared" si="7"/>
        <v>22638</v>
      </c>
      <c r="M36" s="30">
        <f t="shared" si="7"/>
        <v>23344.6</v>
      </c>
      <c r="N36" s="30">
        <f t="shared" si="7"/>
        <v>24100</v>
      </c>
      <c r="O36" s="30">
        <f t="shared" si="7"/>
        <v>25275.299999999996</v>
      </c>
      <c r="P36" s="30">
        <f t="shared" si="7"/>
        <v>27401.9</v>
      </c>
      <c r="Q36" s="30">
        <f t="shared" si="7"/>
        <v>29982</v>
      </c>
      <c r="R36" s="30">
        <f t="shared" si="7"/>
        <v>32183.999999999996</v>
      </c>
      <c r="S36" s="30">
        <f t="shared" si="7"/>
        <v>34398.399999999994</v>
      </c>
      <c r="T36" s="30">
        <f t="shared" si="7"/>
        <v>36693.299999999996</v>
      </c>
      <c r="U36" s="68">
        <f t="shared" ref="U36:AJ36" si="8">T36*(1+U89)</f>
        <v>38188.132026101157</v>
      </c>
      <c r="V36" s="68">
        <f t="shared" si="8"/>
        <v>39743.861349154562</v>
      </c>
      <c r="W36" s="68">
        <f t="shared" si="8"/>
        <v>41362.968837051274</v>
      </c>
      <c r="X36" s="68">
        <f t="shared" si="8"/>
        <v>43048.036424655787</v>
      </c>
      <c r="Y36" s="68">
        <f t="shared" si="8"/>
        <v>44801.751231128495</v>
      </c>
      <c r="Z36" s="68">
        <f t="shared" si="8"/>
        <v>46626.909844981928</v>
      </c>
      <c r="AA36" s="68">
        <f t="shared" si="8"/>
        <v>48526.422783704002</v>
      </c>
      <c r="AB36" s="68">
        <f t="shared" si="8"/>
        <v>50503.319135059857</v>
      </c>
      <c r="AC36" s="68">
        <f t="shared" si="8"/>
        <v>52560.751387473654</v>
      </c>
      <c r="AD36" s="68">
        <f t="shared" si="8"/>
        <v>54702.000457193106</v>
      </c>
      <c r="AE36" s="68">
        <f t="shared" si="8"/>
        <v>56930.480920253467</v>
      </c>
      <c r="AF36" s="68">
        <f t="shared" si="8"/>
        <v>59249.746457584151</v>
      </c>
      <c r="AG36" s="68">
        <f t="shared" si="8"/>
        <v>61663.495521941149</v>
      </c>
      <c r="AH36" s="68">
        <f t="shared" si="8"/>
        <v>64175.577235702061</v>
      </c>
      <c r="AI36" s="68">
        <f t="shared" si="8"/>
        <v>66789.997528928783</v>
      </c>
      <c r="AJ36" s="68">
        <f t="shared" si="8"/>
        <v>69510.925527486019</v>
      </c>
      <c r="AK36" s="30"/>
      <c r="AL36" s="30"/>
      <c r="AM36" s="30"/>
      <c r="AN36" s="30"/>
      <c r="AO36" s="31"/>
    </row>
    <row r="37" spans="1:41" ht="25">
      <c r="A37" s="44"/>
      <c r="E37" s="71" t="s">
        <v>117</v>
      </c>
      <c r="F37" s="15" t="s">
        <v>21</v>
      </c>
    </row>
    <row r="39" spans="1:41" ht="25">
      <c r="A39" s="44" t="s">
        <v>10</v>
      </c>
    </row>
    <row r="40" spans="1:41">
      <c r="A40" s="23" t="s">
        <v>9</v>
      </c>
    </row>
    <row r="41" spans="1:41">
      <c r="A41" s="23" t="s">
        <v>131</v>
      </c>
    </row>
    <row r="42" spans="1:41" ht="14.5" thickBot="1">
      <c r="J42" s="25"/>
    </row>
    <row r="43" spans="1:41">
      <c r="A43" s="2"/>
      <c r="B43" s="3"/>
      <c r="C43" s="4"/>
      <c r="D43" s="4"/>
      <c r="E43" s="4"/>
      <c r="F43" s="4">
        <v>2020</v>
      </c>
      <c r="G43" s="4">
        <v>2021</v>
      </c>
      <c r="H43" s="4">
        <v>2022</v>
      </c>
      <c r="I43" s="4">
        <v>2023</v>
      </c>
      <c r="J43" s="4">
        <v>2024</v>
      </c>
      <c r="K43" s="4">
        <v>2025</v>
      </c>
      <c r="L43" s="4">
        <v>2026</v>
      </c>
      <c r="M43" s="4">
        <v>2027</v>
      </c>
      <c r="N43" s="4">
        <v>2028</v>
      </c>
      <c r="O43" s="4">
        <v>2029</v>
      </c>
      <c r="P43" s="4">
        <v>2030</v>
      </c>
      <c r="Q43" s="4">
        <v>2031</v>
      </c>
      <c r="R43" s="4">
        <v>2032</v>
      </c>
      <c r="S43" s="4">
        <v>2033</v>
      </c>
      <c r="T43" s="4">
        <v>2034</v>
      </c>
      <c r="U43" s="4">
        <v>2035</v>
      </c>
      <c r="V43" s="4">
        <v>2036</v>
      </c>
      <c r="W43" s="4">
        <v>2037</v>
      </c>
      <c r="X43" s="4">
        <v>2038</v>
      </c>
      <c r="Y43" s="4">
        <v>2039</v>
      </c>
      <c r="Z43" s="4">
        <v>2040</v>
      </c>
      <c r="AA43" s="4">
        <v>2041</v>
      </c>
      <c r="AB43" s="4">
        <v>2042</v>
      </c>
      <c r="AC43" s="4">
        <v>2043</v>
      </c>
      <c r="AD43" s="4">
        <v>2044</v>
      </c>
      <c r="AE43" s="4">
        <v>2045</v>
      </c>
      <c r="AF43" s="4">
        <v>2046</v>
      </c>
      <c r="AG43" s="4">
        <v>2047</v>
      </c>
      <c r="AH43" s="4">
        <v>2048</v>
      </c>
      <c r="AI43" s="4">
        <v>2049</v>
      </c>
      <c r="AJ43" s="4">
        <v>2050</v>
      </c>
      <c r="AK43" s="4">
        <v>2051</v>
      </c>
      <c r="AL43" s="4">
        <v>2052</v>
      </c>
      <c r="AM43" s="4">
        <v>2053</v>
      </c>
      <c r="AN43" s="4">
        <v>2054</v>
      </c>
      <c r="AO43" s="5">
        <v>2055</v>
      </c>
    </row>
    <row r="44" spans="1:41">
      <c r="A44" s="34" t="s">
        <v>130</v>
      </c>
      <c r="B44" s="35" t="s">
        <v>2</v>
      </c>
      <c r="C44" s="34"/>
      <c r="D44" s="34"/>
      <c r="E44" s="34"/>
      <c r="F44" s="37">
        <f>G44*notes!D19/notes!E19</f>
        <v>2712.2667576512454</v>
      </c>
      <c r="G44" s="37">
        <f>H44*notes!E19/notes!F19</f>
        <v>2759.4366143060502</v>
      </c>
      <c r="H44" s="37">
        <f>I44*notes!F19/notes!G19</f>
        <v>2830.1913992882564</v>
      </c>
      <c r="I44" s="37">
        <f>J44*notes!G19/notes!H19</f>
        <v>2712.2667576512454</v>
      </c>
      <c r="J44" s="38">
        <v>3026.194</v>
      </c>
      <c r="K44" s="37">
        <f>J44*notes!I19/notes!H19</f>
        <v>3026.194</v>
      </c>
      <c r="L44" s="37">
        <f>K44*notes!J19/notes!I19</f>
        <v>2830.1913992882564</v>
      </c>
      <c r="M44" s="37">
        <f>L44*notes!K19/notes!J19</f>
        <v>2863.8841540416884</v>
      </c>
      <c r="N44" s="37">
        <f>M44*notes!L19/notes!K19</f>
        <v>2897.5769087951198</v>
      </c>
      <c r="O44" s="37">
        <f>N44*notes!M19/notes!L19</f>
        <v>2931.2696635485513</v>
      </c>
      <c r="P44" s="37">
        <f>O44*notes!N19/notes!M19</f>
        <v>2964.9624183019837</v>
      </c>
      <c r="Q44" s="37">
        <f>P44*notes!O19/notes!N19</f>
        <v>2998.6551730554147</v>
      </c>
      <c r="R44" s="37">
        <f>Q44*notes!P19/notes!O19</f>
        <v>3032.3479278088471</v>
      </c>
      <c r="S44" s="37">
        <f>R44*notes!Q19/notes!P19</f>
        <v>3066.040682562279</v>
      </c>
      <c r="T44" s="37">
        <f>S44*notes!R19/notes!Q19</f>
        <v>3099.7334373157105</v>
      </c>
      <c r="U44" s="37">
        <f>T44*notes!S19/notes!R19</f>
        <v>3133.4261920691415</v>
      </c>
      <c r="V44" s="37">
        <f>U44*notes!T19/notes!S19</f>
        <v>3167.1189468225739</v>
      </c>
      <c r="W44" s="37">
        <f>V44*notes!U19/notes!T19</f>
        <v>3200.8117015760049</v>
      </c>
      <c r="X44" s="37">
        <f>W44*notes!V19/notes!U19</f>
        <v>3234.5044563294368</v>
      </c>
      <c r="Y44" s="37">
        <f>X44*notes!W19/notes!V19</f>
        <v>3268.1972110828679</v>
      </c>
      <c r="Z44" s="37">
        <f>Y44*notes!X19/notes!W19</f>
        <v>3301.8899658362993</v>
      </c>
      <c r="AA44" s="51">
        <f>Z44*(1+AA90)</f>
        <v>3338.4475842790994</v>
      </c>
      <c r="AB44" s="51">
        <f t="shared" ref="AB44:AJ44" si="9">AA44*(1+AB90)</f>
        <v>3375.409958628376</v>
      </c>
      <c r="AC44" s="51">
        <f t="shared" si="9"/>
        <v>3412.7815702303119</v>
      </c>
      <c r="AD44" s="51">
        <f t="shared" si="9"/>
        <v>3450.5669500473218</v>
      </c>
      <c r="AE44" s="51">
        <f t="shared" si="9"/>
        <v>3488.7706792073927</v>
      </c>
      <c r="AF44" s="51">
        <f t="shared" si="9"/>
        <v>3527.3973895595009</v>
      </c>
      <c r="AG44" s="51">
        <f t="shared" si="9"/>
        <v>3566.4517642351825</v>
      </c>
      <c r="AH44" s="51">
        <f t="shared" si="9"/>
        <v>3605.9385382163191</v>
      </c>
      <c r="AI44" s="51">
        <f t="shared" si="9"/>
        <v>3645.86249890921</v>
      </c>
      <c r="AJ44" s="51">
        <f t="shared" si="9"/>
        <v>3686.2284867250023</v>
      </c>
      <c r="AK44" s="34"/>
      <c r="AL44" s="34"/>
      <c r="AM44" s="34"/>
      <c r="AN44" s="34"/>
      <c r="AO44" s="34"/>
    </row>
    <row r="47" spans="1:41" ht="25">
      <c r="A47" s="44" t="s">
        <v>11</v>
      </c>
      <c r="B47" t="s">
        <v>20</v>
      </c>
    </row>
    <row r="48" spans="1:41">
      <c r="A48" s="23" t="s">
        <v>9</v>
      </c>
      <c r="B48" s="15" t="s">
        <v>12</v>
      </c>
    </row>
    <row r="49" spans="1:41">
      <c r="A49" s="14"/>
      <c r="B49" s="15" t="s">
        <v>18</v>
      </c>
    </row>
    <row r="50" spans="1:41" ht="14.5" thickBot="1">
      <c r="A50" s="14"/>
    </row>
    <row r="51" spans="1:41">
      <c r="A51" s="2" t="s">
        <v>20</v>
      </c>
      <c r="B51" s="3"/>
      <c r="C51" s="4">
        <v>2017</v>
      </c>
      <c r="D51" s="4">
        <v>2018</v>
      </c>
      <c r="E51" s="4">
        <v>2019</v>
      </c>
      <c r="F51" s="4">
        <v>2020</v>
      </c>
      <c r="G51" s="4">
        <v>2021</v>
      </c>
      <c r="H51" s="4">
        <v>2022</v>
      </c>
      <c r="I51" s="4">
        <v>2023</v>
      </c>
      <c r="J51" s="4">
        <v>2024</v>
      </c>
      <c r="K51" s="4">
        <v>2025</v>
      </c>
      <c r="L51" s="4">
        <v>2026</v>
      </c>
      <c r="M51" s="4">
        <v>2027</v>
      </c>
      <c r="N51" s="4">
        <v>2028</v>
      </c>
      <c r="O51" s="4">
        <v>2029</v>
      </c>
      <c r="P51" s="4">
        <v>2030</v>
      </c>
      <c r="Q51" s="4">
        <v>2031</v>
      </c>
      <c r="R51" s="4">
        <v>2032</v>
      </c>
      <c r="S51" s="4">
        <v>2033</v>
      </c>
      <c r="T51" s="4">
        <v>2034</v>
      </c>
      <c r="U51" s="4">
        <v>2035</v>
      </c>
      <c r="V51" s="4">
        <v>2036</v>
      </c>
      <c r="W51" s="4">
        <v>2037</v>
      </c>
      <c r="X51" s="4">
        <v>2038</v>
      </c>
      <c r="Y51" s="4">
        <v>2039</v>
      </c>
      <c r="Z51" s="4">
        <v>2040</v>
      </c>
      <c r="AA51" s="4">
        <v>2041</v>
      </c>
      <c r="AB51" s="4">
        <v>2042</v>
      </c>
      <c r="AC51" s="4">
        <v>2043</v>
      </c>
      <c r="AD51" s="4">
        <v>2044</v>
      </c>
      <c r="AE51" s="4">
        <v>2045</v>
      </c>
      <c r="AF51" s="4">
        <v>2046</v>
      </c>
      <c r="AG51" s="4">
        <v>2047</v>
      </c>
      <c r="AH51" s="4">
        <v>2048</v>
      </c>
      <c r="AI51" s="4">
        <v>2049</v>
      </c>
      <c r="AJ51" s="4">
        <v>2050</v>
      </c>
      <c r="AK51" s="4">
        <v>2051</v>
      </c>
      <c r="AL51" s="4">
        <v>2052</v>
      </c>
      <c r="AM51" s="4">
        <v>2053</v>
      </c>
      <c r="AN51" s="4">
        <v>2054</v>
      </c>
      <c r="AO51" s="5">
        <v>2055</v>
      </c>
    </row>
    <row r="52" spans="1:41">
      <c r="A52" s="6" t="s">
        <v>15</v>
      </c>
      <c r="B52" s="7" t="s">
        <v>2</v>
      </c>
      <c r="C52" s="16">
        <v>1445.66541921</v>
      </c>
      <c r="D52" s="16">
        <v>1456.4342690000001</v>
      </c>
      <c r="E52" s="16">
        <v>1396.4833603249999</v>
      </c>
      <c r="F52" s="16">
        <v>1329.7052995900001</v>
      </c>
      <c r="G52" s="16">
        <v>1318.8527669939699</v>
      </c>
      <c r="H52" s="16">
        <v>1392.6505685714301</v>
      </c>
      <c r="I52" s="16">
        <v>1310.8520000000001</v>
      </c>
      <c r="J52" s="17">
        <v>1303.864</v>
      </c>
      <c r="K52" s="17">
        <v>1340.528</v>
      </c>
      <c r="L52" s="17">
        <v>1341.943</v>
      </c>
      <c r="M52" s="17">
        <v>1339.164</v>
      </c>
      <c r="N52" s="17">
        <v>1336.816</v>
      </c>
      <c r="O52" s="17">
        <v>1334.53</v>
      </c>
      <c r="P52" s="17">
        <v>1332.64</v>
      </c>
      <c r="Q52" s="17">
        <v>1330.9380000000001</v>
      </c>
      <c r="R52" s="17">
        <v>1329.7850000000001</v>
      </c>
      <c r="S52" s="17">
        <v>1328.442</v>
      </c>
      <c r="T52" s="54">
        <f t="shared" ref="T52:AJ52" si="10">S52*(1+T$90)</f>
        <v>1343.0402637362638</v>
      </c>
      <c r="U52" s="54">
        <f t="shared" si="10"/>
        <v>1357.6385274725274</v>
      </c>
      <c r="V52" s="54">
        <f t="shared" si="10"/>
        <v>1372.2367912087914</v>
      </c>
      <c r="W52" s="54">
        <f t="shared" si="10"/>
        <v>1386.8350549450549</v>
      </c>
      <c r="X52" s="54">
        <f t="shared" si="10"/>
        <v>1401.4333186813187</v>
      </c>
      <c r="Y52" s="54">
        <f t="shared" si="10"/>
        <v>1416.0315824175823</v>
      </c>
      <c r="Z52" s="54">
        <f t="shared" si="10"/>
        <v>1430.6298461538461</v>
      </c>
      <c r="AA52" s="54">
        <f t="shared" si="10"/>
        <v>1446.4693867168905</v>
      </c>
      <c r="AB52" s="54">
        <f t="shared" si="10"/>
        <v>1462.484298320825</v>
      </c>
      <c r="AC52" s="54">
        <f t="shared" si="10"/>
        <v>1478.6765226256277</v>
      </c>
      <c r="AD52" s="54">
        <f t="shared" si="10"/>
        <v>1495.0480227888024</v>
      </c>
      <c r="AE52" s="54">
        <f t="shared" si="10"/>
        <v>1511.6007837033935</v>
      </c>
      <c r="AF52" s="54">
        <f t="shared" si="10"/>
        <v>1528.3368122386355</v>
      </c>
      <c r="AG52" s="54">
        <f t="shared" si="10"/>
        <v>1545.2581374832682</v>
      </c>
      <c r="AH52" s="54">
        <f t="shared" si="10"/>
        <v>1562.3668109915438</v>
      </c>
      <c r="AI52" s="54">
        <f t="shared" si="10"/>
        <v>1579.66490703196</v>
      </c>
      <c r="AJ52" s="54">
        <f t="shared" si="10"/>
        <v>1597.1545228387449</v>
      </c>
      <c r="AK52" s="8"/>
      <c r="AL52" s="8"/>
      <c r="AM52" s="8"/>
      <c r="AN52" s="8"/>
      <c r="AO52" s="9"/>
    </row>
    <row r="53" spans="1:41">
      <c r="A53" s="6" t="s">
        <v>16</v>
      </c>
      <c r="B53" s="7" t="s">
        <v>2</v>
      </c>
      <c r="C53" s="16">
        <v>74.758972786843998</v>
      </c>
      <c r="D53" s="16">
        <v>40.859812857900401</v>
      </c>
      <c r="E53" s="16">
        <v>47.046202699937801</v>
      </c>
      <c r="F53" s="16">
        <v>46.667705709919602</v>
      </c>
      <c r="G53" s="16">
        <v>22.082425864347801</v>
      </c>
      <c r="H53" s="16">
        <v>20.821712142857098</v>
      </c>
      <c r="I53" s="16">
        <v>22.73555</v>
      </c>
      <c r="J53" s="17">
        <v>21.798480000000001</v>
      </c>
      <c r="K53" s="17">
        <v>27.973030000000001</v>
      </c>
      <c r="L53" s="17">
        <v>29.976939999999999</v>
      </c>
      <c r="M53" s="17">
        <v>29.91986</v>
      </c>
      <c r="N53" s="17">
        <v>29.91967</v>
      </c>
      <c r="O53" s="17">
        <v>29.95682</v>
      </c>
      <c r="P53" s="17">
        <v>29.95682</v>
      </c>
      <c r="Q53" s="17">
        <v>30.01596</v>
      </c>
      <c r="R53" s="17">
        <v>30.112660000000002</v>
      </c>
      <c r="S53" s="17">
        <v>30.167179999999998</v>
      </c>
      <c r="T53" s="54">
        <f t="shared" ref="T53:AJ53" si="11">S53*(1+T$90)</f>
        <v>30.498687472527468</v>
      </c>
      <c r="U53" s="54">
        <f t="shared" si="11"/>
        <v>30.830194945054934</v>
      </c>
      <c r="V53" s="54">
        <f t="shared" si="11"/>
        <v>31.161702417582415</v>
      </c>
      <c r="W53" s="54">
        <f t="shared" si="11"/>
        <v>31.493209890109881</v>
      </c>
      <c r="X53" s="54">
        <f t="shared" si="11"/>
        <v>31.824717362637355</v>
      </c>
      <c r="Y53" s="54">
        <f t="shared" si="11"/>
        <v>32.156224835164821</v>
      </c>
      <c r="Z53" s="54">
        <f t="shared" si="11"/>
        <v>32.487732307692291</v>
      </c>
      <c r="AA53" s="54">
        <f t="shared" si="11"/>
        <v>32.847427553162298</v>
      </c>
      <c r="AB53" s="54">
        <f t="shared" si="11"/>
        <v>33.211105245556837</v>
      </c>
      <c r="AC53" s="54">
        <f t="shared" si="11"/>
        <v>33.578809477433992</v>
      </c>
      <c r="AD53" s="54">
        <f t="shared" si="11"/>
        <v>33.950584829532552</v>
      </c>
      <c r="AE53" s="54">
        <f t="shared" si="11"/>
        <v>34.326476376176991</v>
      </c>
      <c r="AF53" s="54">
        <f t="shared" si="11"/>
        <v>34.706529690742315</v>
      </c>
      <c r="AG53" s="54">
        <f t="shared" si="11"/>
        <v>35.090790851179413</v>
      </c>
      <c r="AH53" s="54">
        <f t="shared" si="11"/>
        <v>35.479306445601587</v>
      </c>
      <c r="AI53" s="54">
        <f t="shared" si="11"/>
        <v>35.872123577932939</v>
      </c>
      <c r="AJ53" s="54">
        <f t="shared" si="11"/>
        <v>36.269289873619257</v>
      </c>
      <c r="AK53" s="8"/>
      <c r="AL53" s="8"/>
      <c r="AM53" s="8"/>
      <c r="AN53" s="8"/>
      <c r="AO53" s="9"/>
    </row>
    <row r="54" spans="1:41">
      <c r="A54" s="6" t="s">
        <v>17</v>
      </c>
      <c r="B54" s="7" t="s">
        <v>2</v>
      </c>
      <c r="C54" s="16">
        <v>119.3411</v>
      </c>
      <c r="D54" s="16">
        <v>122.964815</v>
      </c>
      <c r="E54" s="16">
        <v>128.470225</v>
      </c>
      <c r="F54" s="16">
        <v>129.01340500000001</v>
      </c>
      <c r="G54" s="16">
        <v>124.3769275575</v>
      </c>
      <c r="H54" s="16">
        <v>132.219486428571</v>
      </c>
      <c r="I54" s="16">
        <v>123.48468</v>
      </c>
      <c r="J54" s="17">
        <v>129.58269999999999</v>
      </c>
      <c r="K54" s="17">
        <v>140.42750000000001</v>
      </c>
      <c r="L54" s="17">
        <v>173.70849999999999</v>
      </c>
      <c r="M54" s="17">
        <v>173.56489999999999</v>
      </c>
      <c r="N54" s="17">
        <v>173.57159999999999</v>
      </c>
      <c r="O54" s="17">
        <v>173.37090000000001</v>
      </c>
      <c r="P54" s="17">
        <v>173.31309999999999</v>
      </c>
      <c r="Q54" s="17">
        <v>173.4838</v>
      </c>
      <c r="R54" s="17">
        <v>173.45779999999999</v>
      </c>
      <c r="S54" s="17">
        <v>173.45779999999999</v>
      </c>
      <c r="T54" s="54">
        <f t="shared" ref="T54:AJ54" si="12">S54*(1+T$90)</f>
        <v>175.36392967032967</v>
      </c>
      <c r="U54" s="54">
        <f t="shared" si="12"/>
        <v>177.27005934065932</v>
      </c>
      <c r="V54" s="54">
        <f t="shared" si="12"/>
        <v>179.17618901098902</v>
      </c>
      <c r="W54" s="54">
        <f t="shared" si="12"/>
        <v>181.08231868131867</v>
      </c>
      <c r="X54" s="54">
        <f t="shared" si="12"/>
        <v>182.98844835164834</v>
      </c>
      <c r="Y54" s="54">
        <f t="shared" si="12"/>
        <v>184.89457802197799</v>
      </c>
      <c r="Z54" s="54">
        <f t="shared" si="12"/>
        <v>186.80070769230767</v>
      </c>
      <c r="AA54" s="54">
        <f t="shared" si="12"/>
        <v>188.86891380072373</v>
      </c>
      <c r="AB54" s="54">
        <f t="shared" si="12"/>
        <v>190.96001851889204</v>
      </c>
      <c r="AC54" s="54">
        <f t="shared" si="12"/>
        <v>193.07427537392795</v>
      </c>
      <c r="AD54" s="54">
        <f t="shared" si="12"/>
        <v>195.21194069992933</v>
      </c>
      <c r="AE54" s="54">
        <f t="shared" si="12"/>
        <v>197.37327366905478</v>
      </c>
      <c r="AF54" s="54">
        <f t="shared" si="12"/>
        <v>199.55853632294583</v>
      </c>
      <c r="AG54" s="54">
        <f t="shared" si="12"/>
        <v>201.76799360449704</v>
      </c>
      <c r="AH54" s="54">
        <f t="shared" si="12"/>
        <v>204.00191338997791</v>
      </c>
      <c r="AI54" s="54">
        <f t="shared" si="12"/>
        <v>206.26056652151041</v>
      </c>
      <c r="AJ54" s="54">
        <f t="shared" si="12"/>
        <v>208.54422683990606</v>
      </c>
      <c r="AK54" s="8"/>
      <c r="AL54" s="8"/>
      <c r="AM54" s="8"/>
      <c r="AN54" s="8"/>
      <c r="AO54" s="9"/>
    </row>
    <row r="55" spans="1:41" ht="18.75" customHeight="1" thickBot="1">
      <c r="A55" s="39" t="s">
        <v>13</v>
      </c>
      <c r="B55" s="28" t="s">
        <v>2</v>
      </c>
      <c r="C55" s="40">
        <v>1639.765491996844</v>
      </c>
      <c r="D55" s="40">
        <v>1620.2588968579005</v>
      </c>
      <c r="E55" s="40">
        <v>1571.9997880249377</v>
      </c>
      <c r="F55" s="40">
        <v>1505.3864102999196</v>
      </c>
      <c r="G55" s="40">
        <v>1465.3121204158178</v>
      </c>
      <c r="H55" s="40">
        <v>1545.691767142858</v>
      </c>
      <c r="I55" s="40">
        <v>1457.0722300000002</v>
      </c>
      <c r="J55" s="41">
        <v>1455.2451799999999</v>
      </c>
      <c r="K55" s="41">
        <v>1508.9285300000001</v>
      </c>
      <c r="L55" s="41">
        <v>1545.62844</v>
      </c>
      <c r="M55" s="41">
        <v>1542.64876</v>
      </c>
      <c r="N55" s="41">
        <v>1540.30727</v>
      </c>
      <c r="O55" s="41">
        <v>1537.85772</v>
      </c>
      <c r="P55" s="41">
        <v>1535.9099200000003</v>
      </c>
      <c r="Q55" s="41">
        <v>1534.43776</v>
      </c>
      <c r="R55" s="41">
        <v>1533.35546</v>
      </c>
      <c r="S55" s="41">
        <v>1532.0669799999998</v>
      </c>
      <c r="T55" s="55">
        <f t="shared" ref="T55:AJ55" si="13">S55*(1+T$90)</f>
        <v>1548.9028808791206</v>
      </c>
      <c r="U55" s="55">
        <f t="shared" si="13"/>
        <v>1565.7387817582412</v>
      </c>
      <c r="V55" s="55">
        <f t="shared" si="13"/>
        <v>1582.5746826373625</v>
      </c>
      <c r="W55" s="55">
        <f t="shared" si="13"/>
        <v>1599.410583516483</v>
      </c>
      <c r="X55" s="55">
        <f t="shared" si="13"/>
        <v>1616.2464843956041</v>
      </c>
      <c r="Y55" s="55">
        <f t="shared" si="13"/>
        <v>1633.0823852747246</v>
      </c>
      <c r="Z55" s="55">
        <f t="shared" si="13"/>
        <v>1649.9182861538454</v>
      </c>
      <c r="AA55" s="55">
        <f t="shared" si="13"/>
        <v>1668.1857280707761</v>
      </c>
      <c r="AB55" s="55">
        <f t="shared" si="13"/>
        <v>1686.6554220852736</v>
      </c>
      <c r="AC55" s="55">
        <f t="shared" si="13"/>
        <v>1705.3296074769894</v>
      </c>
      <c r="AD55" s="55">
        <f t="shared" si="13"/>
        <v>1724.210548318264</v>
      </c>
      <c r="AE55" s="55">
        <f t="shared" si="13"/>
        <v>1743.300533748625</v>
      </c>
      <c r="AF55" s="55">
        <f t="shared" si="13"/>
        <v>1762.6018782523233</v>
      </c>
      <c r="AG55" s="55">
        <f t="shared" si="13"/>
        <v>1782.1169219389442</v>
      </c>
      <c r="AH55" s="55">
        <f t="shared" si="13"/>
        <v>1801.848030827123</v>
      </c>
      <c r="AI55" s="55">
        <f t="shared" si="13"/>
        <v>1821.7975971314031</v>
      </c>
      <c r="AJ55" s="55">
        <f t="shared" si="13"/>
        <v>1841.9680395522701</v>
      </c>
      <c r="AK55" s="29"/>
      <c r="AL55" s="29"/>
      <c r="AM55" s="29"/>
      <c r="AN55" s="29"/>
      <c r="AO55" s="28"/>
    </row>
    <row r="57" spans="1:41" ht="14.5" thickBot="1">
      <c r="B57" s="15" t="s">
        <v>18</v>
      </c>
    </row>
    <row r="58" spans="1:41">
      <c r="A58" s="2" t="s">
        <v>20</v>
      </c>
      <c r="B58" s="3"/>
      <c r="C58" s="4">
        <v>2017</v>
      </c>
      <c r="D58" s="4">
        <v>2018</v>
      </c>
      <c r="E58" s="4">
        <v>2019</v>
      </c>
      <c r="F58" s="4">
        <v>2020</v>
      </c>
      <c r="G58" s="4">
        <v>2021</v>
      </c>
      <c r="H58" s="4">
        <v>2022</v>
      </c>
      <c r="I58" s="4">
        <v>2023</v>
      </c>
      <c r="J58" s="4">
        <v>2024</v>
      </c>
      <c r="K58" s="4">
        <v>2025</v>
      </c>
      <c r="L58" s="4">
        <v>2026</v>
      </c>
      <c r="M58" s="4">
        <v>2027</v>
      </c>
      <c r="N58" s="4">
        <v>2028</v>
      </c>
      <c r="O58" s="4">
        <v>2029</v>
      </c>
      <c r="P58" s="4">
        <v>2030</v>
      </c>
      <c r="Q58" s="4">
        <v>2031</v>
      </c>
      <c r="R58" s="4">
        <v>2032</v>
      </c>
      <c r="S58" s="4">
        <v>2033</v>
      </c>
      <c r="T58" s="4">
        <v>2034</v>
      </c>
      <c r="U58" s="4">
        <v>2035</v>
      </c>
      <c r="V58" s="4">
        <v>2036</v>
      </c>
      <c r="W58" s="4">
        <v>2037</v>
      </c>
      <c r="X58" s="4">
        <v>2038</v>
      </c>
      <c r="Y58" s="4">
        <v>2039</v>
      </c>
      <c r="Z58" s="4">
        <v>2040</v>
      </c>
      <c r="AA58" s="4">
        <v>2041</v>
      </c>
      <c r="AB58" s="4">
        <v>2042</v>
      </c>
      <c r="AC58" s="4">
        <v>2043</v>
      </c>
      <c r="AD58" s="4">
        <v>2044</v>
      </c>
      <c r="AE58" s="4">
        <v>2045</v>
      </c>
      <c r="AF58" s="4">
        <v>2046</v>
      </c>
      <c r="AG58" s="4">
        <v>2047</v>
      </c>
      <c r="AH58" s="4">
        <v>2048</v>
      </c>
      <c r="AI58" s="4">
        <v>2049</v>
      </c>
      <c r="AJ58" s="4">
        <v>2050</v>
      </c>
      <c r="AK58" s="4">
        <v>2051</v>
      </c>
      <c r="AL58" s="4">
        <v>2052</v>
      </c>
      <c r="AM58" s="4">
        <v>2053</v>
      </c>
      <c r="AN58" s="4">
        <v>2054</v>
      </c>
      <c r="AO58" s="5">
        <v>2055</v>
      </c>
    </row>
    <row r="59" spans="1:41">
      <c r="A59" s="6" t="s">
        <v>118</v>
      </c>
      <c r="B59" s="7" t="s">
        <v>2</v>
      </c>
      <c r="C59" s="62">
        <v>216.97812999999999</v>
      </c>
      <c r="D59" s="62">
        <v>213.97187500000001</v>
      </c>
      <c r="E59" s="62">
        <v>219.51724999999999</v>
      </c>
      <c r="F59" s="62">
        <v>209.22418999999999</v>
      </c>
      <c r="G59" s="62">
        <v>202.06005404255299</v>
      </c>
      <c r="H59" s="62">
        <v>196.774237142857</v>
      </c>
      <c r="I59" s="72">
        <v>191.49551117021301</v>
      </c>
      <c r="J59" s="73">
        <v>206.62816883036399</v>
      </c>
      <c r="K59" s="73">
        <v>230.81102814036799</v>
      </c>
      <c r="L59" s="73">
        <v>245.919886607969</v>
      </c>
      <c r="M59" s="73">
        <v>245.77619564363201</v>
      </c>
      <c r="N59" s="73">
        <v>245.82522513271701</v>
      </c>
      <c r="O59" s="73">
        <v>245.706162237038</v>
      </c>
      <c r="P59" s="73">
        <v>245.76324502922699</v>
      </c>
      <c r="Q59" s="73">
        <v>245.85211940542601</v>
      </c>
      <c r="R59" s="73">
        <v>246.165731238456</v>
      </c>
      <c r="S59" s="73">
        <v>246.23422130401099</v>
      </c>
      <c r="T59" s="54">
        <f t="shared" ref="T59:U61" si="14">S59*(1+T$90)</f>
        <v>248.94009186779132</v>
      </c>
      <c r="U59" s="54">
        <f t="shared" si="14"/>
        <v>251.64596243157163</v>
      </c>
      <c r="V59" s="54">
        <f t="shared" ref="V59:AJ59" si="15">U59*(1+V$90)</f>
        <v>254.35183299535203</v>
      </c>
      <c r="W59" s="54">
        <f t="shared" si="15"/>
        <v>257.05770355913234</v>
      </c>
      <c r="X59" s="54">
        <f t="shared" si="15"/>
        <v>259.7635741229127</v>
      </c>
      <c r="Y59" s="54">
        <f t="shared" si="15"/>
        <v>262.46944468669301</v>
      </c>
      <c r="Z59" s="54">
        <f t="shared" si="15"/>
        <v>265.17531525047332</v>
      </c>
      <c r="AA59" s="54">
        <f t="shared" si="15"/>
        <v>268.11126347881492</v>
      </c>
      <c r="AB59" s="54">
        <f t="shared" si="15"/>
        <v>271.07971771923144</v>
      </c>
      <c r="AC59" s="54">
        <f t="shared" si="15"/>
        <v>274.08103786935692</v>
      </c>
      <c r="AD59" s="54">
        <f t="shared" si="15"/>
        <v>277.11558781151308</v>
      </c>
      <c r="AE59" s="54">
        <f t="shared" si="15"/>
        <v>280.18373545682675</v>
      </c>
      <c r="AF59" s="54">
        <f t="shared" si="15"/>
        <v>283.2858527898357</v>
      </c>
      <c r="AG59" s="54">
        <f t="shared" si="15"/>
        <v>286.42231591358819</v>
      </c>
      <c r="AH59" s="54">
        <f t="shared" si="15"/>
        <v>289.59350509524222</v>
      </c>
      <c r="AI59" s="54">
        <f t="shared" si="15"/>
        <v>292.79980481216916</v>
      </c>
      <c r="AJ59" s="54">
        <f t="shared" si="15"/>
        <v>296.0416037985683</v>
      </c>
      <c r="AK59" s="8"/>
      <c r="AL59" s="8"/>
      <c r="AM59" s="8"/>
      <c r="AN59" s="8"/>
      <c r="AO59" s="9"/>
    </row>
    <row r="60" spans="1:41">
      <c r="A60" s="6" t="s">
        <v>119</v>
      </c>
      <c r="B60" s="7" t="s">
        <v>2</v>
      </c>
      <c r="C60" s="62">
        <v>29.057870000000001</v>
      </c>
      <c r="D60" s="62">
        <v>28.77383</v>
      </c>
      <c r="E60" s="62">
        <v>29.138355000000001</v>
      </c>
      <c r="F60" s="62">
        <v>31.625029999999999</v>
      </c>
      <c r="G60" s="62">
        <v>29.863099999999999</v>
      </c>
      <c r="H60" s="62">
        <v>30.811685714285701</v>
      </c>
      <c r="I60" s="72">
        <v>31.4029978723404</v>
      </c>
      <c r="J60" s="73">
        <v>29.359362249678501</v>
      </c>
      <c r="K60" s="73">
        <v>29.293925795720401</v>
      </c>
      <c r="L60" s="73">
        <v>29.238934850465299</v>
      </c>
      <c r="M60" s="73">
        <v>29.259897873945299</v>
      </c>
      <c r="N60" s="73">
        <v>29.2877910046229</v>
      </c>
      <c r="O60" s="73">
        <v>29.324974208369898</v>
      </c>
      <c r="P60" s="73">
        <v>29.366690204923401</v>
      </c>
      <c r="Q60" s="73">
        <v>29.410399951897901</v>
      </c>
      <c r="R60" s="73">
        <v>29.4765438317866</v>
      </c>
      <c r="S60" s="73">
        <v>29.541364481641601</v>
      </c>
      <c r="T60" s="53">
        <f t="shared" si="14"/>
        <v>29.86599486056074</v>
      </c>
      <c r="U60" s="53">
        <f t="shared" si="14"/>
        <v>30.190625239479871</v>
      </c>
      <c r="V60" s="53">
        <f t="shared" ref="V60:AJ60" si="16">U60*(1+V$90)</f>
        <v>30.515255618399017</v>
      </c>
      <c r="W60" s="53">
        <f t="shared" si="16"/>
        <v>30.839885997318152</v>
      </c>
      <c r="X60" s="53">
        <f t="shared" si="16"/>
        <v>31.164516376237291</v>
      </c>
      <c r="Y60" s="53">
        <f t="shared" si="16"/>
        <v>31.489146755156426</v>
      </c>
      <c r="Z60" s="53">
        <f t="shared" si="16"/>
        <v>31.813777134075565</v>
      </c>
      <c r="AA60" s="53">
        <f t="shared" si="16"/>
        <v>32.166010533045672</v>
      </c>
      <c r="AB60" s="53">
        <f t="shared" si="16"/>
        <v>32.522143763426151</v>
      </c>
      <c r="AC60" s="53">
        <f t="shared" si="16"/>
        <v>32.882220003078821</v>
      </c>
      <c r="AD60" s="53">
        <f t="shared" si="16"/>
        <v>33.246282907918925</v>
      </c>
      <c r="AE60" s="53">
        <f t="shared" si="16"/>
        <v>33.614376617208002</v>
      </c>
      <c r="AF60" s="53">
        <f t="shared" si="16"/>
        <v>33.986545758905372</v>
      </c>
      <c r="AG60" s="53">
        <f t="shared" si="16"/>
        <v>34.362835455078859</v>
      </c>
      <c r="AH60" s="53">
        <f t="shared" si="16"/>
        <v>34.74329132737541</v>
      </c>
      <c r="AI60" s="53">
        <f t="shared" si="16"/>
        <v>35.127959502552329</v>
      </c>
      <c r="AJ60" s="53">
        <f t="shared" si="16"/>
        <v>35.516886618069691</v>
      </c>
      <c r="AK60" s="8"/>
      <c r="AL60" s="8"/>
      <c r="AM60" s="8"/>
      <c r="AN60" s="8"/>
      <c r="AO60" s="9"/>
    </row>
    <row r="61" spans="1:41" ht="14.5" thickBot="1">
      <c r="A61" s="11" t="s">
        <v>19</v>
      </c>
      <c r="B61" s="10" t="s">
        <v>2</v>
      </c>
      <c r="C61" s="18">
        <f>SUM(C59:C60)</f>
        <v>246.036</v>
      </c>
      <c r="D61" s="18">
        <f t="shared" ref="D61:S61" si="17">SUM(D59:D60)</f>
        <v>242.74570500000002</v>
      </c>
      <c r="E61" s="18">
        <f t="shared" si="17"/>
        <v>248.65560499999998</v>
      </c>
      <c r="F61" s="18">
        <f t="shared" si="17"/>
        <v>240.84922</v>
      </c>
      <c r="G61" s="18">
        <f t="shared" si="17"/>
        <v>231.92315404255299</v>
      </c>
      <c r="H61" s="18">
        <f t="shared" si="17"/>
        <v>227.58592285714269</v>
      </c>
      <c r="I61" s="18">
        <f t="shared" si="17"/>
        <v>222.8985090425534</v>
      </c>
      <c r="J61" s="19">
        <f t="shared" si="17"/>
        <v>235.98753108004249</v>
      </c>
      <c r="K61" s="19">
        <f t="shared" si="17"/>
        <v>260.10495393608841</v>
      </c>
      <c r="L61" s="19">
        <f t="shared" si="17"/>
        <v>275.15882145843432</v>
      </c>
      <c r="M61" s="19">
        <f t="shared" si="17"/>
        <v>275.03609351757729</v>
      </c>
      <c r="N61" s="19">
        <f t="shared" si="17"/>
        <v>275.11301613733991</v>
      </c>
      <c r="O61" s="19">
        <f t="shared" si="17"/>
        <v>275.03113644540792</v>
      </c>
      <c r="P61" s="19">
        <f t="shared" si="17"/>
        <v>275.12993523415037</v>
      </c>
      <c r="Q61" s="19">
        <f t="shared" si="17"/>
        <v>275.26251935732392</v>
      </c>
      <c r="R61" s="19">
        <f t="shared" si="17"/>
        <v>275.64227507024259</v>
      </c>
      <c r="S61" s="19">
        <f t="shared" si="17"/>
        <v>275.77558578565259</v>
      </c>
      <c r="T61" s="56">
        <f t="shared" si="14"/>
        <v>278.80608672835206</v>
      </c>
      <c r="U61" s="56">
        <f t="shared" si="14"/>
        <v>281.83658767105146</v>
      </c>
      <c r="V61" s="56">
        <f t="shared" ref="V61:AJ61" si="18">U61*(1+V$90)</f>
        <v>284.86708861375098</v>
      </c>
      <c r="W61" s="56">
        <f t="shared" si="18"/>
        <v>287.89758955645044</v>
      </c>
      <c r="X61" s="56">
        <f t="shared" si="18"/>
        <v>290.9280904991499</v>
      </c>
      <c r="Y61" s="56">
        <f t="shared" si="18"/>
        <v>293.95859144184936</v>
      </c>
      <c r="Z61" s="56">
        <f t="shared" si="18"/>
        <v>296.98909238454883</v>
      </c>
      <c r="AA61" s="56">
        <f t="shared" si="18"/>
        <v>300.27727401186053</v>
      </c>
      <c r="AB61" s="56">
        <f t="shared" si="18"/>
        <v>303.60186148265751</v>
      </c>
      <c r="AC61" s="56">
        <f t="shared" si="18"/>
        <v>306.96325787243563</v>
      </c>
      <c r="AD61" s="56">
        <f t="shared" si="18"/>
        <v>310.36187071943186</v>
      </c>
      <c r="AE61" s="56">
        <f t="shared" si="18"/>
        <v>313.79811207403463</v>
      </c>
      <c r="AF61" s="56">
        <f t="shared" si="18"/>
        <v>317.27239854874091</v>
      </c>
      <c r="AG61" s="56">
        <f t="shared" si="18"/>
        <v>320.7851513686669</v>
      </c>
      <c r="AH61" s="56">
        <f t="shared" si="18"/>
        <v>324.33679642261745</v>
      </c>
      <c r="AI61" s="56">
        <f t="shared" si="18"/>
        <v>327.92776431472134</v>
      </c>
      <c r="AJ61" s="56">
        <f t="shared" si="18"/>
        <v>331.55849041663782</v>
      </c>
      <c r="AK61" s="12"/>
      <c r="AL61" s="12"/>
      <c r="AM61" s="12"/>
      <c r="AN61" s="12"/>
      <c r="AO61" s="13"/>
    </row>
    <row r="62" spans="1:41">
      <c r="A62" s="74"/>
      <c r="C62" s="16"/>
      <c r="D62" s="16"/>
      <c r="E62" s="16"/>
      <c r="F62" s="16"/>
      <c r="G62" s="16"/>
      <c r="H62" s="16"/>
      <c r="I62" s="16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42"/>
      <c r="AL62" s="42"/>
      <c r="AM62" s="42"/>
      <c r="AN62" s="42"/>
      <c r="AO62" s="42"/>
    </row>
    <row r="63" spans="1:41" ht="14.5" thickBot="1">
      <c r="A63" s="74"/>
      <c r="C63" s="16"/>
      <c r="D63" s="16"/>
      <c r="E63" s="16"/>
      <c r="F63" s="16"/>
      <c r="G63" s="16"/>
      <c r="H63" s="16"/>
      <c r="I63" s="16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42"/>
      <c r="AL63" s="42"/>
      <c r="AM63" s="42"/>
      <c r="AN63" s="42"/>
      <c r="AO63" s="42"/>
    </row>
    <row r="64" spans="1:41">
      <c r="A64" s="2" t="s">
        <v>120</v>
      </c>
      <c r="B64" s="3"/>
      <c r="C64" s="4">
        <v>2017</v>
      </c>
      <c r="D64" s="4">
        <v>2018</v>
      </c>
      <c r="E64" s="4">
        <v>2019</v>
      </c>
      <c r="F64" s="4">
        <v>2020</v>
      </c>
      <c r="G64" s="4">
        <v>2021</v>
      </c>
      <c r="H64" s="4">
        <v>2022</v>
      </c>
      <c r="I64" s="4">
        <v>2023</v>
      </c>
      <c r="J64" s="4">
        <v>2024</v>
      </c>
      <c r="K64" s="4">
        <v>2025</v>
      </c>
      <c r="L64" s="4">
        <v>2026</v>
      </c>
      <c r="M64" s="4">
        <v>2027</v>
      </c>
      <c r="N64" s="4">
        <v>2028</v>
      </c>
      <c r="O64" s="4">
        <v>2029</v>
      </c>
      <c r="P64" s="4">
        <v>2030</v>
      </c>
      <c r="Q64" s="4">
        <v>2031</v>
      </c>
      <c r="R64" s="4">
        <v>2032</v>
      </c>
      <c r="S64" s="4">
        <v>2033</v>
      </c>
      <c r="T64" s="4">
        <v>2034</v>
      </c>
      <c r="U64" s="4">
        <v>2035</v>
      </c>
      <c r="V64" s="4">
        <v>2036</v>
      </c>
      <c r="W64" s="4">
        <v>2037</v>
      </c>
      <c r="X64" s="4">
        <v>2038</v>
      </c>
      <c r="Y64" s="4">
        <v>2039</v>
      </c>
      <c r="Z64" s="4">
        <v>2040</v>
      </c>
      <c r="AA64" s="4">
        <v>2041</v>
      </c>
      <c r="AB64" s="4">
        <v>2042</v>
      </c>
      <c r="AC64" s="4">
        <v>2043</v>
      </c>
      <c r="AD64" s="4">
        <v>2044</v>
      </c>
      <c r="AE64" s="4">
        <v>2045</v>
      </c>
      <c r="AF64" s="4">
        <v>2046</v>
      </c>
      <c r="AG64" s="4">
        <v>2047</v>
      </c>
      <c r="AH64" s="4">
        <v>2048</v>
      </c>
      <c r="AI64" s="4">
        <v>2049</v>
      </c>
      <c r="AJ64" s="4">
        <v>2050</v>
      </c>
      <c r="AK64" s="4">
        <v>2051</v>
      </c>
      <c r="AL64" s="4">
        <v>2052</v>
      </c>
      <c r="AM64" s="4">
        <v>2053</v>
      </c>
      <c r="AN64" s="4">
        <v>2054</v>
      </c>
      <c r="AO64" s="5">
        <v>2055</v>
      </c>
    </row>
    <row r="65" spans="1:41">
      <c r="A65" s="6" t="s">
        <v>121</v>
      </c>
      <c r="B65" s="7" t="s">
        <v>2</v>
      </c>
      <c r="C65" s="62">
        <v>35.07</v>
      </c>
      <c r="D65" s="62">
        <v>52.46</v>
      </c>
      <c r="E65" s="62">
        <v>68.12</v>
      </c>
      <c r="F65" s="62">
        <v>86.51</v>
      </c>
      <c r="G65" s="62">
        <v>97.83</v>
      </c>
      <c r="H65" s="62">
        <v>107</v>
      </c>
      <c r="I65" s="72">
        <v>115.02</v>
      </c>
      <c r="J65" s="73">
        <v>122.67999999999999</v>
      </c>
      <c r="K65" s="73">
        <v>130.38</v>
      </c>
      <c r="L65" s="73">
        <v>138.11000000000001</v>
      </c>
      <c r="M65" s="73">
        <v>145.86000000000001</v>
      </c>
      <c r="N65" s="73">
        <v>153.66</v>
      </c>
      <c r="O65" s="73">
        <v>161.47</v>
      </c>
      <c r="P65" s="73">
        <v>169.3</v>
      </c>
      <c r="Q65" s="73">
        <v>177.17</v>
      </c>
      <c r="R65" s="73">
        <v>185.04</v>
      </c>
      <c r="S65" s="73">
        <v>189.76999999999998</v>
      </c>
      <c r="T65" s="54">
        <f t="shared" ref="T65:AJ65" si="19">S65*(1+T$90)</f>
        <v>191.85538461538459</v>
      </c>
      <c r="U65" s="54">
        <f t="shared" si="19"/>
        <v>193.94076923076918</v>
      </c>
      <c r="V65" s="54">
        <f t="shared" si="19"/>
        <v>196.02615384615385</v>
      </c>
      <c r="W65" s="54">
        <f t="shared" si="19"/>
        <v>198.11153846153843</v>
      </c>
      <c r="X65" s="54">
        <f t="shared" si="19"/>
        <v>200.19692307692304</v>
      </c>
      <c r="Y65" s="54">
        <f t="shared" si="19"/>
        <v>202.28230769230763</v>
      </c>
      <c r="Z65" s="54">
        <f t="shared" si="19"/>
        <v>204.36769230769224</v>
      </c>
      <c r="AA65" s="54">
        <f t="shared" si="19"/>
        <v>206.63039524289675</v>
      </c>
      <c r="AB65" s="54">
        <f t="shared" si="19"/>
        <v>208.91815020327792</v>
      </c>
      <c r="AC65" s="54">
        <f t="shared" si="19"/>
        <v>211.23123455797491</v>
      </c>
      <c r="AD65" s="54">
        <f t="shared" si="19"/>
        <v>213.56992874708189</v>
      </c>
      <c r="AE65" s="54">
        <f t="shared" si="19"/>
        <v>215.93451631564864</v>
      </c>
      <c r="AF65" s="54">
        <f t="shared" si="19"/>
        <v>218.3252839480578</v>
      </c>
      <c r="AG65" s="54">
        <f t="shared" si="19"/>
        <v>220.74252150278278</v>
      </c>
      <c r="AH65" s="54">
        <f t="shared" si="19"/>
        <v>223.1865220475303</v>
      </c>
      <c r="AI65" s="54">
        <f t="shared" si="19"/>
        <v>225.65758189477225</v>
      </c>
      <c r="AJ65" s="54">
        <f t="shared" si="19"/>
        <v>228.15600063767076</v>
      </c>
      <c r="AK65" s="8"/>
      <c r="AL65" s="8"/>
      <c r="AM65" s="8"/>
      <c r="AN65" s="8"/>
      <c r="AO65" s="9"/>
    </row>
    <row r="66" spans="1:41">
      <c r="A66" s="6" t="s">
        <v>118</v>
      </c>
      <c r="B66" s="7" t="s">
        <v>2</v>
      </c>
      <c r="C66" s="62">
        <v>9.7163913999999991</v>
      </c>
      <c r="D66" s="62">
        <v>11.6743527</v>
      </c>
      <c r="E66" s="62">
        <v>13.2305677</v>
      </c>
      <c r="F66" s="62">
        <v>16.007047700000001</v>
      </c>
      <c r="G66" s="62">
        <v>18.079537500000001</v>
      </c>
      <c r="H66" s="62">
        <v>19.474272499999998</v>
      </c>
      <c r="I66" s="72">
        <v>20.102272499999998</v>
      </c>
      <c r="J66" s="73">
        <v>21.243460430999999</v>
      </c>
      <c r="K66" s="73">
        <v>22.399944871999999</v>
      </c>
      <c r="L66" s="73">
        <v>23.517992942999999</v>
      </c>
      <c r="M66" s="73">
        <v>24.620144324000002</v>
      </c>
      <c r="N66" s="73">
        <v>25.706962614999998</v>
      </c>
      <c r="O66" s="73">
        <v>26.779029277000003</v>
      </c>
      <c r="P66" s="73">
        <v>27.836931898</v>
      </c>
      <c r="Q66" s="73">
        <v>28.881256159000003</v>
      </c>
      <c r="R66" s="73">
        <v>29.91258015</v>
      </c>
      <c r="S66" s="73">
        <v>30.931470501</v>
      </c>
      <c r="T66" s="53">
        <f t="shared" ref="T66:AJ66" si="20">S66*(1+T$90)</f>
        <v>31.271376770241758</v>
      </c>
      <c r="U66" s="53">
        <f t="shared" si="20"/>
        <v>31.61128303948351</v>
      </c>
      <c r="V66" s="53">
        <f t="shared" si="20"/>
        <v>31.951189308725276</v>
      </c>
      <c r="W66" s="53">
        <f t="shared" si="20"/>
        <v>32.291095577967027</v>
      </c>
      <c r="X66" s="53">
        <f t="shared" si="20"/>
        <v>32.631001847208786</v>
      </c>
      <c r="Y66" s="53">
        <f t="shared" si="20"/>
        <v>32.970908116450538</v>
      </c>
      <c r="Z66" s="53">
        <f t="shared" si="20"/>
        <v>33.310814385692296</v>
      </c>
      <c r="AA66" s="53">
        <f t="shared" si="20"/>
        <v>33.679622569771993</v>
      </c>
      <c r="AB66" s="53">
        <f t="shared" si="20"/>
        <v>34.052514096728551</v>
      </c>
      <c r="AC66" s="53">
        <f t="shared" si="20"/>
        <v>34.429534176212321</v>
      </c>
      <c r="AD66" s="53">
        <f t="shared" si="20"/>
        <v>34.810728518422486</v>
      </c>
      <c r="AE66" s="53">
        <f t="shared" si="20"/>
        <v>35.196143339648991</v>
      </c>
      <c r="AF66" s="53">
        <f t="shared" si="20"/>
        <v>35.585825367875842</v>
      </c>
      <c r="AG66" s="53">
        <f t="shared" si="20"/>
        <v>35.979821848446448</v>
      </c>
      <c r="AH66" s="53">
        <f t="shared" si="20"/>
        <v>36.378180549791686</v>
      </c>
      <c r="AI66" s="53">
        <f t="shared" si="20"/>
        <v>36.780949769221365</v>
      </c>
      <c r="AJ66" s="53">
        <f t="shared" si="20"/>
        <v>37.188178338779835</v>
      </c>
      <c r="AK66" s="8"/>
      <c r="AL66" s="8"/>
      <c r="AM66" s="8"/>
      <c r="AN66" s="8"/>
      <c r="AO66" s="9"/>
    </row>
    <row r="67" spans="1:41" ht="14.5" thickBot="1">
      <c r="A67" s="77" t="s">
        <v>119</v>
      </c>
      <c r="B67" s="10" t="s">
        <v>2</v>
      </c>
      <c r="C67" s="78">
        <v>0.43280359999999996</v>
      </c>
      <c r="D67" s="78">
        <v>0.44660359999999999</v>
      </c>
      <c r="E67" s="78">
        <v>0.45160359999999999</v>
      </c>
      <c r="F67" s="78">
        <v>0.56560359999999998</v>
      </c>
      <c r="G67" s="78">
        <v>0.57560359999999999</v>
      </c>
      <c r="H67" s="78">
        <v>0.72960360000000002</v>
      </c>
      <c r="I67" s="78">
        <v>0.72960360000000002</v>
      </c>
      <c r="J67" s="79">
        <v>1.0484355650000001</v>
      </c>
      <c r="K67" s="79">
        <v>1.0602922380000002</v>
      </c>
      <c r="L67" s="79">
        <v>1.072171016</v>
      </c>
      <c r="M67" s="79">
        <v>1.084069789</v>
      </c>
      <c r="N67" s="79">
        <v>1.0959868159999999</v>
      </c>
      <c r="O67" s="79">
        <v>1.1079206350000002</v>
      </c>
      <c r="P67" s="79">
        <v>1.1198700020000001</v>
      </c>
      <c r="Q67" s="79">
        <v>1.1318338419999998</v>
      </c>
      <c r="R67" s="79">
        <v>1.1438112220000001</v>
      </c>
      <c r="S67" s="79">
        <v>1.1600000000000001</v>
      </c>
      <c r="T67" s="80">
        <f>S67*(1+T$90)</f>
        <v>1.1727472527472529</v>
      </c>
      <c r="U67" s="80">
        <f t="shared" ref="U67:AJ67" si="21">T67*(1+U$90)</f>
        <v>1.1854945054945054</v>
      </c>
      <c r="V67" s="80">
        <f t="shared" si="21"/>
        <v>1.1982417582417584</v>
      </c>
      <c r="W67" s="80">
        <f t="shared" si="21"/>
        <v>1.2109890109890109</v>
      </c>
      <c r="X67" s="80">
        <f t="shared" si="21"/>
        <v>1.2237362637362637</v>
      </c>
      <c r="Y67" s="80">
        <f t="shared" si="21"/>
        <v>1.2364835164835162</v>
      </c>
      <c r="Z67" s="80">
        <f t="shared" si="21"/>
        <v>1.2492307692307689</v>
      </c>
      <c r="AA67" s="80">
        <f t="shared" si="21"/>
        <v>1.2630619090570705</v>
      </c>
      <c r="AB67" s="80">
        <f t="shared" si="21"/>
        <v>1.2770461834631524</v>
      </c>
      <c r="AC67" s="80">
        <f t="shared" si="21"/>
        <v>1.291185287913005</v>
      </c>
      <c r="AD67" s="80">
        <f t="shared" si="21"/>
        <v>1.3054809366423306</v>
      </c>
      <c r="AE67" s="80">
        <f t="shared" si="21"/>
        <v>1.3199348628663776</v>
      </c>
      <c r="AF67" s="80">
        <f t="shared" si="21"/>
        <v>1.334548818990078</v>
      </c>
      <c r="AG67" s="80">
        <f t="shared" si="21"/>
        <v>1.3493245768205093</v>
      </c>
      <c r="AH67" s="80">
        <f t="shared" si="21"/>
        <v>1.3642639277817104</v>
      </c>
      <c r="AI67" s="80">
        <f t="shared" si="21"/>
        <v>1.3793686831318746</v>
      </c>
      <c r="AJ67" s="80">
        <f t="shared" si="21"/>
        <v>1.3946406741829485</v>
      </c>
      <c r="AK67" s="12"/>
      <c r="AL67" s="12"/>
      <c r="AM67" s="12"/>
      <c r="AN67" s="12"/>
      <c r="AO67" s="13"/>
    </row>
    <row r="68" spans="1:41">
      <c r="A68" s="74"/>
      <c r="C68" s="16"/>
      <c r="D68" s="16"/>
      <c r="E68" s="16"/>
      <c r="F68" s="16"/>
      <c r="G68" s="16"/>
      <c r="H68" s="16"/>
      <c r="I68" s="16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42"/>
      <c r="AL68" s="42"/>
      <c r="AM68" s="42"/>
      <c r="AN68" s="42"/>
      <c r="AO68" s="42"/>
    </row>
    <row r="69" spans="1:41">
      <c r="A69" s="74"/>
      <c r="C69" s="16"/>
      <c r="D69" s="16"/>
      <c r="E69" s="16"/>
      <c r="F69" s="16"/>
      <c r="G69" s="16"/>
      <c r="H69" s="16"/>
      <c r="I69" s="16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42"/>
      <c r="AL69" s="42"/>
      <c r="AM69" s="42"/>
      <c r="AN69" s="42"/>
      <c r="AO69" s="42"/>
    </row>
    <row r="70" spans="1:41" s="42" customFormat="1">
      <c r="A70" s="34" t="s">
        <v>122</v>
      </c>
      <c r="B70" s="34" t="s">
        <v>2</v>
      </c>
      <c r="C70" s="37">
        <f>C61+C55+C65+C66+C67</f>
        <v>1931.020686996844</v>
      </c>
      <c r="D70" s="37">
        <f t="shared" ref="D70:AJ70" si="22">D61+D55+D65+D66+D67</f>
        <v>1927.5855581579006</v>
      </c>
      <c r="E70" s="37">
        <f t="shared" si="22"/>
        <v>1902.4575643249377</v>
      </c>
      <c r="F70" s="37">
        <f t="shared" si="22"/>
        <v>1849.3182815999196</v>
      </c>
      <c r="G70" s="37">
        <f t="shared" si="22"/>
        <v>1813.7204155583709</v>
      </c>
      <c r="H70" s="37">
        <f t="shared" si="22"/>
        <v>1900.4815661000009</v>
      </c>
      <c r="I70" s="37">
        <f t="shared" si="22"/>
        <v>1815.8226151425536</v>
      </c>
      <c r="J70" s="36">
        <f>J61+J55+J65+J66+J67</f>
        <v>1836.2046070760425</v>
      </c>
      <c r="K70" s="36">
        <f t="shared" si="22"/>
        <v>1922.8737210460888</v>
      </c>
      <c r="L70" s="36">
        <f t="shared" si="22"/>
        <v>1983.4874254174347</v>
      </c>
      <c r="M70" s="36">
        <f t="shared" si="22"/>
        <v>1989.2490676305774</v>
      </c>
      <c r="N70" s="36">
        <f t="shared" si="22"/>
        <v>1995.8832355683401</v>
      </c>
      <c r="O70" s="36">
        <f t="shared" si="22"/>
        <v>2002.2458063574079</v>
      </c>
      <c r="P70" s="36">
        <f t="shared" si="22"/>
        <v>2009.2966571341508</v>
      </c>
      <c r="Q70" s="36">
        <f t="shared" si="22"/>
        <v>2016.8833693583242</v>
      </c>
      <c r="R70" s="36">
        <f t="shared" si="22"/>
        <v>2025.0941264422424</v>
      </c>
      <c r="S70" s="36">
        <f t="shared" si="22"/>
        <v>2029.7040362866524</v>
      </c>
      <c r="T70" s="36">
        <f t="shared" si="22"/>
        <v>2052.0084762458464</v>
      </c>
      <c r="U70" s="57">
        <f t="shared" si="22"/>
        <v>2074.31291620504</v>
      </c>
      <c r="V70" s="57">
        <f t="shared" si="22"/>
        <v>2096.617356164234</v>
      </c>
      <c r="W70" s="57">
        <f t="shared" si="22"/>
        <v>2118.9217961234281</v>
      </c>
      <c r="X70" s="57">
        <f t="shared" si="22"/>
        <v>2141.2262360826217</v>
      </c>
      <c r="Y70" s="57">
        <f t="shared" si="22"/>
        <v>2163.5306760418157</v>
      </c>
      <c r="Z70" s="57">
        <f t="shared" si="22"/>
        <v>2185.8351160010097</v>
      </c>
      <c r="AA70" s="57">
        <f t="shared" si="22"/>
        <v>2210.0360818043623</v>
      </c>
      <c r="AB70" s="57">
        <f t="shared" si="22"/>
        <v>2234.5049940514004</v>
      </c>
      <c r="AC70" s="57">
        <f t="shared" si="22"/>
        <v>2259.244819371525</v>
      </c>
      <c r="AD70" s="57">
        <f t="shared" si="22"/>
        <v>2284.2585572398425</v>
      </c>
      <c r="AE70" s="57">
        <f t="shared" si="22"/>
        <v>2309.5492403408239</v>
      </c>
      <c r="AF70" s="57">
        <f t="shared" si="22"/>
        <v>2335.1199349359881</v>
      </c>
      <c r="AG70" s="57">
        <f t="shared" si="22"/>
        <v>2360.9737412356612</v>
      </c>
      <c r="AH70" s="57">
        <f t="shared" si="22"/>
        <v>2387.113793774844</v>
      </c>
      <c r="AI70" s="57">
        <f t="shared" si="22"/>
        <v>2413.5432617932497</v>
      </c>
      <c r="AJ70" s="57">
        <f t="shared" si="22"/>
        <v>2440.2653496195417</v>
      </c>
      <c r="AK70" s="32"/>
      <c r="AL70" s="32"/>
      <c r="AM70" s="32"/>
      <c r="AN70" s="32"/>
      <c r="AO70" s="32"/>
    </row>
    <row r="72" spans="1:41">
      <c r="A72" s="23"/>
      <c r="T72" s="72"/>
    </row>
    <row r="73" spans="1:41" ht="25">
      <c r="A73" s="44" t="s">
        <v>50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</row>
    <row r="74" spans="1:41">
      <c r="A74" s="43" t="s">
        <v>48</v>
      </c>
      <c r="B74" s="34" t="s">
        <v>2</v>
      </c>
      <c r="C74" s="34"/>
      <c r="D74" s="34"/>
      <c r="E74" s="34"/>
      <c r="F74" s="81">
        <v>2014.7180000000001</v>
      </c>
      <c r="G74" s="81">
        <v>2142.1350000000002</v>
      </c>
      <c r="H74" s="81">
        <v>2058.9789999999998</v>
      </c>
      <c r="I74" s="81">
        <v>2043.4159999999999</v>
      </c>
      <c r="J74" s="81">
        <v>1648.8620000000001</v>
      </c>
      <c r="K74" s="58">
        <f>TREND(F74:J74,F64:J64,K64)</f>
        <v>1732.4927000000025</v>
      </c>
      <c r="L74" s="58">
        <f t="shared" ref="L74:P74" si="23">TREND(G74:K74,G64:K64,L64)</f>
        <v>1556.35646000001</v>
      </c>
      <c r="M74" s="58">
        <f t="shared" si="23"/>
        <v>1413.1707180000376</v>
      </c>
      <c r="N74" s="58">
        <f t="shared" si="23"/>
        <v>1272.960744400043</v>
      </c>
      <c r="O74" s="58">
        <f t="shared" si="23"/>
        <v>1203.43117652004</v>
      </c>
      <c r="P74" s="58">
        <f t="shared" si="23"/>
        <v>1033.2267310160678</v>
      </c>
      <c r="Q74" s="58">
        <f>TREND(L74:P74,L64:P64,Q64)</f>
        <v>919.02946615286055</v>
      </c>
      <c r="R74" s="81">
        <v>901</v>
      </c>
      <c r="S74" s="81">
        <v>901</v>
      </c>
      <c r="T74" s="81">
        <v>901</v>
      </c>
      <c r="U74" s="81">
        <v>901</v>
      </c>
      <c r="V74" s="81">
        <v>901</v>
      </c>
      <c r="W74" s="81">
        <v>901</v>
      </c>
      <c r="X74" s="81">
        <v>901</v>
      </c>
      <c r="Y74" s="81">
        <v>901</v>
      </c>
      <c r="Z74" s="81">
        <v>901</v>
      </c>
      <c r="AA74" s="81">
        <v>901</v>
      </c>
      <c r="AB74" s="81">
        <v>901</v>
      </c>
      <c r="AC74" s="81">
        <v>901</v>
      </c>
      <c r="AD74" s="81">
        <v>901</v>
      </c>
      <c r="AE74" s="81">
        <v>901</v>
      </c>
      <c r="AF74" s="81">
        <v>901</v>
      </c>
      <c r="AG74" s="81">
        <v>901</v>
      </c>
      <c r="AH74" s="81">
        <v>901</v>
      </c>
      <c r="AI74" s="81">
        <v>901</v>
      </c>
      <c r="AJ74" s="81">
        <v>901</v>
      </c>
      <c r="AK74" s="58"/>
      <c r="AL74" s="34"/>
      <c r="AM74" s="34"/>
      <c r="AN74" s="34"/>
      <c r="AO74" s="34"/>
    </row>
    <row r="75" spans="1:41">
      <c r="A75" s="23" t="s">
        <v>9</v>
      </c>
      <c r="B75" t="s">
        <v>47</v>
      </c>
    </row>
    <row r="76" spans="1:41" ht="14.25" customHeight="1">
      <c r="A76" t="s">
        <v>129</v>
      </c>
      <c r="B76" s="15" t="s">
        <v>23</v>
      </c>
    </row>
    <row r="77" spans="1:41">
      <c r="B77" t="s">
        <v>49</v>
      </c>
    </row>
    <row r="79" spans="1:41" ht="23">
      <c r="A79" s="59" t="s">
        <v>128</v>
      </c>
      <c r="B79" s="34" t="s">
        <v>2</v>
      </c>
      <c r="C79" s="34"/>
      <c r="D79" s="34"/>
      <c r="E79" s="34"/>
      <c r="F79" s="34"/>
      <c r="G79" s="34"/>
      <c r="H79" s="34"/>
      <c r="I79" s="34"/>
      <c r="J79" s="37">
        <f>SUM(J18,J35,J44,J55,J61,J74)</f>
        <v>215936.08871108002</v>
      </c>
      <c r="K79" s="37">
        <f t="shared" ref="K79:AJ79" si="24">SUM(K18,K35,K44,K55,K61,K74)</f>
        <v>215214.62018393609</v>
      </c>
      <c r="L79" s="37">
        <f t="shared" si="24"/>
        <v>217203.4351207467</v>
      </c>
      <c r="M79" s="37">
        <f t="shared" si="24"/>
        <v>220289.73972555931</v>
      </c>
      <c r="N79" s="37">
        <f t="shared" si="24"/>
        <v>221362.65793933248</v>
      </c>
      <c r="O79" s="37">
        <f t="shared" si="24"/>
        <v>223254.58969651407</v>
      </c>
      <c r="P79" s="37">
        <f t="shared" si="24"/>
        <v>228705.0290045522</v>
      </c>
      <c r="Q79" s="37">
        <f t="shared" si="24"/>
        <v>235527.8849185656</v>
      </c>
      <c r="R79" s="37">
        <f t="shared" si="24"/>
        <v>242925.0456628791</v>
      </c>
      <c r="S79" s="37">
        <f t="shared" si="24"/>
        <v>252062.68324834792</v>
      </c>
      <c r="T79" s="37">
        <f t="shared" si="24"/>
        <v>259498.14240492316</v>
      </c>
      <c r="U79" s="37">
        <f t="shared" si="24"/>
        <v>262750.52945276885</v>
      </c>
      <c r="V79" s="37">
        <f t="shared" si="24"/>
        <v>268688.67854085995</v>
      </c>
      <c r="W79" s="37">
        <f t="shared" si="24"/>
        <v>275725.69527746906</v>
      </c>
      <c r="X79" s="37">
        <f t="shared" si="24"/>
        <v>282700.58530356298</v>
      </c>
      <c r="Y79" s="37">
        <f t="shared" si="24"/>
        <v>286731.95429299248</v>
      </c>
      <c r="Z79" s="37">
        <f t="shared" si="24"/>
        <v>292783.90795268468</v>
      </c>
      <c r="AA79" s="37">
        <f t="shared" si="24"/>
        <v>297847.10610824719</v>
      </c>
      <c r="AB79" s="37">
        <f t="shared" si="24"/>
        <v>304309.6438617743</v>
      </c>
      <c r="AC79" s="37">
        <f t="shared" si="24"/>
        <v>309945.23414428416</v>
      </c>
      <c r="AD79" s="37">
        <f t="shared" si="24"/>
        <v>315906.78999952041</v>
      </c>
      <c r="AE79" s="37">
        <f t="shared" si="24"/>
        <v>321527.22458502313</v>
      </c>
      <c r="AF79" s="37">
        <f t="shared" si="24"/>
        <v>325032.75117321004</v>
      </c>
      <c r="AG79" s="37">
        <f t="shared" si="24"/>
        <v>328145.38315246929</v>
      </c>
      <c r="AH79" s="37">
        <f t="shared" si="24"/>
        <v>330801.93402826262</v>
      </c>
      <c r="AI79" s="37">
        <f t="shared" si="24"/>
        <v>335996.51742423931</v>
      </c>
      <c r="AJ79" s="37">
        <f t="shared" si="24"/>
        <v>340753.74708336318</v>
      </c>
    </row>
    <row r="80" spans="1:41" ht="23">
      <c r="A80" s="59" t="s">
        <v>58</v>
      </c>
      <c r="B80" s="34" t="s">
        <v>2</v>
      </c>
      <c r="C80" s="34"/>
      <c r="D80" s="34"/>
      <c r="E80" s="34"/>
      <c r="F80" s="34"/>
      <c r="G80" s="34"/>
      <c r="H80" s="34"/>
      <c r="I80" s="34"/>
      <c r="J80" s="37">
        <f t="shared" ref="J80:AJ80" si="25">SUM(J19,J36,J44,J70,J74)</f>
        <v>236035.21598047312</v>
      </c>
      <c r="K80" s="37">
        <f t="shared" si="25"/>
        <v>238339.76042104606</v>
      </c>
      <c r="L80" s="37">
        <f t="shared" si="25"/>
        <v>243687.7352847057</v>
      </c>
      <c r="M80" s="37">
        <f t="shared" si="25"/>
        <v>250589.7039396723</v>
      </c>
      <c r="N80" s="37">
        <f t="shared" si="25"/>
        <v>256777.62088876349</v>
      </c>
      <c r="O80" s="37">
        <f t="shared" si="25"/>
        <v>262907.34664642601</v>
      </c>
      <c r="P80" s="37">
        <f t="shared" si="25"/>
        <v>271750.38580645219</v>
      </c>
      <c r="Q80" s="37">
        <f t="shared" si="25"/>
        <v>282363.26800856669</v>
      </c>
      <c r="R80" s="37">
        <f t="shared" si="25"/>
        <v>293599.84205425106</v>
      </c>
      <c r="S80" s="37">
        <f t="shared" si="25"/>
        <v>306295.94471884886</v>
      </c>
      <c r="T80" s="37">
        <f t="shared" si="25"/>
        <v>318349.24191356159</v>
      </c>
      <c r="U80" s="37">
        <f t="shared" si="25"/>
        <v>326212.87113437534</v>
      </c>
      <c r="V80" s="37">
        <f t="shared" si="25"/>
        <v>336378.19765214133</v>
      </c>
      <c r="W80" s="37">
        <f t="shared" si="25"/>
        <v>347805.30233475071</v>
      </c>
      <c r="X80" s="37">
        <f t="shared" si="25"/>
        <v>359398.26711706788</v>
      </c>
      <c r="Y80" s="37">
        <f t="shared" si="25"/>
        <v>368036.9791182531</v>
      </c>
      <c r="Z80" s="37">
        <f t="shared" si="25"/>
        <v>378907.43492681917</v>
      </c>
      <c r="AA80" s="37">
        <f t="shared" si="25"/>
        <v>388552.40644978755</v>
      </c>
      <c r="AB80" s="37">
        <f t="shared" si="25"/>
        <v>399608.03408773965</v>
      </c>
      <c r="AC80" s="37">
        <f t="shared" si="25"/>
        <v>410126.57777707552</v>
      </c>
      <c r="AD80" s="37">
        <f t="shared" si="25"/>
        <v>421231.72596448025</v>
      </c>
      <c r="AE80" s="37">
        <f t="shared" si="25"/>
        <v>431933.40083980164</v>
      </c>
      <c r="AF80" s="37">
        <f t="shared" si="25"/>
        <v>440725.8637820796</v>
      </c>
      <c r="AG80" s="37">
        <f t="shared" si="25"/>
        <v>449529.62102741195</v>
      </c>
      <c r="AH80" s="37">
        <f t="shared" si="25"/>
        <v>458280.0295676933</v>
      </c>
      <c r="AI80" s="37">
        <f t="shared" si="25"/>
        <v>469329.80328963127</v>
      </c>
      <c r="AJ80" s="37">
        <f t="shared" si="25"/>
        <v>479861.81936383061</v>
      </c>
    </row>
    <row r="81" spans="1:41">
      <c r="A81" t="s">
        <v>116</v>
      </c>
    </row>
    <row r="86" spans="1:41">
      <c r="A86" s="43" t="s">
        <v>52</v>
      </c>
      <c r="B86" s="49"/>
      <c r="C86" s="49"/>
      <c r="D86" s="49"/>
      <c r="E86" s="49"/>
      <c r="F86" s="49">
        <v>2020</v>
      </c>
      <c r="G86" s="49">
        <v>2021</v>
      </c>
      <c r="H86" s="49">
        <v>2022</v>
      </c>
      <c r="I86" s="49">
        <v>2023</v>
      </c>
      <c r="J86" s="49">
        <v>2024</v>
      </c>
      <c r="K86" s="49">
        <v>2025</v>
      </c>
      <c r="L86" s="49">
        <v>2026</v>
      </c>
      <c r="M86" s="49">
        <v>2027</v>
      </c>
      <c r="N86" s="49">
        <v>2028</v>
      </c>
      <c r="O86" s="49">
        <v>2029</v>
      </c>
      <c r="P86" s="49">
        <v>2030</v>
      </c>
      <c r="Q86" s="49">
        <v>2031</v>
      </c>
      <c r="R86" s="49">
        <v>2032</v>
      </c>
      <c r="S86" s="49">
        <v>2033</v>
      </c>
      <c r="T86" s="49">
        <v>2034</v>
      </c>
      <c r="U86" s="49">
        <v>2035</v>
      </c>
      <c r="V86" s="49">
        <v>2036</v>
      </c>
      <c r="W86" s="49">
        <v>2037</v>
      </c>
      <c r="X86" s="49">
        <v>2038</v>
      </c>
      <c r="Y86" s="49">
        <v>2039</v>
      </c>
      <c r="Z86" s="49">
        <v>2040</v>
      </c>
      <c r="AA86" s="49">
        <v>2041</v>
      </c>
      <c r="AB86" s="49">
        <v>2042</v>
      </c>
      <c r="AC86" s="49">
        <v>2043</v>
      </c>
      <c r="AD86" s="49">
        <v>2044</v>
      </c>
      <c r="AE86" s="49">
        <v>2045</v>
      </c>
      <c r="AF86" s="49">
        <v>2046</v>
      </c>
      <c r="AG86" s="49">
        <v>2047</v>
      </c>
      <c r="AH86" s="49">
        <v>2048</v>
      </c>
      <c r="AI86" s="49">
        <v>2049</v>
      </c>
      <c r="AJ86" s="49">
        <v>2050</v>
      </c>
      <c r="AK86" s="49"/>
      <c r="AL86" s="49"/>
      <c r="AM86" s="49"/>
      <c r="AN86" s="49"/>
      <c r="AO86" s="49"/>
    </row>
    <row r="88" spans="1:41">
      <c r="A88" t="s">
        <v>7</v>
      </c>
      <c r="K88" s="46">
        <f t="shared" ref="K88:AJ88" si="26">K19/J19-1</f>
        <v>6.9719240412275951E-3</v>
      </c>
      <c r="L88" s="46">
        <f t="shared" si="26"/>
        <v>2.4343215577596666E-2</v>
      </c>
      <c r="M88" s="46">
        <f t="shared" si="26"/>
        <v>2.9341852070782659E-2</v>
      </c>
      <c r="N88" s="46">
        <f t="shared" si="26"/>
        <v>2.5035885795379409E-2</v>
      </c>
      <c r="O88" s="46">
        <f t="shared" si="26"/>
        <v>2.2002885508531467E-2</v>
      </c>
      <c r="P88" s="46">
        <f t="shared" si="26"/>
        <v>2.9572548187844827E-2</v>
      </c>
      <c r="Q88" s="46">
        <f t="shared" si="26"/>
        <v>3.4008836079399085E-2</v>
      </c>
      <c r="R88" s="46">
        <f t="shared" si="26"/>
        <v>3.6562469694258359E-2</v>
      </c>
      <c r="S88" s="46">
        <f t="shared" si="26"/>
        <v>4.0881180188947264E-2</v>
      </c>
      <c r="T88" s="46">
        <f t="shared" si="26"/>
        <v>3.6488795821599807E-2</v>
      </c>
      <c r="U88" s="46">
        <f t="shared" si="26"/>
        <v>2.290539442212558E-2</v>
      </c>
      <c r="V88" s="46">
        <f t="shared" si="26"/>
        <v>3.0340952624185791E-2</v>
      </c>
      <c r="W88" s="46">
        <f t="shared" si="26"/>
        <v>3.3573220743237764E-2</v>
      </c>
      <c r="X88" s="46">
        <f t="shared" si="26"/>
        <v>3.2815427004585951E-2</v>
      </c>
      <c r="Y88" s="46">
        <f t="shared" si="26"/>
        <v>2.2023810483643436E-2</v>
      </c>
      <c r="Z88" s="46">
        <f t="shared" si="26"/>
        <v>2.8366137849969331E-2</v>
      </c>
      <c r="AA88" s="46">
        <f t="shared" si="26"/>
        <v>2.358052580641834E-2</v>
      </c>
      <c r="AB88" s="46">
        <f t="shared" si="26"/>
        <v>2.7032180024672003E-2</v>
      </c>
      <c r="AC88" s="46">
        <f t="shared" si="26"/>
        <v>2.4515913597969119E-2</v>
      </c>
      <c r="AD88" s="46">
        <f t="shared" si="26"/>
        <v>2.5359779459863452E-2</v>
      </c>
      <c r="AE88" s="46">
        <f t="shared" si="26"/>
        <v>2.3367164600455848E-2</v>
      </c>
      <c r="AF88" s="46">
        <f t="shared" si="26"/>
        <v>1.7401404710678969E-2</v>
      </c>
      <c r="AG88" s="46">
        <f t="shared" si="26"/>
        <v>1.6879870065751756E-2</v>
      </c>
      <c r="AH88" s="46">
        <f t="shared" si="26"/>
        <v>1.6199709372589854E-2</v>
      </c>
      <c r="AI88" s="46">
        <f t="shared" si="26"/>
        <v>2.1613572362725542E-2</v>
      </c>
      <c r="AJ88" s="46">
        <f t="shared" si="26"/>
        <v>1.9576348010033051E-2</v>
      </c>
    </row>
    <row r="89" spans="1:41">
      <c r="A89" t="s">
        <v>8</v>
      </c>
      <c r="B89" s="47">
        <f>AVERAGE(F89:K89)</f>
        <v>4.0738555161328294E-2</v>
      </c>
      <c r="C89" t="s">
        <v>62</v>
      </c>
      <c r="F89" s="46">
        <f t="shared" ref="F89:T89" si="27">F36/E36-1</f>
        <v>3.6370211206070424E-2</v>
      </c>
      <c r="G89" s="46">
        <f t="shared" si="27"/>
        <v>2.4914972428007331E-2</v>
      </c>
      <c r="H89" s="46">
        <f t="shared" si="27"/>
        <v>4.2139389413318851E-2</v>
      </c>
      <c r="I89" s="46">
        <f t="shared" si="27"/>
        <v>-2.0964218262528922E-2</v>
      </c>
      <c r="J89" s="46">
        <f t="shared" si="27"/>
        <v>0.13004141563517746</v>
      </c>
      <c r="K89" s="46">
        <f t="shared" si="27"/>
        <v>3.1929560547924618E-2</v>
      </c>
      <c r="L89" s="46">
        <f t="shared" si="27"/>
        <v>2.5257808997160458E-2</v>
      </c>
      <c r="M89" s="46">
        <f t="shared" si="27"/>
        <v>3.1213004682392409E-2</v>
      </c>
      <c r="N89" s="46">
        <f t="shared" si="27"/>
        <v>3.2358661103638608E-2</v>
      </c>
      <c r="O89" s="46">
        <f t="shared" si="27"/>
        <v>4.8767634854771647E-2</v>
      </c>
      <c r="P89" s="46">
        <f t="shared" si="27"/>
        <v>8.4137478091259377E-2</v>
      </c>
      <c r="Q89" s="46">
        <f t="shared" si="27"/>
        <v>9.4157704392761055E-2</v>
      </c>
      <c r="R89" s="46">
        <f t="shared" si="27"/>
        <v>7.3444066439863898E-2</v>
      </c>
      <c r="S89" s="46">
        <f t="shared" si="27"/>
        <v>6.880437484464319E-2</v>
      </c>
      <c r="T89" s="46">
        <f t="shared" si="27"/>
        <v>6.6715312340108968E-2</v>
      </c>
      <c r="U89" s="48">
        <f t="shared" ref="U89:AJ89" si="28">$B$89</f>
        <v>4.0738555161328294E-2</v>
      </c>
      <c r="V89" s="48">
        <f t="shared" si="28"/>
        <v>4.0738555161328294E-2</v>
      </c>
      <c r="W89" s="48">
        <f t="shared" si="28"/>
        <v>4.0738555161328294E-2</v>
      </c>
      <c r="X89" s="48">
        <f t="shared" si="28"/>
        <v>4.0738555161328294E-2</v>
      </c>
      <c r="Y89" s="48">
        <f t="shared" si="28"/>
        <v>4.0738555161328294E-2</v>
      </c>
      <c r="Z89" s="48">
        <f t="shared" si="28"/>
        <v>4.0738555161328294E-2</v>
      </c>
      <c r="AA89" s="48">
        <f t="shared" si="28"/>
        <v>4.0738555161328294E-2</v>
      </c>
      <c r="AB89" s="48">
        <f t="shared" si="28"/>
        <v>4.0738555161328294E-2</v>
      </c>
      <c r="AC89" s="48">
        <f t="shared" si="28"/>
        <v>4.0738555161328294E-2</v>
      </c>
      <c r="AD89" s="48">
        <f t="shared" si="28"/>
        <v>4.0738555161328294E-2</v>
      </c>
      <c r="AE89" s="48">
        <f t="shared" si="28"/>
        <v>4.0738555161328294E-2</v>
      </c>
      <c r="AF89" s="48">
        <f t="shared" si="28"/>
        <v>4.0738555161328294E-2</v>
      </c>
      <c r="AG89" s="48">
        <f t="shared" si="28"/>
        <v>4.0738555161328294E-2</v>
      </c>
      <c r="AH89" s="48">
        <f t="shared" si="28"/>
        <v>4.0738555161328294E-2</v>
      </c>
      <c r="AI89" s="48">
        <f t="shared" si="28"/>
        <v>4.0738555161328294E-2</v>
      </c>
      <c r="AJ89" s="48">
        <f t="shared" si="28"/>
        <v>4.0738555161328294E-2</v>
      </c>
    </row>
    <row r="90" spans="1:41">
      <c r="A90" t="s">
        <v>10</v>
      </c>
      <c r="B90" s="47">
        <f>AVERAGE(M90:Z90)</f>
        <v>1.107172523041368E-2</v>
      </c>
      <c r="C90" t="s">
        <v>63</v>
      </c>
      <c r="F90" s="50"/>
      <c r="G90" s="46">
        <f t="shared" ref="G90:Z90" si="29">G44/F44-1</f>
        <v>1.7391304347826209E-2</v>
      </c>
      <c r="H90" s="46">
        <f t="shared" si="29"/>
        <v>2.564102564102555E-2</v>
      </c>
      <c r="I90" s="46">
        <f t="shared" si="29"/>
        <v>-4.1666666666666852E-2</v>
      </c>
      <c r="J90" s="46">
        <f t="shared" si="29"/>
        <v>0.11574349811395668</v>
      </c>
      <c r="K90" s="46">
        <f t="shared" si="29"/>
        <v>0</v>
      </c>
      <c r="L90" s="46">
        <f t="shared" si="29"/>
        <v>-6.4768683274021299E-2</v>
      </c>
      <c r="M90" s="46">
        <f t="shared" si="29"/>
        <v>1.1904761904762085E-2</v>
      </c>
      <c r="N90" s="46">
        <f t="shared" si="29"/>
        <v>1.1764705882352899E-2</v>
      </c>
      <c r="O90" s="46">
        <f t="shared" si="29"/>
        <v>1.1627906976744207E-2</v>
      </c>
      <c r="P90" s="46">
        <f t="shared" si="29"/>
        <v>1.1494252873563537E-2</v>
      </c>
      <c r="Q90" s="46">
        <f t="shared" si="29"/>
        <v>1.1363636363636243E-2</v>
      </c>
      <c r="R90" s="46">
        <f t="shared" si="29"/>
        <v>1.1235955056180025E-2</v>
      </c>
      <c r="S90" s="46">
        <f t="shared" si="29"/>
        <v>1.1111111111111294E-2</v>
      </c>
      <c r="T90" s="46">
        <f t="shared" si="29"/>
        <v>1.098901098901095E-2</v>
      </c>
      <c r="U90" s="46">
        <f t="shared" si="29"/>
        <v>1.0869565217391131E-2</v>
      </c>
      <c r="V90" s="46">
        <f t="shared" si="29"/>
        <v>1.0752688172043223E-2</v>
      </c>
      <c r="W90" s="46">
        <f t="shared" si="29"/>
        <v>1.0638297872340274E-2</v>
      </c>
      <c r="X90" s="46">
        <f t="shared" si="29"/>
        <v>1.0526315789473717E-2</v>
      </c>
      <c r="Y90" s="46">
        <f t="shared" si="29"/>
        <v>1.0416666666666519E-2</v>
      </c>
      <c r="Z90" s="46">
        <f t="shared" si="29"/>
        <v>1.0309278350515427E-2</v>
      </c>
      <c r="AA90" s="47">
        <f>$B$90</f>
        <v>1.107172523041368E-2</v>
      </c>
      <c r="AB90" s="47">
        <f t="shared" ref="AB90:AJ90" si="30">$B$90</f>
        <v>1.107172523041368E-2</v>
      </c>
      <c r="AC90" s="47">
        <f t="shared" si="30"/>
        <v>1.107172523041368E-2</v>
      </c>
      <c r="AD90" s="47">
        <f t="shared" si="30"/>
        <v>1.107172523041368E-2</v>
      </c>
      <c r="AE90" s="47">
        <f t="shared" si="30"/>
        <v>1.107172523041368E-2</v>
      </c>
      <c r="AF90" s="47">
        <f t="shared" si="30"/>
        <v>1.107172523041368E-2</v>
      </c>
      <c r="AG90" s="47">
        <f t="shared" si="30"/>
        <v>1.107172523041368E-2</v>
      </c>
      <c r="AH90" s="47">
        <f t="shared" si="30"/>
        <v>1.107172523041368E-2</v>
      </c>
      <c r="AI90" s="47">
        <f t="shared" si="30"/>
        <v>1.107172523041368E-2</v>
      </c>
      <c r="AJ90" s="47">
        <f t="shared" si="30"/>
        <v>1.107172523041368E-2</v>
      </c>
    </row>
    <row r="91" spans="1:41">
      <c r="A91" t="s">
        <v>11</v>
      </c>
      <c r="B91" s="47">
        <f>B90</f>
        <v>1.107172523041368E-2</v>
      </c>
      <c r="C91" t="s">
        <v>64</v>
      </c>
      <c r="J91" s="46">
        <f>J55/I55-1</f>
        <v>-1.2539186200812846E-3</v>
      </c>
      <c r="K91" s="46">
        <f t="shared" ref="K91:AJ91" si="31">K55/J55-1</f>
        <v>3.6889556988603189E-2</v>
      </c>
      <c r="L91" s="46">
        <f t="shared" si="31"/>
        <v>2.4321834513924889E-2</v>
      </c>
      <c r="M91" s="46">
        <f t="shared" si="31"/>
        <v>-1.9278113179646006E-3</v>
      </c>
      <c r="N91" s="46">
        <f t="shared" si="31"/>
        <v>-1.5178374110254023E-3</v>
      </c>
      <c r="O91" s="46">
        <f t="shared" si="31"/>
        <v>-1.5902995770448181E-3</v>
      </c>
      <c r="P91" s="46">
        <f t="shared" si="31"/>
        <v>-1.2665671047902283E-3</v>
      </c>
      <c r="Q91" s="46">
        <f t="shared" si="31"/>
        <v>-9.5849371166267794E-4</v>
      </c>
      <c r="R91" s="46">
        <f t="shared" si="31"/>
        <v>-7.0533978517317575E-4</v>
      </c>
      <c r="S91" s="46">
        <f t="shared" si="31"/>
        <v>-8.4030091757081316E-4</v>
      </c>
      <c r="T91" s="46">
        <f t="shared" si="31"/>
        <v>1.098901098901095E-2</v>
      </c>
      <c r="U91" s="46">
        <f t="shared" si="31"/>
        <v>1.0869565217391131E-2</v>
      </c>
      <c r="V91" s="46">
        <f t="shared" si="31"/>
        <v>1.0752688172043223E-2</v>
      </c>
      <c r="W91" s="46">
        <f t="shared" si="31"/>
        <v>1.0638297872340274E-2</v>
      </c>
      <c r="X91" s="46">
        <f t="shared" si="31"/>
        <v>1.0526315789473717E-2</v>
      </c>
      <c r="Y91" s="46">
        <f t="shared" si="31"/>
        <v>1.0416666666666519E-2</v>
      </c>
      <c r="Z91" s="46">
        <f t="shared" si="31"/>
        <v>1.0309278350515427E-2</v>
      </c>
      <c r="AA91" s="46">
        <f t="shared" si="31"/>
        <v>1.1071725230413776E-2</v>
      </c>
      <c r="AB91" s="46">
        <f t="shared" si="31"/>
        <v>1.1071725230413776E-2</v>
      </c>
      <c r="AC91" s="46">
        <f t="shared" si="31"/>
        <v>1.1071725230413776E-2</v>
      </c>
      <c r="AD91" s="46">
        <f t="shared" si="31"/>
        <v>1.1071725230413776E-2</v>
      </c>
      <c r="AE91" s="46">
        <f t="shared" si="31"/>
        <v>1.1071725230413776E-2</v>
      </c>
      <c r="AF91" s="46">
        <f t="shared" si="31"/>
        <v>1.1071725230413776E-2</v>
      </c>
      <c r="AG91" s="46">
        <f t="shared" si="31"/>
        <v>1.1071725230413776E-2</v>
      </c>
      <c r="AH91" s="46">
        <f t="shared" si="31"/>
        <v>1.1071725230413776E-2</v>
      </c>
      <c r="AI91" s="46">
        <f t="shared" si="31"/>
        <v>1.1071725230413776E-2</v>
      </c>
      <c r="AJ91" s="46">
        <f t="shared" si="31"/>
        <v>1.1071725230413776E-2</v>
      </c>
    </row>
    <row r="92" spans="1:41">
      <c r="A92" t="s">
        <v>59</v>
      </c>
      <c r="B92" s="47">
        <f>B91</f>
        <v>1.107172523041368E-2</v>
      </c>
      <c r="C92" t="s">
        <v>64</v>
      </c>
      <c r="J92" s="46">
        <f>J61/I61-1</f>
        <v>5.8721891383267444E-2</v>
      </c>
      <c r="K92" s="46">
        <f t="shared" ref="K92:AJ92" si="32">K61/J61-1</f>
        <v>0.10219786929278807</v>
      </c>
      <c r="L92" s="46">
        <f t="shared" si="32"/>
        <v>5.787612767285033E-2</v>
      </c>
      <c r="M92" s="46">
        <f t="shared" si="32"/>
        <v>-4.4602582685349113E-4</v>
      </c>
      <c r="N92" s="46">
        <f t="shared" si="32"/>
        <v>2.7968190930449666E-4</v>
      </c>
      <c r="O92" s="46">
        <f t="shared" si="32"/>
        <v>-2.9762202123917447E-4</v>
      </c>
      <c r="P92" s="46">
        <f t="shared" si="32"/>
        <v>3.592276497104141E-4</v>
      </c>
      <c r="Q92" s="46">
        <f t="shared" si="32"/>
        <v>4.818963921926489E-4</v>
      </c>
      <c r="R92" s="46">
        <f t="shared" si="32"/>
        <v>1.3796128648582151E-3</v>
      </c>
      <c r="S92" s="46">
        <f t="shared" si="32"/>
        <v>4.8363668227602297E-4</v>
      </c>
      <c r="T92" s="46">
        <f t="shared" si="32"/>
        <v>1.098901098901095E-2</v>
      </c>
      <c r="U92" s="46">
        <f t="shared" si="32"/>
        <v>1.0869565217391131E-2</v>
      </c>
      <c r="V92" s="46">
        <f t="shared" si="32"/>
        <v>1.0752688172043223E-2</v>
      </c>
      <c r="W92" s="46">
        <f t="shared" si="32"/>
        <v>1.0638297872340274E-2</v>
      </c>
      <c r="X92" s="46">
        <f t="shared" si="32"/>
        <v>1.0526315789473717E-2</v>
      </c>
      <c r="Y92" s="46">
        <f t="shared" si="32"/>
        <v>1.0416666666666519E-2</v>
      </c>
      <c r="Z92" s="46">
        <f t="shared" si="32"/>
        <v>1.0309278350515427E-2</v>
      </c>
      <c r="AA92" s="46">
        <f t="shared" si="32"/>
        <v>1.1071725230413776E-2</v>
      </c>
      <c r="AB92" s="46">
        <f t="shared" si="32"/>
        <v>1.1071725230413776E-2</v>
      </c>
      <c r="AC92" s="46">
        <f t="shared" si="32"/>
        <v>1.1071725230413776E-2</v>
      </c>
      <c r="AD92" s="46">
        <f t="shared" si="32"/>
        <v>1.1071725230413776E-2</v>
      </c>
      <c r="AE92" s="46">
        <f t="shared" si="32"/>
        <v>1.1071725230413776E-2</v>
      </c>
      <c r="AF92" s="46">
        <f t="shared" si="32"/>
        <v>1.1071725230413776E-2</v>
      </c>
      <c r="AG92" s="46">
        <f t="shared" si="32"/>
        <v>1.1071725230413776E-2</v>
      </c>
      <c r="AH92" s="46">
        <f t="shared" si="32"/>
        <v>1.1071725230413776E-2</v>
      </c>
      <c r="AI92" s="46">
        <f t="shared" si="32"/>
        <v>1.1071725230413776E-2</v>
      </c>
      <c r="AJ92" s="46">
        <f t="shared" si="32"/>
        <v>1.1071725230413776E-2</v>
      </c>
    </row>
    <row r="93" spans="1:41">
      <c r="A93" t="s">
        <v>60</v>
      </c>
      <c r="B93" s="47">
        <f>AVERAGE(G93:R93)</f>
        <v>-6.2048279024020679E-2</v>
      </c>
      <c r="C93" t="s">
        <v>125</v>
      </c>
      <c r="G93" s="46">
        <f>G74/F74-1</f>
        <v>6.3243094070733585E-2</v>
      </c>
      <c r="H93" s="46">
        <f>H74/G74-1</f>
        <v>-3.88192154089263E-2</v>
      </c>
      <c r="I93" s="46">
        <f>I74/H74-1</f>
        <v>-7.5586006462425859E-3</v>
      </c>
      <c r="J93" s="46">
        <f>J74/I74-1</f>
        <v>-0.19308549996672231</v>
      </c>
      <c r="K93" s="46">
        <f t="shared" ref="K93:R93" si="33">K74/J74-1</f>
        <v>5.0720254332989878E-2</v>
      </c>
      <c r="L93" s="46">
        <f t="shared" si="33"/>
        <v>-0.1016663677717039</v>
      </c>
      <c r="M93" s="46">
        <f t="shared" si="33"/>
        <v>-9.2000608909331372E-2</v>
      </c>
      <c r="N93" s="46">
        <f t="shared" si="33"/>
        <v>-9.9216585663778778E-2</v>
      </c>
      <c r="O93" s="46">
        <f t="shared" si="33"/>
        <v>-5.4620355094117889E-2</v>
      </c>
      <c r="P93" s="46">
        <f t="shared" si="33"/>
        <v>-0.14143263763213465</v>
      </c>
      <c r="Q93" s="46">
        <f t="shared" si="33"/>
        <v>-0.1105248842632115</v>
      </c>
      <c r="R93" s="46">
        <f t="shared" si="33"/>
        <v>-1.9617941335802302E-2</v>
      </c>
      <c r="S93" s="46">
        <f>$B$93</f>
        <v>-6.2048279024020679E-2</v>
      </c>
      <c r="T93" s="46">
        <f t="shared" ref="T93:AJ93" si="34">$B$93</f>
        <v>-6.2048279024020679E-2</v>
      </c>
      <c r="U93" s="46">
        <f t="shared" si="34"/>
        <v>-6.2048279024020679E-2</v>
      </c>
      <c r="V93" s="46">
        <f t="shared" si="34"/>
        <v>-6.2048279024020679E-2</v>
      </c>
      <c r="W93" s="46">
        <f t="shared" si="34"/>
        <v>-6.2048279024020679E-2</v>
      </c>
      <c r="X93" s="46">
        <f t="shared" si="34"/>
        <v>-6.2048279024020679E-2</v>
      </c>
      <c r="Y93" s="46">
        <f t="shared" si="34"/>
        <v>-6.2048279024020679E-2</v>
      </c>
      <c r="Z93" s="46">
        <f t="shared" si="34"/>
        <v>-6.2048279024020679E-2</v>
      </c>
      <c r="AA93" s="46">
        <f t="shared" si="34"/>
        <v>-6.2048279024020679E-2</v>
      </c>
      <c r="AB93" s="46">
        <f t="shared" si="34"/>
        <v>-6.2048279024020679E-2</v>
      </c>
      <c r="AC93" s="46">
        <f t="shared" si="34"/>
        <v>-6.2048279024020679E-2</v>
      </c>
      <c r="AD93" s="46">
        <f t="shared" si="34"/>
        <v>-6.2048279024020679E-2</v>
      </c>
      <c r="AE93" s="46">
        <f t="shared" si="34"/>
        <v>-6.2048279024020679E-2</v>
      </c>
      <c r="AF93" s="46">
        <f t="shared" si="34"/>
        <v>-6.2048279024020679E-2</v>
      </c>
      <c r="AG93" s="46">
        <f t="shared" si="34"/>
        <v>-6.2048279024020679E-2</v>
      </c>
      <c r="AH93" s="46">
        <f t="shared" si="34"/>
        <v>-6.2048279024020679E-2</v>
      </c>
      <c r="AI93" s="46">
        <f t="shared" si="34"/>
        <v>-6.2048279024020679E-2</v>
      </c>
      <c r="AJ93" s="46">
        <f t="shared" si="34"/>
        <v>-6.2048279024020679E-2</v>
      </c>
    </row>
    <row r="94" spans="1:41">
      <c r="A94" t="s">
        <v>113</v>
      </c>
      <c r="B94" s="47">
        <f>AVERAGE(F94:K94)</f>
        <v>5.8295615239945158E-3</v>
      </c>
      <c r="C94" t="s">
        <v>62</v>
      </c>
      <c r="F94" s="46">
        <f t="shared" ref="F94:T94" si="35">F34/E34-1</f>
        <v>1.40124682839462E-2</v>
      </c>
      <c r="G94" s="46">
        <f t="shared" si="35"/>
        <v>-6.821668563147143E-3</v>
      </c>
      <c r="H94" s="46">
        <f t="shared" si="35"/>
        <v>1.7305258837880144E-2</v>
      </c>
      <c r="I94" s="46">
        <f t="shared" si="35"/>
        <v>-3.05422638591617E-2</v>
      </c>
      <c r="J94" s="46">
        <f t="shared" si="35"/>
        <v>2.8776521040555281E-2</v>
      </c>
      <c r="K94" s="46">
        <f t="shared" si="35"/>
        <v>1.2247053403894315E-2</v>
      </c>
      <c r="L94" s="46">
        <f t="shared" si="35"/>
        <v>3.5630640130535074E-3</v>
      </c>
      <c r="M94" s="46">
        <f t="shared" si="35"/>
        <v>1.1325930186258271E-2</v>
      </c>
      <c r="N94" s="46">
        <f t="shared" si="35"/>
        <v>1.3277046239993151E-2</v>
      </c>
      <c r="O94" s="46">
        <f t="shared" si="35"/>
        <v>3.5520777118186464E-2</v>
      </c>
      <c r="P94" s="46">
        <f t="shared" si="35"/>
        <v>8.398390677603973E-2</v>
      </c>
      <c r="Q94" s="46">
        <f t="shared" si="35"/>
        <v>9.7751409876103867E-2</v>
      </c>
      <c r="R94" s="46">
        <f t="shared" si="35"/>
        <v>7.1471429384791341E-2</v>
      </c>
      <c r="S94" s="46">
        <f t="shared" si="35"/>
        <v>6.7570550341715441E-2</v>
      </c>
      <c r="T94" s="46">
        <f t="shared" si="35"/>
        <v>6.6992369218045855E-2</v>
      </c>
      <c r="U94" s="48">
        <f>$B$94</f>
        <v>5.8295615239945158E-3</v>
      </c>
      <c r="V94" s="48">
        <f t="shared" ref="V94:AJ94" si="36">$B$94</f>
        <v>5.8295615239945158E-3</v>
      </c>
      <c r="W94" s="48">
        <f t="shared" si="36"/>
        <v>5.8295615239945158E-3</v>
      </c>
      <c r="X94" s="48">
        <f t="shared" si="36"/>
        <v>5.8295615239945158E-3</v>
      </c>
      <c r="Y94" s="48">
        <f t="shared" si="36"/>
        <v>5.8295615239945158E-3</v>
      </c>
      <c r="Z94" s="48">
        <f t="shared" si="36"/>
        <v>5.8295615239945158E-3</v>
      </c>
      <c r="AA94" s="48">
        <f t="shared" si="36"/>
        <v>5.8295615239945158E-3</v>
      </c>
      <c r="AB94" s="48">
        <f t="shared" si="36"/>
        <v>5.8295615239945158E-3</v>
      </c>
      <c r="AC94" s="48">
        <f t="shared" si="36"/>
        <v>5.8295615239945158E-3</v>
      </c>
      <c r="AD94" s="48">
        <f t="shared" si="36"/>
        <v>5.8295615239945158E-3</v>
      </c>
      <c r="AE94" s="48">
        <f t="shared" si="36"/>
        <v>5.8295615239945158E-3</v>
      </c>
      <c r="AF94" s="48">
        <f t="shared" si="36"/>
        <v>5.8295615239945158E-3</v>
      </c>
      <c r="AG94" s="48">
        <f t="shared" si="36"/>
        <v>5.8295615239945158E-3</v>
      </c>
      <c r="AH94" s="48">
        <f t="shared" si="36"/>
        <v>5.8295615239945158E-3</v>
      </c>
      <c r="AI94" s="48">
        <f t="shared" si="36"/>
        <v>5.8295615239945158E-3</v>
      </c>
      <c r="AJ94" s="48">
        <f t="shared" si="36"/>
        <v>5.8295615239945158E-3</v>
      </c>
    </row>
    <row r="96" spans="1:41">
      <c r="A96" t="s">
        <v>61</v>
      </c>
    </row>
    <row r="97" spans="1:41">
      <c r="A97" t="s">
        <v>7</v>
      </c>
      <c r="B97" t="s">
        <v>29</v>
      </c>
    </row>
    <row r="98" spans="1:41" s="42" customFormat="1">
      <c r="A98" t="s">
        <v>8</v>
      </c>
      <c r="B98" t="s">
        <v>124</v>
      </c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</row>
    <row r="99" spans="1:41" s="42" customForma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</row>
    <row r="111" spans="1:41" s="23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</row>
  </sheetData>
  <hyperlinks>
    <hyperlink ref="B48" r:id="rId1" xr:uid="{38AC7958-8179-4527-9450-691144855AAD}"/>
    <hyperlink ref="B76" r:id="rId2" xr:uid="{15BB973E-4748-4966-A878-95DA33EB498A}"/>
    <hyperlink ref="F37" r:id="rId3" xr:uid="{E5DA7FFE-3CF6-4313-B274-4517AF35645E}"/>
  </hyperlinks>
  <pageMargins left="0.7" right="0.7" top="0.75" bottom="0.75" header="0.3" footer="0.3"/>
  <pageSetup paperSize="9"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6FED2-2636-4853-AA7F-C544E0842305}">
  <dimension ref="A1:I4357"/>
  <sheetViews>
    <sheetView workbookViewId="0">
      <selection activeCell="D3656" sqref="D3656:I3656"/>
    </sheetView>
  </sheetViews>
  <sheetFormatPr defaultRowHeight="14"/>
  <cols>
    <col min="1" max="1" width="9.58203125" bestFit="1" customWidth="1"/>
    <col min="2" max="2" width="10.33203125" bestFit="1" customWidth="1"/>
    <col min="3" max="3" width="21.75" bestFit="1" customWidth="1"/>
    <col min="4" max="4" width="26.08203125" bestFit="1" customWidth="1"/>
    <col min="5" max="5" width="21.75" bestFit="1" customWidth="1"/>
    <col min="6" max="6" width="13.75" bestFit="1" customWidth="1"/>
    <col min="7" max="7" width="10.58203125" customWidth="1"/>
    <col min="8" max="8" width="8.5" customWidth="1"/>
    <col min="9" max="9" width="22" bestFit="1" customWidth="1"/>
  </cols>
  <sheetData>
    <row r="1" spans="1:9">
      <c r="A1" s="61" t="s">
        <v>69</v>
      </c>
      <c r="B1" s="61" t="s">
        <v>70</v>
      </c>
      <c r="C1" s="61" t="s">
        <v>71</v>
      </c>
      <c r="D1" s="61" t="s">
        <v>72</v>
      </c>
      <c r="E1" s="61" t="s">
        <v>73</v>
      </c>
      <c r="F1" s="61" t="s">
        <v>74</v>
      </c>
      <c r="G1" s="61" t="s">
        <v>75</v>
      </c>
      <c r="H1" s="61" t="s">
        <v>76</v>
      </c>
      <c r="I1" s="61" t="s">
        <v>77</v>
      </c>
    </row>
    <row r="2" spans="1:9">
      <c r="A2" t="s">
        <v>104</v>
      </c>
      <c r="B2" t="s">
        <v>105</v>
      </c>
      <c r="C2" t="s">
        <v>107</v>
      </c>
      <c r="D2" t="s">
        <v>108</v>
      </c>
      <c r="E2" t="s">
        <v>108</v>
      </c>
      <c r="F2" t="s">
        <v>3</v>
      </c>
      <c r="G2" t="s">
        <v>82</v>
      </c>
      <c r="H2" s="62">
        <v>2019</v>
      </c>
      <c r="I2">
        <v>2.9956</v>
      </c>
    </row>
    <row r="3" spans="1:9">
      <c r="A3" t="s">
        <v>104</v>
      </c>
      <c r="B3" t="s">
        <v>105</v>
      </c>
      <c r="C3" t="s">
        <v>80</v>
      </c>
      <c r="D3" t="s">
        <v>80</v>
      </c>
      <c r="E3" t="s">
        <v>80</v>
      </c>
      <c r="F3" t="s">
        <v>3</v>
      </c>
      <c r="G3" t="s">
        <v>82</v>
      </c>
      <c r="H3" s="62">
        <v>2019</v>
      </c>
      <c r="I3">
        <v>68.091800000000006</v>
      </c>
    </row>
    <row r="4" spans="1:9">
      <c r="A4" t="s">
        <v>104</v>
      </c>
      <c r="B4" t="s">
        <v>105</v>
      </c>
      <c r="C4" t="s">
        <v>80</v>
      </c>
      <c r="D4" t="s">
        <v>83</v>
      </c>
      <c r="E4" t="s">
        <v>84</v>
      </c>
      <c r="F4" t="s">
        <v>3</v>
      </c>
      <c r="G4" t="s">
        <v>82</v>
      </c>
      <c r="H4" s="62">
        <v>2019</v>
      </c>
      <c r="I4">
        <v>2.391</v>
      </c>
    </row>
    <row r="5" spans="1:9">
      <c r="A5" t="s">
        <v>104</v>
      </c>
      <c r="B5" t="s">
        <v>105</v>
      </c>
      <c r="C5" t="s">
        <v>80</v>
      </c>
      <c r="D5" t="s">
        <v>83</v>
      </c>
      <c r="E5" t="s">
        <v>85</v>
      </c>
      <c r="F5" t="s">
        <v>3</v>
      </c>
      <c r="G5" t="s">
        <v>82</v>
      </c>
      <c r="H5" s="62">
        <v>2019</v>
      </c>
      <c r="I5">
        <v>1.6344000000000001</v>
      </c>
    </row>
    <row r="6" spans="1:9">
      <c r="A6" t="s">
        <v>104</v>
      </c>
      <c r="B6" t="s">
        <v>105</v>
      </c>
      <c r="C6" t="s">
        <v>80</v>
      </c>
      <c r="D6" t="s">
        <v>86</v>
      </c>
      <c r="E6" t="s">
        <v>106</v>
      </c>
      <c r="F6" t="s">
        <v>3</v>
      </c>
      <c r="G6" t="s">
        <v>82</v>
      </c>
      <c r="H6" s="62">
        <v>2019</v>
      </c>
      <c r="I6">
        <v>1.5405</v>
      </c>
    </row>
    <row r="7" spans="1:9">
      <c r="A7" t="s">
        <v>104</v>
      </c>
      <c r="B7" t="s">
        <v>105</v>
      </c>
      <c r="C7" t="s">
        <v>80</v>
      </c>
      <c r="D7" t="s">
        <v>86</v>
      </c>
      <c r="E7" t="s">
        <v>87</v>
      </c>
      <c r="F7" t="s">
        <v>3</v>
      </c>
      <c r="G7" t="s">
        <v>82</v>
      </c>
      <c r="H7" s="62">
        <v>2019</v>
      </c>
      <c r="I7">
        <v>0.24510000000000001</v>
      </c>
    </row>
    <row r="8" spans="1:9">
      <c r="A8" t="s">
        <v>104</v>
      </c>
      <c r="B8" t="s">
        <v>105</v>
      </c>
      <c r="C8" t="s">
        <v>107</v>
      </c>
      <c r="D8" t="s">
        <v>108</v>
      </c>
      <c r="E8" t="s">
        <v>108</v>
      </c>
      <c r="F8" t="s">
        <v>3</v>
      </c>
      <c r="G8" t="s">
        <v>82</v>
      </c>
      <c r="H8" s="62">
        <v>2020</v>
      </c>
      <c r="I8">
        <v>2.7745000000000002</v>
      </c>
    </row>
    <row r="9" spans="1:9">
      <c r="A9" t="s">
        <v>104</v>
      </c>
      <c r="B9" t="s">
        <v>105</v>
      </c>
      <c r="C9" t="s">
        <v>80</v>
      </c>
      <c r="D9" t="s">
        <v>80</v>
      </c>
      <c r="E9" t="s">
        <v>80</v>
      </c>
      <c r="F9" t="s">
        <v>3</v>
      </c>
      <c r="G9" t="s">
        <v>82</v>
      </c>
      <c r="H9" s="62">
        <v>2020</v>
      </c>
      <c r="I9">
        <v>66.570499999999996</v>
      </c>
    </row>
    <row r="10" spans="1:9">
      <c r="A10" t="s">
        <v>104</v>
      </c>
      <c r="B10" t="s">
        <v>105</v>
      </c>
      <c r="C10" t="s">
        <v>80</v>
      </c>
      <c r="D10" t="s">
        <v>83</v>
      </c>
      <c r="E10" t="s">
        <v>84</v>
      </c>
      <c r="F10" t="s">
        <v>3</v>
      </c>
      <c r="G10" t="s">
        <v>82</v>
      </c>
      <c r="H10" s="62">
        <v>2020</v>
      </c>
      <c r="I10">
        <v>2.3292000000000002</v>
      </c>
    </row>
    <row r="11" spans="1:9">
      <c r="A11" t="s">
        <v>104</v>
      </c>
      <c r="B11" t="s">
        <v>105</v>
      </c>
      <c r="C11" t="s">
        <v>80</v>
      </c>
      <c r="D11" t="s">
        <v>83</v>
      </c>
      <c r="E11" t="s">
        <v>85</v>
      </c>
      <c r="F11" t="s">
        <v>3</v>
      </c>
      <c r="G11" t="s">
        <v>82</v>
      </c>
      <c r="H11" s="62">
        <v>2020</v>
      </c>
      <c r="I11">
        <v>1.4845999999999999</v>
      </c>
    </row>
    <row r="12" spans="1:9">
      <c r="A12" t="s">
        <v>104</v>
      </c>
      <c r="B12" t="s">
        <v>105</v>
      </c>
      <c r="C12" t="s">
        <v>80</v>
      </c>
      <c r="D12" t="s">
        <v>86</v>
      </c>
      <c r="E12" t="s">
        <v>106</v>
      </c>
      <c r="F12" t="s">
        <v>3</v>
      </c>
      <c r="G12" t="s">
        <v>82</v>
      </c>
      <c r="H12" s="62">
        <v>2020</v>
      </c>
      <c r="I12">
        <v>1.3328</v>
      </c>
    </row>
    <row r="13" spans="1:9">
      <c r="A13" t="s">
        <v>104</v>
      </c>
      <c r="B13" t="s">
        <v>105</v>
      </c>
      <c r="C13" t="s">
        <v>80</v>
      </c>
      <c r="D13" t="s">
        <v>86</v>
      </c>
      <c r="E13" t="s">
        <v>87</v>
      </c>
      <c r="F13" t="s">
        <v>3</v>
      </c>
      <c r="G13" t="s">
        <v>82</v>
      </c>
      <c r="H13" s="62">
        <v>2020</v>
      </c>
      <c r="I13">
        <v>0.32750000000000001</v>
      </c>
    </row>
    <row r="14" spans="1:9">
      <c r="A14" t="s">
        <v>104</v>
      </c>
      <c r="B14" t="s">
        <v>105</v>
      </c>
      <c r="C14" t="s">
        <v>107</v>
      </c>
      <c r="D14" t="s">
        <v>108</v>
      </c>
      <c r="E14" t="s">
        <v>108</v>
      </c>
      <c r="F14" t="s">
        <v>3</v>
      </c>
      <c r="G14" t="s">
        <v>82</v>
      </c>
      <c r="H14" s="62">
        <v>2021</v>
      </c>
      <c r="I14">
        <v>2.6322999999999999</v>
      </c>
    </row>
    <row r="15" spans="1:9">
      <c r="A15" t="s">
        <v>104</v>
      </c>
      <c r="B15" t="s">
        <v>105</v>
      </c>
      <c r="C15" t="s">
        <v>80</v>
      </c>
      <c r="D15" t="s">
        <v>80</v>
      </c>
      <c r="E15" t="s">
        <v>80</v>
      </c>
      <c r="F15" t="s">
        <v>3</v>
      </c>
      <c r="G15" t="s">
        <v>82</v>
      </c>
      <c r="H15" s="62">
        <v>2021</v>
      </c>
      <c r="I15">
        <v>65.225800000000007</v>
      </c>
    </row>
    <row r="16" spans="1:9">
      <c r="A16" t="s">
        <v>104</v>
      </c>
      <c r="B16" t="s">
        <v>105</v>
      </c>
      <c r="C16" t="s">
        <v>80</v>
      </c>
      <c r="D16" t="s">
        <v>83</v>
      </c>
      <c r="E16" t="s">
        <v>84</v>
      </c>
      <c r="F16" t="s">
        <v>3</v>
      </c>
      <c r="G16" t="s">
        <v>82</v>
      </c>
      <c r="H16" s="62">
        <v>2021</v>
      </c>
      <c r="I16">
        <v>2.2888000000000002</v>
      </c>
    </row>
    <row r="17" spans="1:9">
      <c r="A17" t="s">
        <v>104</v>
      </c>
      <c r="B17" t="s">
        <v>105</v>
      </c>
      <c r="C17" t="s">
        <v>80</v>
      </c>
      <c r="D17" t="s">
        <v>83</v>
      </c>
      <c r="E17" t="s">
        <v>85</v>
      </c>
      <c r="F17" t="s">
        <v>3</v>
      </c>
      <c r="G17" t="s">
        <v>82</v>
      </c>
      <c r="H17" s="62">
        <v>2021</v>
      </c>
      <c r="I17">
        <v>1.5662</v>
      </c>
    </row>
    <row r="18" spans="1:9">
      <c r="A18" t="s">
        <v>104</v>
      </c>
      <c r="B18" t="s">
        <v>105</v>
      </c>
      <c r="C18" t="s">
        <v>80</v>
      </c>
      <c r="D18" t="s">
        <v>86</v>
      </c>
      <c r="E18" t="s">
        <v>106</v>
      </c>
      <c r="F18" t="s">
        <v>3</v>
      </c>
      <c r="G18" t="s">
        <v>82</v>
      </c>
      <c r="H18" s="62">
        <v>2021</v>
      </c>
      <c r="I18">
        <v>1.5335000000000001</v>
      </c>
    </row>
    <row r="19" spans="1:9">
      <c r="A19" t="s">
        <v>104</v>
      </c>
      <c r="B19" t="s">
        <v>105</v>
      </c>
      <c r="C19" t="s">
        <v>80</v>
      </c>
      <c r="D19" t="s">
        <v>86</v>
      </c>
      <c r="E19" t="s">
        <v>87</v>
      </c>
      <c r="F19" t="s">
        <v>3</v>
      </c>
      <c r="G19" t="s">
        <v>82</v>
      </c>
      <c r="H19" s="62">
        <v>2021</v>
      </c>
      <c r="I19">
        <v>0.41389999999999999</v>
      </c>
    </row>
    <row r="20" spans="1:9">
      <c r="A20" t="s">
        <v>104</v>
      </c>
      <c r="B20" t="s">
        <v>105</v>
      </c>
      <c r="C20" t="s">
        <v>107</v>
      </c>
      <c r="D20" t="s">
        <v>108</v>
      </c>
      <c r="E20" t="s">
        <v>108</v>
      </c>
      <c r="F20" t="s">
        <v>3</v>
      </c>
      <c r="G20" t="s">
        <v>82</v>
      </c>
      <c r="H20" s="62">
        <v>2022</v>
      </c>
      <c r="I20">
        <v>2.4485999999999999</v>
      </c>
    </row>
    <row r="21" spans="1:9">
      <c r="A21" t="s">
        <v>104</v>
      </c>
      <c r="B21" t="s">
        <v>105</v>
      </c>
      <c r="C21" t="s">
        <v>80</v>
      </c>
      <c r="D21" t="s">
        <v>80</v>
      </c>
      <c r="E21" t="s">
        <v>80</v>
      </c>
      <c r="F21" t="s">
        <v>3</v>
      </c>
      <c r="G21" t="s">
        <v>82</v>
      </c>
      <c r="H21" s="62">
        <v>2022</v>
      </c>
      <c r="I21">
        <v>64.527000000000001</v>
      </c>
    </row>
    <row r="22" spans="1:9">
      <c r="A22" t="s">
        <v>104</v>
      </c>
      <c r="B22" t="s">
        <v>105</v>
      </c>
      <c r="C22" t="s">
        <v>80</v>
      </c>
      <c r="D22" t="s">
        <v>83</v>
      </c>
      <c r="E22" t="s">
        <v>84</v>
      </c>
      <c r="F22" t="s">
        <v>3</v>
      </c>
      <c r="G22" t="s">
        <v>82</v>
      </c>
      <c r="H22" s="62">
        <v>2022</v>
      </c>
      <c r="I22">
        <v>2.1930999999999998</v>
      </c>
    </row>
    <row r="23" spans="1:9">
      <c r="A23" t="s">
        <v>104</v>
      </c>
      <c r="B23" t="s">
        <v>105</v>
      </c>
      <c r="C23" t="s">
        <v>80</v>
      </c>
      <c r="D23" t="s">
        <v>83</v>
      </c>
      <c r="E23" t="s">
        <v>85</v>
      </c>
      <c r="F23" t="s">
        <v>3</v>
      </c>
      <c r="G23" t="s">
        <v>82</v>
      </c>
      <c r="H23" s="62">
        <v>2022</v>
      </c>
      <c r="I23">
        <v>1.8216000000000001</v>
      </c>
    </row>
    <row r="24" spans="1:9">
      <c r="A24" t="s">
        <v>104</v>
      </c>
      <c r="B24" t="s">
        <v>105</v>
      </c>
      <c r="C24" t="s">
        <v>80</v>
      </c>
      <c r="D24" t="s">
        <v>86</v>
      </c>
      <c r="E24" t="s">
        <v>106</v>
      </c>
      <c r="F24" t="s">
        <v>3</v>
      </c>
      <c r="G24" t="s">
        <v>82</v>
      </c>
      <c r="H24" s="62">
        <v>2022</v>
      </c>
      <c r="I24">
        <v>1.6614</v>
      </c>
    </row>
    <row r="25" spans="1:9">
      <c r="A25" t="s">
        <v>104</v>
      </c>
      <c r="B25" t="s">
        <v>105</v>
      </c>
      <c r="C25" t="s">
        <v>80</v>
      </c>
      <c r="D25" t="s">
        <v>86</v>
      </c>
      <c r="E25" t="s">
        <v>87</v>
      </c>
      <c r="F25" t="s">
        <v>3</v>
      </c>
      <c r="G25" t="s">
        <v>82</v>
      </c>
      <c r="H25" s="62">
        <v>2022</v>
      </c>
      <c r="I25">
        <v>0.4698</v>
      </c>
    </row>
    <row r="26" spans="1:9">
      <c r="A26" t="s">
        <v>104</v>
      </c>
      <c r="B26" t="s">
        <v>105</v>
      </c>
      <c r="C26" t="s">
        <v>107</v>
      </c>
      <c r="D26" t="s">
        <v>108</v>
      </c>
      <c r="E26" t="s">
        <v>108</v>
      </c>
      <c r="F26" t="s">
        <v>3</v>
      </c>
      <c r="G26" t="s">
        <v>82</v>
      </c>
      <c r="H26" s="62">
        <v>2023</v>
      </c>
      <c r="I26">
        <v>2.3999000000000001</v>
      </c>
    </row>
    <row r="27" spans="1:9">
      <c r="A27" t="s">
        <v>104</v>
      </c>
      <c r="B27" t="s">
        <v>105</v>
      </c>
      <c r="C27" t="s">
        <v>80</v>
      </c>
      <c r="D27" t="s">
        <v>80</v>
      </c>
      <c r="E27" t="s">
        <v>80</v>
      </c>
      <c r="F27" t="s">
        <v>3</v>
      </c>
      <c r="G27" t="s">
        <v>82</v>
      </c>
      <c r="H27" s="62">
        <v>2023</v>
      </c>
      <c r="I27">
        <v>64.863200000000006</v>
      </c>
    </row>
    <row r="28" spans="1:9">
      <c r="A28" t="s">
        <v>104</v>
      </c>
      <c r="B28" t="s">
        <v>105</v>
      </c>
      <c r="C28" t="s">
        <v>80</v>
      </c>
      <c r="D28" t="s">
        <v>83</v>
      </c>
      <c r="E28" t="s">
        <v>84</v>
      </c>
      <c r="F28" t="s">
        <v>3</v>
      </c>
      <c r="G28" t="s">
        <v>82</v>
      </c>
      <c r="H28" s="62">
        <v>2023</v>
      </c>
      <c r="I28">
        <v>2.1837</v>
      </c>
    </row>
    <row r="29" spans="1:9">
      <c r="A29" t="s">
        <v>104</v>
      </c>
      <c r="B29" t="s">
        <v>105</v>
      </c>
      <c r="C29" t="s">
        <v>80</v>
      </c>
      <c r="D29" t="s">
        <v>83</v>
      </c>
      <c r="E29" t="s">
        <v>85</v>
      </c>
      <c r="F29" t="s">
        <v>3</v>
      </c>
      <c r="G29" t="s">
        <v>82</v>
      </c>
      <c r="H29" s="62">
        <v>2023</v>
      </c>
      <c r="I29">
        <v>1.8305</v>
      </c>
    </row>
    <row r="30" spans="1:9">
      <c r="A30" t="s">
        <v>104</v>
      </c>
      <c r="B30" t="s">
        <v>105</v>
      </c>
      <c r="C30" t="s">
        <v>80</v>
      </c>
      <c r="D30" t="s">
        <v>86</v>
      </c>
      <c r="E30" t="s">
        <v>106</v>
      </c>
      <c r="F30" t="s">
        <v>3</v>
      </c>
      <c r="G30" t="s">
        <v>82</v>
      </c>
      <c r="H30" s="62">
        <v>2023</v>
      </c>
      <c r="I30">
        <v>1.5580000000000001</v>
      </c>
    </row>
    <row r="31" spans="1:9">
      <c r="A31" t="s">
        <v>104</v>
      </c>
      <c r="B31" t="s">
        <v>105</v>
      </c>
      <c r="C31" t="s">
        <v>80</v>
      </c>
      <c r="D31" t="s">
        <v>86</v>
      </c>
      <c r="E31" t="s">
        <v>87</v>
      </c>
      <c r="F31" t="s">
        <v>3</v>
      </c>
      <c r="G31" t="s">
        <v>82</v>
      </c>
      <c r="H31" s="62">
        <v>2023</v>
      </c>
      <c r="I31">
        <v>0.55779999999999996</v>
      </c>
    </row>
    <row r="32" spans="1:9">
      <c r="A32" t="s">
        <v>104</v>
      </c>
      <c r="B32" t="s">
        <v>105</v>
      </c>
      <c r="C32" t="s">
        <v>107</v>
      </c>
      <c r="D32" t="s">
        <v>108</v>
      </c>
      <c r="E32" t="s">
        <v>108</v>
      </c>
      <c r="F32" t="s">
        <v>3</v>
      </c>
      <c r="G32" t="s">
        <v>82</v>
      </c>
      <c r="H32" s="62">
        <v>2024</v>
      </c>
      <c r="I32">
        <v>2.3235000000000001</v>
      </c>
    </row>
    <row r="33" spans="1:9">
      <c r="A33" t="s">
        <v>104</v>
      </c>
      <c r="B33" t="s">
        <v>105</v>
      </c>
      <c r="C33" t="s">
        <v>80</v>
      </c>
      <c r="D33" t="s">
        <v>80</v>
      </c>
      <c r="E33" t="s">
        <v>80</v>
      </c>
      <c r="F33" t="s">
        <v>3</v>
      </c>
      <c r="G33" t="s">
        <v>82</v>
      </c>
      <c r="H33" s="62">
        <v>2024</v>
      </c>
      <c r="I33">
        <v>64.005499999999998</v>
      </c>
    </row>
    <row r="34" spans="1:9">
      <c r="A34" t="s">
        <v>104</v>
      </c>
      <c r="B34" t="s">
        <v>105</v>
      </c>
      <c r="C34" t="s">
        <v>80</v>
      </c>
      <c r="D34" t="s">
        <v>83</v>
      </c>
      <c r="E34" t="s">
        <v>84</v>
      </c>
      <c r="F34" t="s">
        <v>3</v>
      </c>
      <c r="G34" t="s">
        <v>82</v>
      </c>
      <c r="H34" s="62">
        <v>2024</v>
      </c>
      <c r="I34">
        <v>2.1467000000000001</v>
      </c>
    </row>
    <row r="35" spans="1:9">
      <c r="A35" t="s">
        <v>104</v>
      </c>
      <c r="B35" t="s">
        <v>105</v>
      </c>
      <c r="C35" t="s">
        <v>80</v>
      </c>
      <c r="D35" t="s">
        <v>83</v>
      </c>
      <c r="E35" t="s">
        <v>85</v>
      </c>
      <c r="F35" t="s">
        <v>3</v>
      </c>
      <c r="G35" t="s">
        <v>82</v>
      </c>
      <c r="H35" s="62">
        <v>2024</v>
      </c>
      <c r="I35">
        <v>1.8059000000000001</v>
      </c>
    </row>
    <row r="36" spans="1:9">
      <c r="A36" t="s">
        <v>104</v>
      </c>
      <c r="B36" t="s">
        <v>105</v>
      </c>
      <c r="C36" t="s">
        <v>80</v>
      </c>
      <c r="D36" t="s">
        <v>86</v>
      </c>
      <c r="E36" t="s">
        <v>106</v>
      </c>
      <c r="F36" t="s">
        <v>3</v>
      </c>
      <c r="G36" t="s">
        <v>82</v>
      </c>
      <c r="H36" s="62">
        <v>2024</v>
      </c>
      <c r="I36">
        <v>1.5350999999999999</v>
      </c>
    </row>
    <row r="37" spans="1:9">
      <c r="A37" t="s">
        <v>104</v>
      </c>
      <c r="B37" t="s">
        <v>105</v>
      </c>
      <c r="C37" t="s">
        <v>80</v>
      </c>
      <c r="D37" t="s">
        <v>86</v>
      </c>
      <c r="E37" t="s">
        <v>87</v>
      </c>
      <c r="F37" t="s">
        <v>3</v>
      </c>
      <c r="G37" t="s">
        <v>82</v>
      </c>
      <c r="H37" s="62">
        <v>2024</v>
      </c>
      <c r="I37">
        <v>0.74419999999999997</v>
      </c>
    </row>
    <row r="38" spans="1:9">
      <c r="A38" t="s">
        <v>104</v>
      </c>
      <c r="B38" t="s">
        <v>105</v>
      </c>
      <c r="C38" t="s">
        <v>107</v>
      </c>
      <c r="D38" t="s">
        <v>107</v>
      </c>
      <c r="E38" t="s">
        <v>107</v>
      </c>
      <c r="F38" t="s">
        <v>3</v>
      </c>
      <c r="G38" t="s">
        <v>109</v>
      </c>
      <c r="H38" s="62">
        <v>2025</v>
      </c>
      <c r="I38">
        <v>65.912300000000002</v>
      </c>
    </row>
    <row r="39" spans="1:9">
      <c r="A39" t="s">
        <v>104</v>
      </c>
      <c r="B39" t="s">
        <v>105</v>
      </c>
      <c r="C39" t="s">
        <v>107</v>
      </c>
      <c r="D39" t="s">
        <v>108</v>
      </c>
      <c r="E39" t="s">
        <v>108</v>
      </c>
      <c r="F39" t="s">
        <v>3</v>
      </c>
      <c r="G39" t="s">
        <v>109</v>
      </c>
      <c r="H39" s="62">
        <v>2025</v>
      </c>
      <c r="I39">
        <v>2.4630000000000001</v>
      </c>
    </row>
    <row r="40" spans="1:9">
      <c r="A40" t="s">
        <v>104</v>
      </c>
      <c r="B40" t="s">
        <v>105</v>
      </c>
      <c r="C40" t="s">
        <v>80</v>
      </c>
      <c r="D40" t="s">
        <v>80</v>
      </c>
      <c r="E40" t="s">
        <v>80</v>
      </c>
      <c r="F40" t="s">
        <v>3</v>
      </c>
      <c r="G40" t="s">
        <v>109</v>
      </c>
      <c r="H40" s="62">
        <v>2025</v>
      </c>
      <c r="I40">
        <v>63.449300000000001</v>
      </c>
    </row>
    <row r="41" spans="1:9">
      <c r="A41" t="s">
        <v>104</v>
      </c>
      <c r="B41" t="s">
        <v>105</v>
      </c>
      <c r="C41" t="s">
        <v>80</v>
      </c>
      <c r="D41" t="s">
        <v>89</v>
      </c>
      <c r="E41" t="s">
        <v>90</v>
      </c>
      <c r="F41" t="s">
        <v>3</v>
      </c>
      <c r="G41" t="s">
        <v>109</v>
      </c>
      <c r="H41" s="62">
        <v>2025</v>
      </c>
      <c r="I41">
        <v>14.9757</v>
      </c>
    </row>
    <row r="42" spans="1:9">
      <c r="A42" t="s">
        <v>104</v>
      </c>
      <c r="B42" t="s">
        <v>105</v>
      </c>
      <c r="C42" t="s">
        <v>80</v>
      </c>
      <c r="D42" t="s">
        <v>89</v>
      </c>
      <c r="E42" t="s">
        <v>91</v>
      </c>
      <c r="F42" t="s">
        <v>3</v>
      </c>
      <c r="G42" t="s">
        <v>109</v>
      </c>
      <c r="H42" s="62">
        <v>2025</v>
      </c>
      <c r="I42">
        <v>-0.50109999999999999</v>
      </c>
    </row>
    <row r="43" spans="1:9">
      <c r="A43" t="s">
        <v>104</v>
      </c>
      <c r="B43" t="s">
        <v>105</v>
      </c>
      <c r="C43" t="s">
        <v>80</v>
      </c>
      <c r="D43" t="s">
        <v>92</v>
      </c>
      <c r="E43" t="s">
        <v>93</v>
      </c>
      <c r="F43" t="s">
        <v>3</v>
      </c>
      <c r="G43" t="s">
        <v>109</v>
      </c>
      <c r="H43" s="62">
        <v>2025</v>
      </c>
      <c r="I43">
        <v>-1.5464</v>
      </c>
    </row>
    <row r="44" spans="1:9">
      <c r="A44" t="s">
        <v>104</v>
      </c>
      <c r="B44" t="s">
        <v>105</v>
      </c>
      <c r="C44" t="s">
        <v>80</v>
      </c>
      <c r="D44" t="s">
        <v>92</v>
      </c>
      <c r="E44" t="s">
        <v>94</v>
      </c>
      <c r="F44" t="s">
        <v>3</v>
      </c>
      <c r="G44" t="s">
        <v>109</v>
      </c>
      <c r="H44" s="62">
        <v>2025</v>
      </c>
      <c r="I44">
        <v>28.786899999999999</v>
      </c>
    </row>
    <row r="45" spans="1:9">
      <c r="A45" t="s">
        <v>104</v>
      </c>
      <c r="B45" t="s">
        <v>105</v>
      </c>
      <c r="C45" t="s">
        <v>80</v>
      </c>
      <c r="D45" t="s">
        <v>92</v>
      </c>
      <c r="E45" t="s">
        <v>110</v>
      </c>
      <c r="F45" t="s">
        <v>3</v>
      </c>
      <c r="G45" t="s">
        <v>109</v>
      </c>
      <c r="H45" s="62">
        <v>2025</v>
      </c>
      <c r="I45">
        <v>0</v>
      </c>
    </row>
    <row r="46" spans="1:9">
      <c r="A46" t="s">
        <v>104</v>
      </c>
      <c r="B46" t="s">
        <v>105</v>
      </c>
      <c r="C46" t="s">
        <v>80</v>
      </c>
      <c r="D46" t="s">
        <v>92</v>
      </c>
      <c r="E46" t="s">
        <v>95</v>
      </c>
      <c r="F46" t="s">
        <v>3</v>
      </c>
      <c r="G46" t="s">
        <v>109</v>
      </c>
      <c r="H46" s="62">
        <v>2025</v>
      </c>
      <c r="I46">
        <v>17.423400000000001</v>
      </c>
    </row>
    <row r="47" spans="1:9">
      <c r="A47" t="s">
        <v>104</v>
      </c>
      <c r="B47" t="s">
        <v>105</v>
      </c>
      <c r="C47" t="s">
        <v>80</v>
      </c>
      <c r="D47" t="s">
        <v>96</v>
      </c>
      <c r="E47" t="s">
        <v>92</v>
      </c>
      <c r="F47" t="s">
        <v>3</v>
      </c>
      <c r="G47" t="s">
        <v>109</v>
      </c>
      <c r="H47" s="62">
        <v>2025</v>
      </c>
      <c r="I47">
        <v>0.45700000000000002</v>
      </c>
    </row>
    <row r="48" spans="1:9">
      <c r="A48" t="s">
        <v>104</v>
      </c>
      <c r="B48" t="s">
        <v>105</v>
      </c>
      <c r="C48" t="s">
        <v>80</v>
      </c>
      <c r="D48" t="s">
        <v>96</v>
      </c>
      <c r="E48" t="s">
        <v>89</v>
      </c>
      <c r="F48" t="s">
        <v>3</v>
      </c>
      <c r="G48" t="s">
        <v>109</v>
      </c>
      <c r="H48" s="62">
        <v>2025</v>
      </c>
      <c r="I48">
        <v>9.5999999999999992E-3</v>
      </c>
    </row>
    <row r="49" spans="1:9">
      <c r="A49" t="s">
        <v>104</v>
      </c>
      <c r="B49" t="s">
        <v>105</v>
      </c>
      <c r="C49" t="s">
        <v>80</v>
      </c>
      <c r="D49" t="s">
        <v>97</v>
      </c>
      <c r="E49" t="s">
        <v>98</v>
      </c>
      <c r="F49" t="s">
        <v>3</v>
      </c>
      <c r="G49" t="s">
        <v>109</v>
      </c>
      <c r="H49" s="62">
        <v>2025</v>
      </c>
      <c r="I49">
        <v>0.2747</v>
      </c>
    </row>
    <row r="50" spans="1:9">
      <c r="A50" t="s">
        <v>104</v>
      </c>
      <c r="B50" t="s">
        <v>105</v>
      </c>
      <c r="C50" t="s">
        <v>80</v>
      </c>
      <c r="D50" t="s">
        <v>97</v>
      </c>
      <c r="E50" t="s">
        <v>99</v>
      </c>
      <c r="F50" t="s">
        <v>3</v>
      </c>
      <c r="G50" t="s">
        <v>109</v>
      </c>
      <c r="H50" s="62">
        <v>2025</v>
      </c>
      <c r="I50">
        <v>0</v>
      </c>
    </row>
    <row r="51" spans="1:9">
      <c r="A51" t="s">
        <v>104</v>
      </c>
      <c r="B51" t="s">
        <v>105</v>
      </c>
      <c r="C51" t="s">
        <v>80</v>
      </c>
      <c r="D51" t="s">
        <v>100</v>
      </c>
      <c r="E51" t="s">
        <v>101</v>
      </c>
      <c r="F51" t="s">
        <v>3</v>
      </c>
      <c r="G51" t="s">
        <v>109</v>
      </c>
      <c r="H51" s="62">
        <v>2025</v>
      </c>
      <c r="I51">
        <v>1.18E-2</v>
      </c>
    </row>
    <row r="52" spans="1:9">
      <c r="A52" t="s">
        <v>104</v>
      </c>
      <c r="B52" t="s">
        <v>105</v>
      </c>
      <c r="C52" t="s">
        <v>80</v>
      </c>
      <c r="D52" t="s">
        <v>100</v>
      </c>
      <c r="E52" t="s">
        <v>102</v>
      </c>
      <c r="F52" t="s">
        <v>3</v>
      </c>
      <c r="G52" t="s">
        <v>109</v>
      </c>
      <c r="H52" s="62">
        <v>2025</v>
      </c>
      <c r="I52">
        <v>0</v>
      </c>
    </row>
    <row r="53" spans="1:9">
      <c r="A53" t="s">
        <v>104</v>
      </c>
      <c r="B53" t="s">
        <v>105</v>
      </c>
      <c r="C53" t="s">
        <v>80</v>
      </c>
      <c r="D53" t="s">
        <v>100</v>
      </c>
      <c r="E53" t="s">
        <v>111</v>
      </c>
      <c r="F53" t="s">
        <v>3</v>
      </c>
      <c r="G53" t="s">
        <v>109</v>
      </c>
      <c r="H53" s="62">
        <v>2025</v>
      </c>
      <c r="I53">
        <v>0</v>
      </c>
    </row>
    <row r="54" spans="1:9">
      <c r="A54" t="s">
        <v>104</v>
      </c>
      <c r="B54" t="s">
        <v>105</v>
      </c>
      <c r="C54" t="s">
        <v>80</v>
      </c>
      <c r="D54" t="s">
        <v>100</v>
      </c>
      <c r="E54" t="s">
        <v>112</v>
      </c>
      <c r="F54" t="s">
        <v>3</v>
      </c>
      <c r="G54" t="s">
        <v>109</v>
      </c>
      <c r="H54" s="62">
        <v>2025</v>
      </c>
      <c r="I54">
        <v>0</v>
      </c>
    </row>
    <row r="55" spans="1:9">
      <c r="A55" t="s">
        <v>104</v>
      </c>
      <c r="B55" t="s">
        <v>105</v>
      </c>
      <c r="C55" t="s">
        <v>80</v>
      </c>
      <c r="D55" t="s">
        <v>83</v>
      </c>
      <c r="E55" t="s">
        <v>84</v>
      </c>
      <c r="F55" t="s">
        <v>3</v>
      </c>
      <c r="G55" t="s">
        <v>109</v>
      </c>
      <c r="H55" s="62">
        <v>2025</v>
      </c>
      <c r="I55">
        <v>1.8112999999999999</v>
      </c>
    </row>
    <row r="56" spans="1:9">
      <c r="A56" t="s">
        <v>104</v>
      </c>
      <c r="B56" t="s">
        <v>105</v>
      </c>
      <c r="C56" t="s">
        <v>80</v>
      </c>
      <c r="D56" t="s">
        <v>83</v>
      </c>
      <c r="E56" t="s">
        <v>85</v>
      </c>
      <c r="F56" t="s">
        <v>3</v>
      </c>
      <c r="G56" t="s">
        <v>109</v>
      </c>
      <c r="H56" s="62">
        <v>2025</v>
      </c>
      <c r="I56">
        <v>1.7464</v>
      </c>
    </row>
    <row r="57" spans="1:9">
      <c r="A57" t="s">
        <v>104</v>
      </c>
      <c r="B57" t="s">
        <v>105</v>
      </c>
      <c r="C57" t="s">
        <v>80</v>
      </c>
      <c r="D57" t="s">
        <v>86</v>
      </c>
      <c r="E57" t="s">
        <v>106</v>
      </c>
      <c r="F57" t="s">
        <v>3</v>
      </c>
      <c r="G57" t="s">
        <v>109</v>
      </c>
      <c r="H57" s="62">
        <v>2025</v>
      </c>
      <c r="I57">
        <v>1.1695</v>
      </c>
    </row>
    <row r="58" spans="1:9">
      <c r="A58" t="s">
        <v>104</v>
      </c>
      <c r="B58" t="s">
        <v>105</v>
      </c>
      <c r="C58" t="s">
        <v>80</v>
      </c>
      <c r="D58" t="s">
        <v>86</v>
      </c>
      <c r="E58" t="s">
        <v>87</v>
      </c>
      <c r="F58" t="s">
        <v>3</v>
      </c>
      <c r="G58" t="s">
        <v>109</v>
      </c>
      <c r="H58" s="62">
        <v>2025</v>
      </c>
      <c r="I58">
        <v>0.878</v>
      </c>
    </row>
    <row r="59" spans="1:9">
      <c r="A59" t="s">
        <v>104</v>
      </c>
      <c r="B59" t="s">
        <v>105</v>
      </c>
      <c r="C59" t="s">
        <v>80</v>
      </c>
      <c r="D59" t="s">
        <v>103</v>
      </c>
      <c r="E59" t="s">
        <v>92</v>
      </c>
      <c r="F59" t="s">
        <v>3</v>
      </c>
      <c r="G59" t="s">
        <v>109</v>
      </c>
      <c r="H59" s="62">
        <v>2025</v>
      </c>
      <c r="I59">
        <v>1.6786000000000001</v>
      </c>
    </row>
    <row r="60" spans="1:9">
      <c r="A60" t="s">
        <v>104</v>
      </c>
      <c r="B60" t="s">
        <v>105</v>
      </c>
      <c r="C60" t="s">
        <v>80</v>
      </c>
      <c r="D60" t="s">
        <v>103</v>
      </c>
      <c r="E60" t="s">
        <v>89</v>
      </c>
      <c r="F60" t="s">
        <v>3</v>
      </c>
      <c r="G60" t="s">
        <v>109</v>
      </c>
      <c r="H60" s="62">
        <v>2025</v>
      </c>
      <c r="I60">
        <v>7.3963999999999999</v>
      </c>
    </row>
    <row r="61" spans="1:9">
      <c r="A61" t="s">
        <v>104</v>
      </c>
      <c r="B61" t="s">
        <v>105</v>
      </c>
      <c r="C61" t="s">
        <v>107</v>
      </c>
      <c r="D61" t="s">
        <v>107</v>
      </c>
      <c r="E61" t="s">
        <v>107</v>
      </c>
      <c r="F61" t="s">
        <v>3</v>
      </c>
      <c r="G61" t="s">
        <v>109</v>
      </c>
      <c r="H61" s="62">
        <v>2026</v>
      </c>
      <c r="I61">
        <v>65.588300000000004</v>
      </c>
    </row>
    <row r="62" spans="1:9">
      <c r="A62" t="s">
        <v>104</v>
      </c>
      <c r="B62" t="s">
        <v>105</v>
      </c>
      <c r="C62" t="s">
        <v>107</v>
      </c>
      <c r="D62" t="s">
        <v>108</v>
      </c>
      <c r="E62" t="s">
        <v>108</v>
      </c>
      <c r="F62" t="s">
        <v>3</v>
      </c>
      <c r="G62" t="s">
        <v>109</v>
      </c>
      <c r="H62" s="62">
        <v>2026</v>
      </c>
      <c r="I62">
        <v>1.9094</v>
      </c>
    </row>
    <row r="63" spans="1:9">
      <c r="A63" t="s">
        <v>104</v>
      </c>
      <c r="B63" t="s">
        <v>105</v>
      </c>
      <c r="C63" t="s">
        <v>80</v>
      </c>
      <c r="D63" t="s">
        <v>80</v>
      </c>
      <c r="E63" t="s">
        <v>80</v>
      </c>
      <c r="F63" t="s">
        <v>3</v>
      </c>
      <c r="G63" t="s">
        <v>109</v>
      </c>
      <c r="H63" s="62">
        <v>2026</v>
      </c>
      <c r="I63">
        <v>63.678899999999999</v>
      </c>
    </row>
    <row r="64" spans="1:9">
      <c r="A64" t="s">
        <v>104</v>
      </c>
      <c r="B64" t="s">
        <v>105</v>
      </c>
      <c r="C64" t="s">
        <v>80</v>
      </c>
      <c r="D64" t="s">
        <v>89</v>
      </c>
      <c r="E64" t="s">
        <v>90</v>
      </c>
      <c r="F64" t="s">
        <v>3</v>
      </c>
      <c r="G64" t="s">
        <v>109</v>
      </c>
      <c r="H64" s="62">
        <v>2026</v>
      </c>
      <c r="I64">
        <v>14.0238</v>
      </c>
    </row>
    <row r="65" spans="1:9">
      <c r="A65" t="s">
        <v>104</v>
      </c>
      <c r="B65" t="s">
        <v>105</v>
      </c>
      <c r="C65" t="s">
        <v>80</v>
      </c>
      <c r="D65" t="s">
        <v>89</v>
      </c>
      <c r="E65" t="s">
        <v>91</v>
      </c>
      <c r="F65" t="s">
        <v>3</v>
      </c>
      <c r="G65" t="s">
        <v>109</v>
      </c>
      <c r="H65" s="62">
        <v>2026</v>
      </c>
      <c r="I65">
        <v>-0.50529999999999997</v>
      </c>
    </row>
    <row r="66" spans="1:9">
      <c r="A66" t="s">
        <v>104</v>
      </c>
      <c r="B66" t="s">
        <v>105</v>
      </c>
      <c r="C66" t="s">
        <v>80</v>
      </c>
      <c r="D66" t="s">
        <v>92</v>
      </c>
      <c r="E66" t="s">
        <v>93</v>
      </c>
      <c r="F66" t="s">
        <v>3</v>
      </c>
      <c r="G66" t="s">
        <v>109</v>
      </c>
      <c r="H66" s="62">
        <v>2026</v>
      </c>
      <c r="I66">
        <v>-1.6695</v>
      </c>
    </row>
    <row r="67" spans="1:9">
      <c r="A67" t="s">
        <v>104</v>
      </c>
      <c r="B67" t="s">
        <v>105</v>
      </c>
      <c r="C67" t="s">
        <v>80</v>
      </c>
      <c r="D67" t="s">
        <v>92</v>
      </c>
      <c r="E67" t="s">
        <v>94</v>
      </c>
      <c r="F67" t="s">
        <v>3</v>
      </c>
      <c r="G67" t="s">
        <v>109</v>
      </c>
      <c r="H67" s="62">
        <v>2026</v>
      </c>
      <c r="I67">
        <v>28.78</v>
      </c>
    </row>
    <row r="68" spans="1:9">
      <c r="A68" t="s">
        <v>104</v>
      </c>
      <c r="B68" t="s">
        <v>105</v>
      </c>
      <c r="C68" t="s">
        <v>80</v>
      </c>
      <c r="D68" t="s">
        <v>92</v>
      </c>
      <c r="E68" t="s">
        <v>110</v>
      </c>
      <c r="F68" t="s">
        <v>3</v>
      </c>
      <c r="G68" t="s">
        <v>109</v>
      </c>
      <c r="H68" s="62">
        <v>2026</v>
      </c>
      <c r="I68">
        <v>0</v>
      </c>
    </row>
    <row r="69" spans="1:9">
      <c r="A69" t="s">
        <v>104</v>
      </c>
      <c r="B69" t="s">
        <v>105</v>
      </c>
      <c r="C69" t="s">
        <v>80</v>
      </c>
      <c r="D69" t="s">
        <v>92</v>
      </c>
      <c r="E69" t="s">
        <v>95</v>
      </c>
      <c r="F69" t="s">
        <v>3</v>
      </c>
      <c r="G69" t="s">
        <v>109</v>
      </c>
      <c r="H69" s="62">
        <v>2026</v>
      </c>
      <c r="I69">
        <v>17.5562</v>
      </c>
    </row>
    <row r="70" spans="1:9">
      <c r="A70" t="s">
        <v>104</v>
      </c>
      <c r="B70" t="s">
        <v>105</v>
      </c>
      <c r="C70" t="s">
        <v>80</v>
      </c>
      <c r="D70" t="s">
        <v>96</v>
      </c>
      <c r="E70" t="s">
        <v>92</v>
      </c>
      <c r="F70" t="s">
        <v>3</v>
      </c>
      <c r="G70" t="s">
        <v>109</v>
      </c>
      <c r="H70" s="62">
        <v>2026</v>
      </c>
      <c r="I70">
        <v>1.3611</v>
      </c>
    </row>
    <row r="71" spans="1:9">
      <c r="A71" t="s">
        <v>104</v>
      </c>
      <c r="B71" t="s">
        <v>105</v>
      </c>
      <c r="C71" t="s">
        <v>80</v>
      </c>
      <c r="D71" t="s">
        <v>96</v>
      </c>
      <c r="E71" t="s">
        <v>89</v>
      </c>
      <c r="F71" t="s">
        <v>3</v>
      </c>
      <c r="G71" t="s">
        <v>109</v>
      </c>
      <c r="H71" s="62">
        <v>2026</v>
      </c>
      <c r="I71">
        <v>6.3E-2</v>
      </c>
    </row>
    <row r="72" spans="1:9">
      <c r="A72" t="s">
        <v>104</v>
      </c>
      <c r="B72" t="s">
        <v>105</v>
      </c>
      <c r="C72" t="s">
        <v>80</v>
      </c>
      <c r="D72" t="s">
        <v>97</v>
      </c>
      <c r="E72" t="s">
        <v>98</v>
      </c>
      <c r="F72" t="s">
        <v>3</v>
      </c>
      <c r="G72" t="s">
        <v>109</v>
      </c>
      <c r="H72" s="62">
        <v>2026</v>
      </c>
      <c r="I72">
        <v>0.47039999999999998</v>
      </c>
    </row>
    <row r="73" spans="1:9">
      <c r="A73" t="s">
        <v>104</v>
      </c>
      <c r="B73" t="s">
        <v>105</v>
      </c>
      <c r="C73" t="s">
        <v>80</v>
      </c>
      <c r="D73" t="s">
        <v>97</v>
      </c>
      <c r="E73" t="s">
        <v>99</v>
      </c>
      <c r="F73" t="s">
        <v>3</v>
      </c>
      <c r="G73" t="s">
        <v>109</v>
      </c>
      <c r="H73" s="62">
        <v>2026</v>
      </c>
      <c r="I73">
        <v>0</v>
      </c>
    </row>
    <row r="74" spans="1:9">
      <c r="A74" t="s">
        <v>104</v>
      </c>
      <c r="B74" t="s">
        <v>105</v>
      </c>
      <c r="C74" t="s">
        <v>80</v>
      </c>
      <c r="D74" t="s">
        <v>100</v>
      </c>
      <c r="E74" t="s">
        <v>101</v>
      </c>
      <c r="F74" t="s">
        <v>3</v>
      </c>
      <c r="G74" t="s">
        <v>109</v>
      </c>
      <c r="H74" s="62">
        <v>2026</v>
      </c>
      <c r="I74">
        <v>2.4299999999999999E-2</v>
      </c>
    </row>
    <row r="75" spans="1:9">
      <c r="A75" t="s">
        <v>104</v>
      </c>
      <c r="B75" t="s">
        <v>105</v>
      </c>
      <c r="C75" t="s">
        <v>80</v>
      </c>
      <c r="D75" t="s">
        <v>100</v>
      </c>
      <c r="E75" t="s">
        <v>102</v>
      </c>
      <c r="F75" t="s">
        <v>3</v>
      </c>
      <c r="G75" t="s">
        <v>109</v>
      </c>
      <c r="H75" s="62">
        <v>2026</v>
      </c>
      <c r="I75">
        <v>0</v>
      </c>
    </row>
    <row r="76" spans="1:9">
      <c r="A76" t="s">
        <v>104</v>
      </c>
      <c r="B76" t="s">
        <v>105</v>
      </c>
      <c r="C76" t="s">
        <v>80</v>
      </c>
      <c r="D76" t="s">
        <v>100</v>
      </c>
      <c r="E76" t="s">
        <v>111</v>
      </c>
      <c r="F76" t="s">
        <v>3</v>
      </c>
      <c r="G76" t="s">
        <v>109</v>
      </c>
      <c r="H76" s="62">
        <v>2026</v>
      </c>
      <c r="I76">
        <v>0</v>
      </c>
    </row>
    <row r="77" spans="1:9">
      <c r="A77" t="s">
        <v>104</v>
      </c>
      <c r="B77" t="s">
        <v>105</v>
      </c>
      <c r="C77" t="s">
        <v>80</v>
      </c>
      <c r="D77" t="s">
        <v>100</v>
      </c>
      <c r="E77" t="s">
        <v>112</v>
      </c>
      <c r="F77" t="s">
        <v>3</v>
      </c>
      <c r="G77" t="s">
        <v>109</v>
      </c>
      <c r="H77" s="62">
        <v>2026</v>
      </c>
      <c r="I77">
        <v>0</v>
      </c>
    </row>
    <row r="78" spans="1:9">
      <c r="A78" t="s">
        <v>104</v>
      </c>
      <c r="B78" t="s">
        <v>105</v>
      </c>
      <c r="C78" t="s">
        <v>80</v>
      </c>
      <c r="D78" t="s">
        <v>83</v>
      </c>
      <c r="E78" t="s">
        <v>84</v>
      </c>
      <c r="F78" t="s">
        <v>3</v>
      </c>
      <c r="G78" t="s">
        <v>109</v>
      </c>
      <c r="H78" s="62">
        <v>2026</v>
      </c>
      <c r="I78">
        <v>1.8191999999999999</v>
      </c>
    </row>
    <row r="79" spans="1:9">
      <c r="A79" t="s">
        <v>104</v>
      </c>
      <c r="B79" t="s">
        <v>105</v>
      </c>
      <c r="C79" t="s">
        <v>80</v>
      </c>
      <c r="D79" t="s">
        <v>83</v>
      </c>
      <c r="E79" t="s">
        <v>85</v>
      </c>
      <c r="F79" t="s">
        <v>3</v>
      </c>
      <c r="G79" t="s">
        <v>109</v>
      </c>
      <c r="H79" s="62">
        <v>2026</v>
      </c>
      <c r="I79">
        <v>1.7556</v>
      </c>
    </row>
    <row r="80" spans="1:9">
      <c r="A80" t="s">
        <v>104</v>
      </c>
      <c r="B80" t="s">
        <v>105</v>
      </c>
      <c r="C80" t="s">
        <v>80</v>
      </c>
      <c r="D80" t="s">
        <v>86</v>
      </c>
      <c r="E80" t="s">
        <v>106</v>
      </c>
      <c r="F80" t="s">
        <v>3</v>
      </c>
      <c r="G80" t="s">
        <v>109</v>
      </c>
      <c r="H80" s="62">
        <v>2026</v>
      </c>
      <c r="I80">
        <v>1.1760999999999999</v>
      </c>
    </row>
    <row r="81" spans="1:9">
      <c r="A81" t="s">
        <v>104</v>
      </c>
      <c r="B81" t="s">
        <v>105</v>
      </c>
      <c r="C81" t="s">
        <v>80</v>
      </c>
      <c r="D81" t="s">
        <v>86</v>
      </c>
      <c r="E81" t="s">
        <v>87</v>
      </c>
      <c r="F81" t="s">
        <v>3</v>
      </c>
      <c r="G81" t="s">
        <v>109</v>
      </c>
      <c r="H81" s="62">
        <v>2026</v>
      </c>
      <c r="I81">
        <v>0.99870000000000003</v>
      </c>
    </row>
    <row r="82" spans="1:9">
      <c r="A82" t="s">
        <v>104</v>
      </c>
      <c r="B82" t="s">
        <v>105</v>
      </c>
      <c r="C82" t="s">
        <v>80</v>
      </c>
      <c r="D82" t="s">
        <v>103</v>
      </c>
      <c r="E82" t="s">
        <v>92</v>
      </c>
      <c r="F82" t="s">
        <v>3</v>
      </c>
      <c r="G82" t="s">
        <v>109</v>
      </c>
      <c r="H82" s="62">
        <v>2026</v>
      </c>
      <c r="I82">
        <v>1.8104</v>
      </c>
    </row>
    <row r="83" spans="1:9">
      <c r="A83" t="s">
        <v>104</v>
      </c>
      <c r="B83" t="s">
        <v>105</v>
      </c>
      <c r="C83" t="s">
        <v>80</v>
      </c>
      <c r="D83" t="s">
        <v>103</v>
      </c>
      <c r="E83" t="s">
        <v>89</v>
      </c>
      <c r="F83" t="s">
        <v>3</v>
      </c>
      <c r="G83" t="s">
        <v>109</v>
      </c>
      <c r="H83" s="62">
        <v>2026</v>
      </c>
      <c r="I83">
        <v>8.2758000000000003</v>
      </c>
    </row>
    <row r="84" spans="1:9">
      <c r="A84" t="s">
        <v>104</v>
      </c>
      <c r="B84" t="s">
        <v>105</v>
      </c>
      <c r="C84" t="s">
        <v>107</v>
      </c>
      <c r="D84" t="s">
        <v>107</v>
      </c>
      <c r="E84" t="s">
        <v>107</v>
      </c>
      <c r="F84" t="s">
        <v>3</v>
      </c>
      <c r="G84" t="s">
        <v>109</v>
      </c>
      <c r="H84" s="62">
        <v>2027</v>
      </c>
      <c r="I84">
        <v>66.045900000000003</v>
      </c>
    </row>
    <row r="85" spans="1:9">
      <c r="A85" t="s">
        <v>104</v>
      </c>
      <c r="B85" t="s">
        <v>105</v>
      </c>
      <c r="C85" t="s">
        <v>107</v>
      </c>
      <c r="D85" t="s">
        <v>108</v>
      </c>
      <c r="E85" t="s">
        <v>108</v>
      </c>
      <c r="F85" t="s">
        <v>3</v>
      </c>
      <c r="G85" t="s">
        <v>109</v>
      </c>
      <c r="H85" s="62">
        <v>2027</v>
      </c>
      <c r="I85">
        <v>1.7545999999999999</v>
      </c>
    </row>
    <row r="86" spans="1:9">
      <c r="A86" t="s">
        <v>104</v>
      </c>
      <c r="B86" t="s">
        <v>105</v>
      </c>
      <c r="C86" t="s">
        <v>80</v>
      </c>
      <c r="D86" t="s">
        <v>80</v>
      </c>
      <c r="E86" t="s">
        <v>80</v>
      </c>
      <c r="F86" t="s">
        <v>3</v>
      </c>
      <c r="G86" t="s">
        <v>109</v>
      </c>
      <c r="H86" s="62">
        <v>2027</v>
      </c>
      <c r="I86">
        <v>64.291300000000007</v>
      </c>
    </row>
    <row r="87" spans="1:9">
      <c r="A87" t="s">
        <v>104</v>
      </c>
      <c r="B87" t="s">
        <v>105</v>
      </c>
      <c r="C87" t="s">
        <v>80</v>
      </c>
      <c r="D87" t="s">
        <v>89</v>
      </c>
      <c r="E87" t="s">
        <v>90</v>
      </c>
      <c r="F87" t="s">
        <v>3</v>
      </c>
      <c r="G87" t="s">
        <v>109</v>
      </c>
      <c r="H87" s="62">
        <v>2027</v>
      </c>
      <c r="I87">
        <v>13.075699999999999</v>
      </c>
    </row>
    <row r="88" spans="1:9">
      <c r="A88" t="s">
        <v>104</v>
      </c>
      <c r="B88" t="s">
        <v>105</v>
      </c>
      <c r="C88" t="s">
        <v>80</v>
      </c>
      <c r="D88" t="s">
        <v>89</v>
      </c>
      <c r="E88" t="s">
        <v>91</v>
      </c>
      <c r="F88" t="s">
        <v>3</v>
      </c>
      <c r="G88" t="s">
        <v>109</v>
      </c>
      <c r="H88" s="62">
        <v>2027</v>
      </c>
      <c r="I88">
        <v>-0.50690000000000002</v>
      </c>
    </row>
    <row r="89" spans="1:9">
      <c r="A89" t="s">
        <v>104</v>
      </c>
      <c r="B89" t="s">
        <v>105</v>
      </c>
      <c r="C89" t="s">
        <v>80</v>
      </c>
      <c r="D89" t="s">
        <v>92</v>
      </c>
      <c r="E89" t="s">
        <v>93</v>
      </c>
      <c r="F89" t="s">
        <v>3</v>
      </c>
      <c r="G89" t="s">
        <v>109</v>
      </c>
      <c r="H89" s="62">
        <v>2027</v>
      </c>
      <c r="I89">
        <v>-1.7950999999999999</v>
      </c>
    </row>
    <row r="90" spans="1:9">
      <c r="A90" t="s">
        <v>104</v>
      </c>
      <c r="B90" t="s">
        <v>105</v>
      </c>
      <c r="C90" t="s">
        <v>80</v>
      </c>
      <c r="D90" t="s">
        <v>92</v>
      </c>
      <c r="E90" t="s">
        <v>94</v>
      </c>
      <c r="F90" t="s">
        <v>3</v>
      </c>
      <c r="G90" t="s">
        <v>109</v>
      </c>
      <c r="H90" s="62">
        <v>2027</v>
      </c>
      <c r="I90">
        <v>28.8779</v>
      </c>
    </row>
    <row r="91" spans="1:9">
      <c r="A91" t="s">
        <v>104</v>
      </c>
      <c r="B91" t="s">
        <v>105</v>
      </c>
      <c r="C91" t="s">
        <v>80</v>
      </c>
      <c r="D91" t="s">
        <v>92</v>
      </c>
      <c r="E91" t="s">
        <v>110</v>
      </c>
      <c r="F91" t="s">
        <v>3</v>
      </c>
      <c r="G91" t="s">
        <v>109</v>
      </c>
      <c r="H91" s="62">
        <v>2027</v>
      </c>
      <c r="I91">
        <v>0</v>
      </c>
    </row>
    <row r="92" spans="1:9">
      <c r="A92" t="s">
        <v>104</v>
      </c>
      <c r="B92" t="s">
        <v>105</v>
      </c>
      <c r="C92" t="s">
        <v>80</v>
      </c>
      <c r="D92" t="s">
        <v>92</v>
      </c>
      <c r="E92" t="s">
        <v>95</v>
      </c>
      <c r="F92" t="s">
        <v>3</v>
      </c>
      <c r="G92" t="s">
        <v>109</v>
      </c>
      <c r="H92" s="62">
        <v>2027</v>
      </c>
      <c r="I92">
        <v>17.430199999999999</v>
      </c>
    </row>
    <row r="93" spans="1:9">
      <c r="A93" t="s">
        <v>104</v>
      </c>
      <c r="B93" t="s">
        <v>105</v>
      </c>
      <c r="C93" t="s">
        <v>80</v>
      </c>
      <c r="D93" t="s">
        <v>96</v>
      </c>
      <c r="E93" t="s">
        <v>92</v>
      </c>
      <c r="F93" t="s">
        <v>3</v>
      </c>
      <c r="G93" t="s">
        <v>109</v>
      </c>
      <c r="H93" s="62">
        <v>2027</v>
      </c>
      <c r="I93">
        <v>2.6429999999999998</v>
      </c>
    </row>
    <row r="94" spans="1:9">
      <c r="A94" t="s">
        <v>104</v>
      </c>
      <c r="B94" t="s">
        <v>105</v>
      </c>
      <c r="C94" t="s">
        <v>80</v>
      </c>
      <c r="D94" t="s">
        <v>96</v>
      </c>
      <c r="E94" t="s">
        <v>89</v>
      </c>
      <c r="F94" t="s">
        <v>3</v>
      </c>
      <c r="G94" t="s">
        <v>109</v>
      </c>
      <c r="H94" s="62">
        <v>2027</v>
      </c>
      <c r="I94">
        <v>0.15939999999999999</v>
      </c>
    </row>
    <row r="95" spans="1:9">
      <c r="A95" t="s">
        <v>104</v>
      </c>
      <c r="B95" t="s">
        <v>105</v>
      </c>
      <c r="C95" t="s">
        <v>80</v>
      </c>
      <c r="D95" t="s">
        <v>97</v>
      </c>
      <c r="E95" t="s">
        <v>98</v>
      </c>
      <c r="F95" t="s">
        <v>3</v>
      </c>
      <c r="G95" t="s">
        <v>109</v>
      </c>
      <c r="H95" s="62">
        <v>2027</v>
      </c>
      <c r="I95">
        <v>0.73660000000000003</v>
      </c>
    </row>
    <row r="96" spans="1:9">
      <c r="A96" t="s">
        <v>104</v>
      </c>
      <c r="B96" t="s">
        <v>105</v>
      </c>
      <c r="C96" t="s">
        <v>80</v>
      </c>
      <c r="D96" t="s">
        <v>97</v>
      </c>
      <c r="E96" t="s">
        <v>99</v>
      </c>
      <c r="F96" t="s">
        <v>3</v>
      </c>
      <c r="G96" t="s">
        <v>109</v>
      </c>
      <c r="H96" s="62">
        <v>2027</v>
      </c>
      <c r="I96">
        <v>0</v>
      </c>
    </row>
    <row r="97" spans="1:9">
      <c r="A97" t="s">
        <v>104</v>
      </c>
      <c r="B97" t="s">
        <v>105</v>
      </c>
      <c r="C97" t="s">
        <v>80</v>
      </c>
      <c r="D97" t="s">
        <v>100</v>
      </c>
      <c r="E97" t="s">
        <v>101</v>
      </c>
      <c r="F97" t="s">
        <v>3</v>
      </c>
      <c r="G97" t="s">
        <v>109</v>
      </c>
      <c r="H97" s="62">
        <v>2027</v>
      </c>
      <c r="I97">
        <v>4.4600000000000001E-2</v>
      </c>
    </row>
    <row r="98" spans="1:9">
      <c r="A98" t="s">
        <v>104</v>
      </c>
      <c r="B98" t="s">
        <v>105</v>
      </c>
      <c r="C98" t="s">
        <v>80</v>
      </c>
      <c r="D98" t="s">
        <v>100</v>
      </c>
      <c r="E98" t="s">
        <v>102</v>
      </c>
      <c r="F98" t="s">
        <v>3</v>
      </c>
      <c r="G98" t="s">
        <v>109</v>
      </c>
      <c r="H98" s="62">
        <v>2027</v>
      </c>
      <c r="I98">
        <v>0</v>
      </c>
    </row>
    <row r="99" spans="1:9">
      <c r="A99" t="s">
        <v>104</v>
      </c>
      <c r="B99" t="s">
        <v>105</v>
      </c>
      <c r="C99" t="s">
        <v>80</v>
      </c>
      <c r="D99" t="s">
        <v>100</v>
      </c>
      <c r="E99" t="s">
        <v>111</v>
      </c>
      <c r="F99" t="s">
        <v>3</v>
      </c>
      <c r="G99" t="s">
        <v>109</v>
      </c>
      <c r="H99" s="62">
        <v>2027</v>
      </c>
      <c r="I99">
        <v>0</v>
      </c>
    </row>
    <row r="100" spans="1:9">
      <c r="A100" t="s">
        <v>104</v>
      </c>
      <c r="B100" t="s">
        <v>105</v>
      </c>
      <c r="C100" t="s">
        <v>80</v>
      </c>
      <c r="D100" t="s">
        <v>100</v>
      </c>
      <c r="E100" t="s">
        <v>112</v>
      </c>
      <c r="F100" t="s">
        <v>3</v>
      </c>
      <c r="G100" t="s">
        <v>109</v>
      </c>
      <c r="H100" s="62">
        <v>2027</v>
      </c>
      <c r="I100">
        <v>0</v>
      </c>
    </row>
    <row r="101" spans="1:9">
      <c r="A101" t="s">
        <v>104</v>
      </c>
      <c r="B101" t="s">
        <v>105</v>
      </c>
      <c r="C101" t="s">
        <v>80</v>
      </c>
      <c r="D101" t="s">
        <v>83</v>
      </c>
      <c r="E101" t="s">
        <v>84</v>
      </c>
      <c r="F101" t="s">
        <v>3</v>
      </c>
      <c r="G101" t="s">
        <v>109</v>
      </c>
      <c r="H101" s="62">
        <v>2027</v>
      </c>
      <c r="I101">
        <v>1.8514999999999999</v>
      </c>
    </row>
    <row r="102" spans="1:9">
      <c r="A102" t="s">
        <v>104</v>
      </c>
      <c r="B102" t="s">
        <v>105</v>
      </c>
      <c r="C102" t="s">
        <v>80</v>
      </c>
      <c r="D102" t="s">
        <v>83</v>
      </c>
      <c r="E102" t="s">
        <v>85</v>
      </c>
      <c r="F102" t="s">
        <v>3</v>
      </c>
      <c r="G102" t="s">
        <v>109</v>
      </c>
      <c r="H102" s="62">
        <v>2027</v>
      </c>
      <c r="I102">
        <v>1.7744</v>
      </c>
    </row>
    <row r="103" spans="1:9">
      <c r="A103" t="s">
        <v>104</v>
      </c>
      <c r="B103" t="s">
        <v>105</v>
      </c>
      <c r="C103" t="s">
        <v>80</v>
      </c>
      <c r="D103" t="s">
        <v>86</v>
      </c>
      <c r="E103" t="s">
        <v>106</v>
      </c>
      <c r="F103" t="s">
        <v>3</v>
      </c>
      <c r="G103" t="s">
        <v>109</v>
      </c>
      <c r="H103" s="62">
        <v>2027</v>
      </c>
      <c r="I103">
        <v>1.1826000000000001</v>
      </c>
    </row>
    <row r="104" spans="1:9">
      <c r="A104" t="s">
        <v>104</v>
      </c>
      <c r="B104" t="s">
        <v>105</v>
      </c>
      <c r="C104" t="s">
        <v>80</v>
      </c>
      <c r="D104" t="s">
        <v>86</v>
      </c>
      <c r="E104" t="s">
        <v>87</v>
      </c>
      <c r="F104" t="s">
        <v>3</v>
      </c>
      <c r="G104" t="s">
        <v>109</v>
      </c>
      <c r="H104" s="62">
        <v>2027</v>
      </c>
      <c r="I104">
        <v>1.1193</v>
      </c>
    </row>
    <row r="105" spans="1:9">
      <c r="A105" t="s">
        <v>104</v>
      </c>
      <c r="B105" t="s">
        <v>105</v>
      </c>
      <c r="C105" t="s">
        <v>80</v>
      </c>
      <c r="D105" t="s">
        <v>103</v>
      </c>
      <c r="E105" t="s">
        <v>92</v>
      </c>
      <c r="F105" t="s">
        <v>3</v>
      </c>
      <c r="G105" t="s">
        <v>109</v>
      </c>
      <c r="H105" s="62">
        <v>2027</v>
      </c>
      <c r="I105">
        <v>1.9439</v>
      </c>
    </row>
    <row r="106" spans="1:9">
      <c r="A106" t="s">
        <v>104</v>
      </c>
      <c r="B106" t="s">
        <v>105</v>
      </c>
      <c r="C106" t="s">
        <v>80</v>
      </c>
      <c r="D106" t="s">
        <v>103</v>
      </c>
      <c r="E106" t="s">
        <v>89</v>
      </c>
      <c r="F106" t="s">
        <v>3</v>
      </c>
      <c r="G106" t="s">
        <v>109</v>
      </c>
      <c r="H106" s="62">
        <v>2027</v>
      </c>
      <c r="I106">
        <v>9.1623999999999999</v>
      </c>
    </row>
    <row r="107" spans="1:9">
      <c r="A107" t="s">
        <v>104</v>
      </c>
      <c r="B107" t="s">
        <v>105</v>
      </c>
      <c r="C107" t="s">
        <v>107</v>
      </c>
      <c r="D107" t="s">
        <v>107</v>
      </c>
      <c r="E107" t="s">
        <v>107</v>
      </c>
      <c r="F107" t="s">
        <v>3</v>
      </c>
      <c r="G107" t="s">
        <v>109</v>
      </c>
      <c r="H107" s="62">
        <v>2028</v>
      </c>
      <c r="I107">
        <v>66.611500000000007</v>
      </c>
    </row>
    <row r="108" spans="1:9">
      <c r="A108" t="s">
        <v>104</v>
      </c>
      <c r="B108" t="s">
        <v>105</v>
      </c>
      <c r="C108" t="s">
        <v>107</v>
      </c>
      <c r="D108" t="s">
        <v>108</v>
      </c>
      <c r="E108" t="s">
        <v>108</v>
      </c>
      <c r="F108" t="s">
        <v>3</v>
      </c>
      <c r="G108" t="s">
        <v>109</v>
      </c>
      <c r="H108" s="62">
        <v>2028</v>
      </c>
      <c r="I108">
        <v>1.6444000000000001</v>
      </c>
    </row>
    <row r="109" spans="1:9">
      <c r="A109" t="s">
        <v>104</v>
      </c>
      <c r="B109" t="s">
        <v>105</v>
      </c>
      <c r="C109" t="s">
        <v>80</v>
      </c>
      <c r="D109" t="s">
        <v>80</v>
      </c>
      <c r="E109" t="s">
        <v>80</v>
      </c>
      <c r="F109" t="s">
        <v>3</v>
      </c>
      <c r="G109" t="s">
        <v>109</v>
      </c>
      <c r="H109" s="62">
        <v>2028</v>
      </c>
      <c r="I109">
        <v>64.967100000000002</v>
      </c>
    </row>
    <row r="110" spans="1:9">
      <c r="A110" t="s">
        <v>104</v>
      </c>
      <c r="B110" t="s">
        <v>105</v>
      </c>
      <c r="C110" t="s">
        <v>80</v>
      </c>
      <c r="D110" t="s">
        <v>89</v>
      </c>
      <c r="E110" t="s">
        <v>90</v>
      </c>
      <c r="F110" t="s">
        <v>3</v>
      </c>
      <c r="G110" t="s">
        <v>109</v>
      </c>
      <c r="H110" s="62">
        <v>2028</v>
      </c>
      <c r="I110">
        <v>12.1495</v>
      </c>
    </row>
    <row r="111" spans="1:9">
      <c r="A111" t="s">
        <v>104</v>
      </c>
      <c r="B111" t="s">
        <v>105</v>
      </c>
      <c r="C111" t="s">
        <v>80</v>
      </c>
      <c r="D111" t="s">
        <v>89</v>
      </c>
      <c r="E111" t="s">
        <v>91</v>
      </c>
      <c r="F111" t="s">
        <v>3</v>
      </c>
      <c r="G111" t="s">
        <v>109</v>
      </c>
      <c r="H111" s="62">
        <v>2028</v>
      </c>
      <c r="I111">
        <v>-0.505</v>
      </c>
    </row>
    <row r="112" spans="1:9">
      <c r="A112" t="s">
        <v>104</v>
      </c>
      <c r="B112" t="s">
        <v>105</v>
      </c>
      <c r="C112" t="s">
        <v>80</v>
      </c>
      <c r="D112" t="s">
        <v>92</v>
      </c>
      <c r="E112" t="s">
        <v>93</v>
      </c>
      <c r="F112" t="s">
        <v>3</v>
      </c>
      <c r="G112" t="s">
        <v>109</v>
      </c>
      <c r="H112" s="62">
        <v>2028</v>
      </c>
      <c r="I112">
        <v>-1.9309000000000001</v>
      </c>
    </row>
    <row r="113" spans="1:9">
      <c r="A113" t="s">
        <v>104</v>
      </c>
      <c r="B113" t="s">
        <v>105</v>
      </c>
      <c r="C113" t="s">
        <v>80</v>
      </c>
      <c r="D113" t="s">
        <v>92</v>
      </c>
      <c r="E113" t="s">
        <v>94</v>
      </c>
      <c r="F113" t="s">
        <v>3</v>
      </c>
      <c r="G113" t="s">
        <v>109</v>
      </c>
      <c r="H113" s="62">
        <v>2028</v>
      </c>
      <c r="I113">
        <v>28.8642</v>
      </c>
    </row>
    <row r="114" spans="1:9">
      <c r="A114" t="s">
        <v>104</v>
      </c>
      <c r="B114" t="s">
        <v>105</v>
      </c>
      <c r="C114" t="s">
        <v>80</v>
      </c>
      <c r="D114" t="s">
        <v>92</v>
      </c>
      <c r="E114" t="s">
        <v>110</v>
      </c>
      <c r="F114" t="s">
        <v>3</v>
      </c>
      <c r="G114" t="s">
        <v>109</v>
      </c>
      <c r="H114" s="62">
        <v>2028</v>
      </c>
      <c r="I114">
        <v>0</v>
      </c>
    </row>
    <row r="115" spans="1:9">
      <c r="A115" t="s">
        <v>104</v>
      </c>
      <c r="B115" t="s">
        <v>105</v>
      </c>
      <c r="C115" t="s">
        <v>80</v>
      </c>
      <c r="D115" t="s">
        <v>92</v>
      </c>
      <c r="E115" t="s">
        <v>95</v>
      </c>
      <c r="F115" t="s">
        <v>3</v>
      </c>
      <c r="G115" t="s">
        <v>109</v>
      </c>
      <c r="H115" s="62">
        <v>2028</v>
      </c>
      <c r="I115">
        <v>17.590599999999998</v>
      </c>
    </row>
    <row r="116" spans="1:9">
      <c r="A116" t="s">
        <v>104</v>
      </c>
      <c r="B116" t="s">
        <v>105</v>
      </c>
      <c r="C116" t="s">
        <v>80</v>
      </c>
      <c r="D116" t="s">
        <v>96</v>
      </c>
      <c r="E116" t="s">
        <v>92</v>
      </c>
      <c r="F116" t="s">
        <v>3</v>
      </c>
      <c r="G116" t="s">
        <v>109</v>
      </c>
      <c r="H116" s="62">
        <v>2028</v>
      </c>
      <c r="I116">
        <v>3.5619000000000001</v>
      </c>
    </row>
    <row r="117" spans="1:9">
      <c r="A117" t="s">
        <v>104</v>
      </c>
      <c r="B117" t="s">
        <v>105</v>
      </c>
      <c r="C117" t="s">
        <v>80</v>
      </c>
      <c r="D117" t="s">
        <v>96</v>
      </c>
      <c r="E117" t="s">
        <v>89</v>
      </c>
      <c r="F117" t="s">
        <v>3</v>
      </c>
      <c r="G117" t="s">
        <v>109</v>
      </c>
      <c r="H117" s="62">
        <v>2028</v>
      </c>
      <c r="I117">
        <v>0.30209999999999998</v>
      </c>
    </row>
    <row r="118" spans="1:9">
      <c r="A118" t="s">
        <v>104</v>
      </c>
      <c r="B118" t="s">
        <v>105</v>
      </c>
      <c r="C118" t="s">
        <v>80</v>
      </c>
      <c r="D118" t="s">
        <v>97</v>
      </c>
      <c r="E118" t="s">
        <v>98</v>
      </c>
      <c r="F118" t="s">
        <v>3</v>
      </c>
      <c r="G118" t="s">
        <v>109</v>
      </c>
      <c r="H118" s="62">
        <v>2028</v>
      </c>
      <c r="I118">
        <v>1.0814999999999999</v>
      </c>
    </row>
    <row r="119" spans="1:9">
      <c r="A119" t="s">
        <v>104</v>
      </c>
      <c r="B119" t="s">
        <v>105</v>
      </c>
      <c r="C119" t="s">
        <v>80</v>
      </c>
      <c r="D119" t="s">
        <v>97</v>
      </c>
      <c r="E119" t="s">
        <v>99</v>
      </c>
      <c r="F119" t="s">
        <v>3</v>
      </c>
      <c r="G119" t="s">
        <v>109</v>
      </c>
      <c r="H119" s="62">
        <v>2028</v>
      </c>
      <c r="I119">
        <v>0</v>
      </c>
    </row>
    <row r="120" spans="1:9">
      <c r="A120" t="s">
        <v>104</v>
      </c>
      <c r="B120" t="s">
        <v>105</v>
      </c>
      <c r="C120" t="s">
        <v>80</v>
      </c>
      <c r="D120" t="s">
        <v>100</v>
      </c>
      <c r="E120" t="s">
        <v>101</v>
      </c>
      <c r="F120" t="s">
        <v>3</v>
      </c>
      <c r="G120" t="s">
        <v>109</v>
      </c>
      <c r="H120" s="62">
        <v>2028</v>
      </c>
      <c r="I120">
        <v>0.19070000000000001</v>
      </c>
    </row>
    <row r="121" spans="1:9">
      <c r="A121" t="s">
        <v>104</v>
      </c>
      <c r="B121" t="s">
        <v>105</v>
      </c>
      <c r="C121" t="s">
        <v>80</v>
      </c>
      <c r="D121" t="s">
        <v>100</v>
      </c>
      <c r="E121" t="s">
        <v>102</v>
      </c>
      <c r="F121" t="s">
        <v>3</v>
      </c>
      <c r="G121" t="s">
        <v>109</v>
      </c>
      <c r="H121" s="62">
        <v>2028</v>
      </c>
      <c r="I121">
        <v>0</v>
      </c>
    </row>
    <row r="122" spans="1:9">
      <c r="A122" t="s">
        <v>104</v>
      </c>
      <c r="B122" t="s">
        <v>105</v>
      </c>
      <c r="C122" t="s">
        <v>80</v>
      </c>
      <c r="D122" t="s">
        <v>100</v>
      </c>
      <c r="E122" t="s">
        <v>111</v>
      </c>
      <c r="F122" t="s">
        <v>3</v>
      </c>
      <c r="G122" t="s">
        <v>109</v>
      </c>
      <c r="H122" s="62">
        <v>2028</v>
      </c>
      <c r="I122">
        <v>0</v>
      </c>
    </row>
    <row r="123" spans="1:9">
      <c r="A123" t="s">
        <v>104</v>
      </c>
      <c r="B123" t="s">
        <v>105</v>
      </c>
      <c r="C123" t="s">
        <v>80</v>
      </c>
      <c r="D123" t="s">
        <v>100</v>
      </c>
      <c r="E123" t="s">
        <v>112</v>
      </c>
      <c r="F123" t="s">
        <v>3</v>
      </c>
      <c r="G123" t="s">
        <v>109</v>
      </c>
      <c r="H123" s="62">
        <v>2028</v>
      </c>
      <c r="I123">
        <v>0</v>
      </c>
    </row>
    <row r="124" spans="1:9">
      <c r="A124" t="s">
        <v>104</v>
      </c>
      <c r="B124" t="s">
        <v>105</v>
      </c>
      <c r="C124" t="s">
        <v>80</v>
      </c>
      <c r="D124" t="s">
        <v>83</v>
      </c>
      <c r="E124" t="s">
        <v>84</v>
      </c>
      <c r="F124" t="s">
        <v>3</v>
      </c>
      <c r="G124" t="s">
        <v>109</v>
      </c>
      <c r="H124" s="62">
        <v>2028</v>
      </c>
      <c r="I124">
        <v>1.8705000000000001</v>
      </c>
    </row>
    <row r="125" spans="1:9">
      <c r="A125" t="s">
        <v>104</v>
      </c>
      <c r="B125" t="s">
        <v>105</v>
      </c>
      <c r="C125" t="s">
        <v>80</v>
      </c>
      <c r="D125" t="s">
        <v>83</v>
      </c>
      <c r="E125" t="s">
        <v>85</v>
      </c>
      <c r="F125" t="s">
        <v>3</v>
      </c>
      <c r="G125" t="s">
        <v>109</v>
      </c>
      <c r="H125" s="62">
        <v>2028</v>
      </c>
      <c r="I125">
        <v>1.7921</v>
      </c>
    </row>
    <row r="126" spans="1:9">
      <c r="A126" t="s">
        <v>104</v>
      </c>
      <c r="B126" t="s">
        <v>105</v>
      </c>
      <c r="C126" t="s">
        <v>80</v>
      </c>
      <c r="D126" t="s">
        <v>86</v>
      </c>
      <c r="E126" t="s">
        <v>106</v>
      </c>
      <c r="F126" t="s">
        <v>3</v>
      </c>
      <c r="G126" t="s">
        <v>109</v>
      </c>
      <c r="H126" s="62">
        <v>2028</v>
      </c>
      <c r="I126">
        <v>1.1924999999999999</v>
      </c>
    </row>
    <row r="127" spans="1:9">
      <c r="A127" t="s">
        <v>104</v>
      </c>
      <c r="B127" t="s">
        <v>105</v>
      </c>
      <c r="C127" t="s">
        <v>80</v>
      </c>
      <c r="D127" t="s">
        <v>86</v>
      </c>
      <c r="E127" t="s">
        <v>87</v>
      </c>
      <c r="F127" t="s">
        <v>3</v>
      </c>
      <c r="G127" t="s">
        <v>109</v>
      </c>
      <c r="H127" s="62">
        <v>2028</v>
      </c>
      <c r="I127">
        <v>1.2434000000000001</v>
      </c>
    </row>
    <row r="128" spans="1:9">
      <c r="A128" t="s">
        <v>104</v>
      </c>
      <c r="B128" t="s">
        <v>105</v>
      </c>
      <c r="C128" t="s">
        <v>80</v>
      </c>
      <c r="D128" t="s">
        <v>103</v>
      </c>
      <c r="E128" t="s">
        <v>92</v>
      </c>
      <c r="F128" t="s">
        <v>3</v>
      </c>
      <c r="G128" t="s">
        <v>109</v>
      </c>
      <c r="H128" s="62">
        <v>2028</v>
      </c>
      <c r="I128">
        <v>2.0819999999999999</v>
      </c>
    </row>
    <row r="129" spans="1:9">
      <c r="A129" t="s">
        <v>104</v>
      </c>
      <c r="B129" t="s">
        <v>105</v>
      </c>
      <c r="C129" t="s">
        <v>80</v>
      </c>
      <c r="D129" t="s">
        <v>103</v>
      </c>
      <c r="E129" t="s">
        <v>89</v>
      </c>
      <c r="F129" t="s">
        <v>3</v>
      </c>
      <c r="G129" t="s">
        <v>109</v>
      </c>
      <c r="H129" s="62">
        <v>2028</v>
      </c>
      <c r="I129">
        <v>10.069900000000001</v>
      </c>
    </row>
    <row r="130" spans="1:9">
      <c r="A130" t="s">
        <v>104</v>
      </c>
      <c r="B130" t="s">
        <v>105</v>
      </c>
      <c r="C130" t="s">
        <v>107</v>
      </c>
      <c r="D130" t="s">
        <v>107</v>
      </c>
      <c r="E130" t="s">
        <v>107</v>
      </c>
      <c r="F130" t="s">
        <v>3</v>
      </c>
      <c r="G130" t="s">
        <v>109</v>
      </c>
      <c r="H130" s="62">
        <v>2029</v>
      </c>
      <c r="I130">
        <v>67.074799999999996</v>
      </c>
    </row>
    <row r="131" spans="1:9">
      <c r="A131" t="s">
        <v>104</v>
      </c>
      <c r="B131" t="s">
        <v>105</v>
      </c>
      <c r="C131" t="s">
        <v>107</v>
      </c>
      <c r="D131" t="s">
        <v>108</v>
      </c>
      <c r="E131" t="s">
        <v>108</v>
      </c>
      <c r="F131" t="s">
        <v>3</v>
      </c>
      <c r="G131" t="s">
        <v>109</v>
      </c>
      <c r="H131" s="62">
        <v>2029</v>
      </c>
      <c r="I131">
        <v>1.3149</v>
      </c>
    </row>
    <row r="132" spans="1:9">
      <c r="A132" t="s">
        <v>104</v>
      </c>
      <c r="B132" t="s">
        <v>105</v>
      </c>
      <c r="C132" t="s">
        <v>80</v>
      </c>
      <c r="D132" t="s">
        <v>80</v>
      </c>
      <c r="E132" t="s">
        <v>80</v>
      </c>
      <c r="F132" t="s">
        <v>3</v>
      </c>
      <c r="G132" t="s">
        <v>109</v>
      </c>
      <c r="H132" s="62">
        <v>2029</v>
      </c>
      <c r="I132">
        <v>65.759900000000002</v>
      </c>
    </row>
    <row r="133" spans="1:9">
      <c r="A133" t="s">
        <v>104</v>
      </c>
      <c r="B133" t="s">
        <v>105</v>
      </c>
      <c r="C133" t="s">
        <v>80</v>
      </c>
      <c r="D133" t="s">
        <v>89</v>
      </c>
      <c r="E133" t="s">
        <v>90</v>
      </c>
      <c r="F133" t="s">
        <v>3</v>
      </c>
      <c r="G133" t="s">
        <v>109</v>
      </c>
      <c r="H133" s="62">
        <v>2029</v>
      </c>
      <c r="I133">
        <v>11.315899999999999</v>
      </c>
    </row>
    <row r="134" spans="1:9">
      <c r="A134" t="s">
        <v>104</v>
      </c>
      <c r="B134" t="s">
        <v>105</v>
      </c>
      <c r="C134" t="s">
        <v>80</v>
      </c>
      <c r="D134" t="s">
        <v>89</v>
      </c>
      <c r="E134" t="s">
        <v>91</v>
      </c>
      <c r="F134" t="s">
        <v>3</v>
      </c>
      <c r="G134" t="s">
        <v>109</v>
      </c>
      <c r="H134" s="62">
        <v>2029</v>
      </c>
      <c r="I134">
        <v>-0.50139999999999996</v>
      </c>
    </row>
    <row r="135" spans="1:9">
      <c r="A135" t="s">
        <v>104</v>
      </c>
      <c r="B135" t="s">
        <v>105</v>
      </c>
      <c r="C135" t="s">
        <v>80</v>
      </c>
      <c r="D135" t="s">
        <v>92</v>
      </c>
      <c r="E135" t="s">
        <v>93</v>
      </c>
      <c r="F135" t="s">
        <v>3</v>
      </c>
      <c r="G135" t="s">
        <v>109</v>
      </c>
      <c r="H135" s="62">
        <v>2029</v>
      </c>
      <c r="I135">
        <v>-2.0550000000000002</v>
      </c>
    </row>
    <row r="136" spans="1:9">
      <c r="A136" t="s">
        <v>104</v>
      </c>
      <c r="B136" t="s">
        <v>105</v>
      </c>
      <c r="C136" t="s">
        <v>80</v>
      </c>
      <c r="D136" t="s">
        <v>92</v>
      </c>
      <c r="E136" t="s">
        <v>94</v>
      </c>
      <c r="F136" t="s">
        <v>3</v>
      </c>
      <c r="G136" t="s">
        <v>109</v>
      </c>
      <c r="H136" s="62">
        <v>2029</v>
      </c>
      <c r="I136">
        <v>28.7135</v>
      </c>
    </row>
    <row r="137" spans="1:9">
      <c r="A137" t="s">
        <v>104</v>
      </c>
      <c r="B137" t="s">
        <v>105</v>
      </c>
      <c r="C137" t="s">
        <v>80</v>
      </c>
      <c r="D137" t="s">
        <v>92</v>
      </c>
      <c r="E137" t="s">
        <v>110</v>
      </c>
      <c r="F137" t="s">
        <v>3</v>
      </c>
      <c r="G137" t="s">
        <v>109</v>
      </c>
      <c r="H137" s="62">
        <v>2029</v>
      </c>
      <c r="I137">
        <v>0</v>
      </c>
    </row>
    <row r="138" spans="1:9">
      <c r="A138" t="s">
        <v>104</v>
      </c>
      <c r="B138" t="s">
        <v>105</v>
      </c>
      <c r="C138" t="s">
        <v>80</v>
      </c>
      <c r="D138" t="s">
        <v>92</v>
      </c>
      <c r="E138" t="s">
        <v>95</v>
      </c>
      <c r="F138" t="s">
        <v>3</v>
      </c>
      <c r="G138" t="s">
        <v>109</v>
      </c>
      <c r="H138" s="62">
        <v>2029</v>
      </c>
      <c r="I138">
        <v>17.661999999999999</v>
      </c>
    </row>
    <row r="139" spans="1:9">
      <c r="A139" t="s">
        <v>104</v>
      </c>
      <c r="B139" t="s">
        <v>105</v>
      </c>
      <c r="C139" t="s">
        <v>80</v>
      </c>
      <c r="D139" t="s">
        <v>96</v>
      </c>
      <c r="E139" t="s">
        <v>92</v>
      </c>
      <c r="F139" t="s">
        <v>3</v>
      </c>
      <c r="G139" t="s">
        <v>109</v>
      </c>
      <c r="H139" s="62">
        <v>2029</v>
      </c>
      <c r="I139">
        <v>4.1959</v>
      </c>
    </row>
    <row r="140" spans="1:9">
      <c r="A140" t="s">
        <v>104</v>
      </c>
      <c r="B140" t="s">
        <v>105</v>
      </c>
      <c r="C140" t="s">
        <v>80</v>
      </c>
      <c r="D140" t="s">
        <v>96</v>
      </c>
      <c r="E140" t="s">
        <v>89</v>
      </c>
      <c r="F140" t="s">
        <v>3</v>
      </c>
      <c r="G140" t="s">
        <v>109</v>
      </c>
      <c r="H140" s="62">
        <v>2029</v>
      </c>
      <c r="I140">
        <v>0.49890000000000001</v>
      </c>
    </row>
    <row r="141" spans="1:9">
      <c r="A141" t="s">
        <v>104</v>
      </c>
      <c r="B141" t="s">
        <v>105</v>
      </c>
      <c r="C141" t="s">
        <v>80</v>
      </c>
      <c r="D141" t="s">
        <v>97</v>
      </c>
      <c r="E141" t="s">
        <v>98</v>
      </c>
      <c r="F141" t="s">
        <v>3</v>
      </c>
      <c r="G141" t="s">
        <v>109</v>
      </c>
      <c r="H141" s="62">
        <v>2029</v>
      </c>
      <c r="I141">
        <v>1.4853000000000001</v>
      </c>
    </row>
    <row r="142" spans="1:9">
      <c r="A142" t="s">
        <v>104</v>
      </c>
      <c r="B142" t="s">
        <v>105</v>
      </c>
      <c r="C142" t="s">
        <v>80</v>
      </c>
      <c r="D142" t="s">
        <v>97</v>
      </c>
      <c r="E142" t="s">
        <v>99</v>
      </c>
      <c r="F142" t="s">
        <v>3</v>
      </c>
      <c r="G142" t="s">
        <v>109</v>
      </c>
      <c r="H142" s="62">
        <v>2029</v>
      </c>
      <c r="I142">
        <v>0</v>
      </c>
    </row>
    <row r="143" spans="1:9">
      <c r="A143" t="s">
        <v>104</v>
      </c>
      <c r="B143" t="s">
        <v>105</v>
      </c>
      <c r="C143" t="s">
        <v>80</v>
      </c>
      <c r="D143" t="s">
        <v>100</v>
      </c>
      <c r="E143" t="s">
        <v>101</v>
      </c>
      <c r="F143" t="s">
        <v>3</v>
      </c>
      <c r="G143" t="s">
        <v>109</v>
      </c>
      <c r="H143" s="62">
        <v>2029</v>
      </c>
      <c r="I143">
        <v>0.76300000000000001</v>
      </c>
    </row>
    <row r="144" spans="1:9">
      <c r="A144" t="s">
        <v>104</v>
      </c>
      <c r="B144" t="s">
        <v>105</v>
      </c>
      <c r="C144" t="s">
        <v>80</v>
      </c>
      <c r="D144" t="s">
        <v>100</v>
      </c>
      <c r="E144" t="s">
        <v>102</v>
      </c>
      <c r="F144" t="s">
        <v>3</v>
      </c>
      <c r="G144" t="s">
        <v>109</v>
      </c>
      <c r="H144" s="62">
        <v>2029</v>
      </c>
      <c r="I144">
        <v>0</v>
      </c>
    </row>
    <row r="145" spans="1:9">
      <c r="A145" t="s">
        <v>104</v>
      </c>
      <c r="B145" t="s">
        <v>105</v>
      </c>
      <c r="C145" t="s">
        <v>80</v>
      </c>
      <c r="D145" t="s">
        <v>100</v>
      </c>
      <c r="E145" t="s">
        <v>111</v>
      </c>
      <c r="F145" t="s">
        <v>3</v>
      </c>
      <c r="G145" t="s">
        <v>109</v>
      </c>
      <c r="H145" s="62">
        <v>2029</v>
      </c>
      <c r="I145">
        <v>0</v>
      </c>
    </row>
    <row r="146" spans="1:9">
      <c r="A146" t="s">
        <v>104</v>
      </c>
      <c r="B146" t="s">
        <v>105</v>
      </c>
      <c r="C146" t="s">
        <v>80</v>
      </c>
      <c r="D146" t="s">
        <v>100</v>
      </c>
      <c r="E146" t="s">
        <v>112</v>
      </c>
      <c r="F146" t="s">
        <v>3</v>
      </c>
      <c r="G146" t="s">
        <v>109</v>
      </c>
      <c r="H146" s="62">
        <v>2029</v>
      </c>
      <c r="I146">
        <v>0</v>
      </c>
    </row>
    <row r="147" spans="1:9">
      <c r="A147" t="s">
        <v>104</v>
      </c>
      <c r="B147" t="s">
        <v>105</v>
      </c>
      <c r="C147" t="s">
        <v>80</v>
      </c>
      <c r="D147" t="s">
        <v>83</v>
      </c>
      <c r="E147" t="s">
        <v>84</v>
      </c>
      <c r="F147" t="s">
        <v>3</v>
      </c>
      <c r="G147" t="s">
        <v>109</v>
      </c>
      <c r="H147" s="62">
        <v>2029</v>
      </c>
      <c r="I147">
        <v>1.8807</v>
      </c>
    </row>
    <row r="148" spans="1:9">
      <c r="A148" t="s">
        <v>104</v>
      </c>
      <c r="B148" t="s">
        <v>105</v>
      </c>
      <c r="C148" t="s">
        <v>80</v>
      </c>
      <c r="D148" t="s">
        <v>83</v>
      </c>
      <c r="E148" t="s">
        <v>85</v>
      </c>
      <c r="F148" t="s">
        <v>3</v>
      </c>
      <c r="G148" t="s">
        <v>109</v>
      </c>
      <c r="H148" s="62">
        <v>2029</v>
      </c>
      <c r="I148">
        <v>1.8011999999999999</v>
      </c>
    </row>
    <row r="149" spans="1:9">
      <c r="A149" t="s">
        <v>104</v>
      </c>
      <c r="B149" t="s">
        <v>105</v>
      </c>
      <c r="C149" t="s">
        <v>80</v>
      </c>
      <c r="D149" t="s">
        <v>86</v>
      </c>
      <c r="E149" t="s">
        <v>106</v>
      </c>
      <c r="F149" t="s">
        <v>3</v>
      </c>
      <c r="G149" t="s">
        <v>109</v>
      </c>
      <c r="H149" s="62">
        <v>2029</v>
      </c>
      <c r="I149">
        <v>1.1958</v>
      </c>
    </row>
    <row r="150" spans="1:9">
      <c r="A150" t="s">
        <v>104</v>
      </c>
      <c r="B150" t="s">
        <v>105</v>
      </c>
      <c r="C150" t="s">
        <v>80</v>
      </c>
      <c r="D150" t="s">
        <v>86</v>
      </c>
      <c r="E150" t="s">
        <v>87</v>
      </c>
      <c r="F150" t="s">
        <v>3</v>
      </c>
      <c r="G150" t="s">
        <v>109</v>
      </c>
      <c r="H150" s="62">
        <v>2029</v>
      </c>
      <c r="I150">
        <v>1.3606</v>
      </c>
    </row>
    <row r="151" spans="1:9">
      <c r="A151" t="s">
        <v>104</v>
      </c>
      <c r="B151" t="s">
        <v>105</v>
      </c>
      <c r="C151" t="s">
        <v>80</v>
      </c>
      <c r="D151" t="s">
        <v>103</v>
      </c>
      <c r="E151" t="s">
        <v>92</v>
      </c>
      <c r="F151" t="s">
        <v>3</v>
      </c>
      <c r="G151" t="s">
        <v>109</v>
      </c>
      <c r="H151" s="62">
        <v>2029</v>
      </c>
      <c r="I151">
        <v>2.2162999999999999</v>
      </c>
    </row>
    <row r="152" spans="1:9">
      <c r="A152" t="s">
        <v>104</v>
      </c>
      <c r="B152" t="s">
        <v>105</v>
      </c>
      <c r="C152" t="s">
        <v>80</v>
      </c>
      <c r="D152" t="s">
        <v>103</v>
      </c>
      <c r="E152" t="s">
        <v>89</v>
      </c>
      <c r="F152" t="s">
        <v>3</v>
      </c>
      <c r="G152" t="s">
        <v>109</v>
      </c>
      <c r="H152" s="62">
        <v>2029</v>
      </c>
      <c r="I152">
        <v>10.8719</v>
      </c>
    </row>
    <row r="153" spans="1:9">
      <c r="A153" t="s">
        <v>104</v>
      </c>
      <c r="B153" t="s">
        <v>105</v>
      </c>
      <c r="C153" t="s">
        <v>107</v>
      </c>
      <c r="D153" t="s">
        <v>107</v>
      </c>
      <c r="E153" t="s">
        <v>107</v>
      </c>
      <c r="F153" t="s">
        <v>3</v>
      </c>
      <c r="G153" t="s">
        <v>109</v>
      </c>
      <c r="H153" s="62">
        <v>2030</v>
      </c>
      <c r="I153">
        <v>67.493200000000002</v>
      </c>
    </row>
    <row r="154" spans="1:9">
      <c r="A154" t="s">
        <v>104</v>
      </c>
      <c r="B154" t="s">
        <v>105</v>
      </c>
      <c r="C154" t="s">
        <v>107</v>
      </c>
      <c r="D154" t="s">
        <v>108</v>
      </c>
      <c r="E154" t="s">
        <v>108</v>
      </c>
      <c r="F154" t="s">
        <v>3</v>
      </c>
      <c r="G154" t="s">
        <v>109</v>
      </c>
      <c r="H154" s="62">
        <v>2030</v>
      </c>
      <c r="I154">
        <v>0.87380000000000002</v>
      </c>
    </row>
    <row r="155" spans="1:9">
      <c r="A155" t="s">
        <v>104</v>
      </c>
      <c r="B155" t="s">
        <v>105</v>
      </c>
      <c r="C155" t="s">
        <v>80</v>
      </c>
      <c r="D155" t="s">
        <v>80</v>
      </c>
      <c r="E155" t="s">
        <v>80</v>
      </c>
      <c r="F155" t="s">
        <v>3</v>
      </c>
      <c r="G155" t="s">
        <v>109</v>
      </c>
      <c r="H155" s="62">
        <v>2030</v>
      </c>
      <c r="I155">
        <v>66.619299999999996</v>
      </c>
    </row>
    <row r="156" spans="1:9">
      <c r="A156" t="s">
        <v>104</v>
      </c>
      <c r="B156" t="s">
        <v>105</v>
      </c>
      <c r="C156" t="s">
        <v>80</v>
      </c>
      <c r="D156" t="s">
        <v>89</v>
      </c>
      <c r="E156" t="s">
        <v>90</v>
      </c>
      <c r="F156" t="s">
        <v>3</v>
      </c>
      <c r="G156" t="s">
        <v>109</v>
      </c>
      <c r="H156" s="62">
        <v>2030</v>
      </c>
      <c r="I156">
        <v>10.6274</v>
      </c>
    </row>
    <row r="157" spans="1:9">
      <c r="A157" t="s">
        <v>104</v>
      </c>
      <c r="B157" t="s">
        <v>105</v>
      </c>
      <c r="C157" t="s">
        <v>80</v>
      </c>
      <c r="D157" t="s">
        <v>89</v>
      </c>
      <c r="E157" t="s">
        <v>91</v>
      </c>
      <c r="F157" t="s">
        <v>3</v>
      </c>
      <c r="G157" t="s">
        <v>109</v>
      </c>
      <c r="H157" s="62">
        <v>2030</v>
      </c>
      <c r="I157">
        <v>-0.50090000000000001</v>
      </c>
    </row>
    <row r="158" spans="1:9">
      <c r="A158" t="s">
        <v>104</v>
      </c>
      <c r="B158" t="s">
        <v>105</v>
      </c>
      <c r="C158" t="s">
        <v>80</v>
      </c>
      <c r="D158" t="s">
        <v>92</v>
      </c>
      <c r="E158" t="s">
        <v>93</v>
      </c>
      <c r="F158" t="s">
        <v>3</v>
      </c>
      <c r="G158" t="s">
        <v>109</v>
      </c>
      <c r="H158" s="62">
        <v>2030</v>
      </c>
      <c r="I158">
        <v>-2.1842000000000001</v>
      </c>
    </row>
    <row r="159" spans="1:9">
      <c r="A159" t="s">
        <v>104</v>
      </c>
      <c r="B159" t="s">
        <v>105</v>
      </c>
      <c r="C159" t="s">
        <v>80</v>
      </c>
      <c r="D159" t="s">
        <v>92</v>
      </c>
      <c r="E159" t="s">
        <v>94</v>
      </c>
      <c r="F159" t="s">
        <v>3</v>
      </c>
      <c r="G159" t="s">
        <v>109</v>
      </c>
      <c r="H159" s="62">
        <v>2030</v>
      </c>
      <c r="I159">
        <v>28.579699999999999</v>
      </c>
    </row>
    <row r="160" spans="1:9">
      <c r="A160" t="s">
        <v>104</v>
      </c>
      <c r="B160" t="s">
        <v>105</v>
      </c>
      <c r="C160" t="s">
        <v>80</v>
      </c>
      <c r="D160" t="s">
        <v>92</v>
      </c>
      <c r="E160" t="s">
        <v>110</v>
      </c>
      <c r="F160" t="s">
        <v>3</v>
      </c>
      <c r="G160" t="s">
        <v>109</v>
      </c>
      <c r="H160" s="62">
        <v>2030</v>
      </c>
      <c r="I160">
        <v>0</v>
      </c>
    </row>
    <row r="161" spans="1:9">
      <c r="A161" t="s">
        <v>104</v>
      </c>
      <c r="B161" t="s">
        <v>105</v>
      </c>
      <c r="C161" t="s">
        <v>80</v>
      </c>
      <c r="D161" t="s">
        <v>92</v>
      </c>
      <c r="E161" t="s">
        <v>95</v>
      </c>
      <c r="F161" t="s">
        <v>3</v>
      </c>
      <c r="G161" t="s">
        <v>109</v>
      </c>
      <c r="H161" s="62">
        <v>2030</v>
      </c>
      <c r="I161">
        <v>17.758500000000002</v>
      </c>
    </row>
    <row r="162" spans="1:9">
      <c r="A162" t="s">
        <v>104</v>
      </c>
      <c r="B162" t="s">
        <v>105</v>
      </c>
      <c r="C162" t="s">
        <v>80</v>
      </c>
      <c r="D162" t="s">
        <v>96</v>
      </c>
      <c r="E162" t="s">
        <v>92</v>
      </c>
      <c r="F162" t="s">
        <v>3</v>
      </c>
      <c r="G162" t="s">
        <v>109</v>
      </c>
      <c r="H162" s="62">
        <v>2030</v>
      </c>
      <c r="I162">
        <v>4.3395999999999999</v>
      </c>
    </row>
    <row r="163" spans="1:9">
      <c r="A163" t="s">
        <v>104</v>
      </c>
      <c r="B163" t="s">
        <v>105</v>
      </c>
      <c r="C163" t="s">
        <v>80</v>
      </c>
      <c r="D163" t="s">
        <v>96</v>
      </c>
      <c r="E163" t="s">
        <v>89</v>
      </c>
      <c r="F163" t="s">
        <v>3</v>
      </c>
      <c r="G163" t="s">
        <v>109</v>
      </c>
      <c r="H163" s="62">
        <v>2030</v>
      </c>
      <c r="I163">
        <v>0.67800000000000005</v>
      </c>
    </row>
    <row r="164" spans="1:9">
      <c r="A164" t="s">
        <v>104</v>
      </c>
      <c r="B164" t="s">
        <v>105</v>
      </c>
      <c r="C164" t="s">
        <v>80</v>
      </c>
      <c r="D164" t="s">
        <v>97</v>
      </c>
      <c r="E164" t="s">
        <v>98</v>
      </c>
      <c r="F164" t="s">
        <v>3</v>
      </c>
      <c r="G164" t="s">
        <v>109</v>
      </c>
      <c r="H164" s="62">
        <v>2030</v>
      </c>
      <c r="I164">
        <v>1.9549000000000001</v>
      </c>
    </row>
    <row r="165" spans="1:9">
      <c r="A165" t="s">
        <v>104</v>
      </c>
      <c r="B165" t="s">
        <v>105</v>
      </c>
      <c r="C165" t="s">
        <v>80</v>
      </c>
      <c r="D165" t="s">
        <v>97</v>
      </c>
      <c r="E165" t="s">
        <v>99</v>
      </c>
      <c r="F165" t="s">
        <v>3</v>
      </c>
      <c r="G165" t="s">
        <v>109</v>
      </c>
      <c r="H165" s="62">
        <v>2030</v>
      </c>
      <c r="I165">
        <v>0</v>
      </c>
    </row>
    <row r="166" spans="1:9">
      <c r="A166" t="s">
        <v>104</v>
      </c>
      <c r="B166" t="s">
        <v>105</v>
      </c>
      <c r="C166" t="s">
        <v>80</v>
      </c>
      <c r="D166" t="s">
        <v>100</v>
      </c>
      <c r="E166" t="s">
        <v>101</v>
      </c>
      <c r="F166" t="s">
        <v>3</v>
      </c>
      <c r="G166" t="s">
        <v>109</v>
      </c>
      <c r="H166" s="62">
        <v>2030</v>
      </c>
      <c r="I166">
        <v>1.6838</v>
      </c>
    </row>
    <row r="167" spans="1:9">
      <c r="A167" t="s">
        <v>104</v>
      </c>
      <c r="B167" t="s">
        <v>105</v>
      </c>
      <c r="C167" t="s">
        <v>80</v>
      </c>
      <c r="D167" t="s">
        <v>100</v>
      </c>
      <c r="E167" t="s">
        <v>102</v>
      </c>
      <c r="F167" t="s">
        <v>3</v>
      </c>
      <c r="G167" t="s">
        <v>109</v>
      </c>
      <c r="H167" s="62">
        <v>2030</v>
      </c>
      <c r="I167">
        <v>0</v>
      </c>
    </row>
    <row r="168" spans="1:9">
      <c r="A168" t="s">
        <v>104</v>
      </c>
      <c r="B168" t="s">
        <v>105</v>
      </c>
      <c r="C168" t="s">
        <v>80</v>
      </c>
      <c r="D168" t="s">
        <v>100</v>
      </c>
      <c r="E168" t="s">
        <v>111</v>
      </c>
      <c r="F168" t="s">
        <v>3</v>
      </c>
      <c r="G168" t="s">
        <v>109</v>
      </c>
      <c r="H168" s="62">
        <v>2030</v>
      </c>
      <c r="I168">
        <v>0</v>
      </c>
    </row>
    <row r="169" spans="1:9">
      <c r="A169" t="s">
        <v>104</v>
      </c>
      <c r="B169" t="s">
        <v>105</v>
      </c>
      <c r="C169" t="s">
        <v>80</v>
      </c>
      <c r="D169" t="s">
        <v>100</v>
      </c>
      <c r="E169" t="s">
        <v>112</v>
      </c>
      <c r="F169" t="s">
        <v>3</v>
      </c>
      <c r="G169" t="s">
        <v>109</v>
      </c>
      <c r="H169" s="62">
        <v>2030</v>
      </c>
      <c r="I169">
        <v>0</v>
      </c>
    </row>
    <row r="170" spans="1:9">
      <c r="A170" t="s">
        <v>104</v>
      </c>
      <c r="B170" t="s">
        <v>105</v>
      </c>
      <c r="C170" t="s">
        <v>80</v>
      </c>
      <c r="D170" t="s">
        <v>83</v>
      </c>
      <c r="E170" t="s">
        <v>84</v>
      </c>
      <c r="F170" t="s">
        <v>3</v>
      </c>
      <c r="G170" t="s">
        <v>109</v>
      </c>
      <c r="H170" s="62">
        <v>2030</v>
      </c>
      <c r="I170">
        <v>1.8794999999999999</v>
      </c>
    </row>
    <row r="171" spans="1:9">
      <c r="A171" t="s">
        <v>104</v>
      </c>
      <c r="B171" t="s">
        <v>105</v>
      </c>
      <c r="C171" t="s">
        <v>80</v>
      </c>
      <c r="D171" t="s">
        <v>83</v>
      </c>
      <c r="E171" t="s">
        <v>85</v>
      </c>
      <c r="F171" t="s">
        <v>3</v>
      </c>
      <c r="G171" t="s">
        <v>109</v>
      </c>
      <c r="H171" s="62">
        <v>2030</v>
      </c>
      <c r="I171">
        <v>1.8030999999999999</v>
      </c>
    </row>
    <row r="172" spans="1:9">
      <c r="A172" t="s">
        <v>104</v>
      </c>
      <c r="B172" t="s">
        <v>105</v>
      </c>
      <c r="C172" t="s">
        <v>80</v>
      </c>
      <c r="D172" t="s">
        <v>86</v>
      </c>
      <c r="E172" t="s">
        <v>106</v>
      </c>
      <c r="F172" t="s">
        <v>3</v>
      </c>
      <c r="G172" t="s">
        <v>109</v>
      </c>
      <c r="H172" s="62">
        <v>2030</v>
      </c>
      <c r="I172">
        <v>1.2023999999999999</v>
      </c>
    </row>
    <row r="173" spans="1:9">
      <c r="A173" t="s">
        <v>104</v>
      </c>
      <c r="B173" t="s">
        <v>105</v>
      </c>
      <c r="C173" t="s">
        <v>80</v>
      </c>
      <c r="D173" t="s">
        <v>86</v>
      </c>
      <c r="E173" t="s">
        <v>87</v>
      </c>
      <c r="F173" t="s">
        <v>3</v>
      </c>
      <c r="G173" t="s">
        <v>109</v>
      </c>
      <c r="H173" s="62">
        <v>2030</v>
      </c>
      <c r="I173">
        <v>1.4826999999999999</v>
      </c>
    </row>
    <row r="174" spans="1:9">
      <c r="A174" t="s">
        <v>104</v>
      </c>
      <c r="B174" t="s">
        <v>105</v>
      </c>
      <c r="C174" t="s">
        <v>80</v>
      </c>
      <c r="D174" t="s">
        <v>103</v>
      </c>
      <c r="E174" t="s">
        <v>92</v>
      </c>
      <c r="F174" t="s">
        <v>3</v>
      </c>
      <c r="G174" t="s">
        <v>109</v>
      </c>
      <c r="H174" s="62">
        <v>2030</v>
      </c>
      <c r="I174">
        <v>2.3443000000000001</v>
      </c>
    </row>
    <row r="175" spans="1:9">
      <c r="A175" t="s">
        <v>104</v>
      </c>
      <c r="B175" t="s">
        <v>105</v>
      </c>
      <c r="C175" t="s">
        <v>80</v>
      </c>
      <c r="D175" t="s">
        <v>103</v>
      </c>
      <c r="E175" t="s">
        <v>89</v>
      </c>
      <c r="F175" t="s">
        <v>3</v>
      </c>
      <c r="G175" t="s">
        <v>109</v>
      </c>
      <c r="H175" s="62">
        <v>2030</v>
      </c>
      <c r="I175">
        <v>11.6029</v>
      </c>
    </row>
    <row r="176" spans="1:9">
      <c r="A176" t="s">
        <v>104</v>
      </c>
      <c r="B176" t="s">
        <v>105</v>
      </c>
      <c r="C176" t="s">
        <v>107</v>
      </c>
      <c r="D176" t="s">
        <v>107</v>
      </c>
      <c r="E176" t="s">
        <v>107</v>
      </c>
      <c r="F176" t="s">
        <v>3</v>
      </c>
      <c r="G176" t="s">
        <v>109</v>
      </c>
      <c r="H176" s="62">
        <v>2031</v>
      </c>
      <c r="I176">
        <v>68.418400000000005</v>
      </c>
    </row>
    <row r="177" spans="1:9">
      <c r="A177" t="s">
        <v>104</v>
      </c>
      <c r="B177" t="s">
        <v>105</v>
      </c>
      <c r="C177" t="s">
        <v>107</v>
      </c>
      <c r="D177" t="s">
        <v>108</v>
      </c>
      <c r="E177" t="s">
        <v>108</v>
      </c>
      <c r="F177" t="s">
        <v>3</v>
      </c>
      <c r="G177" t="s">
        <v>109</v>
      </c>
      <c r="H177" s="62">
        <v>2031</v>
      </c>
      <c r="I177">
        <v>0.66239999999999999</v>
      </c>
    </row>
    <row r="178" spans="1:9">
      <c r="A178" t="s">
        <v>104</v>
      </c>
      <c r="B178" t="s">
        <v>105</v>
      </c>
      <c r="C178" t="s">
        <v>80</v>
      </c>
      <c r="D178" t="s">
        <v>80</v>
      </c>
      <c r="E178" t="s">
        <v>80</v>
      </c>
      <c r="F178" t="s">
        <v>3</v>
      </c>
      <c r="G178" t="s">
        <v>109</v>
      </c>
      <c r="H178" s="62">
        <v>2031</v>
      </c>
      <c r="I178">
        <v>67.756</v>
      </c>
    </row>
    <row r="179" spans="1:9">
      <c r="A179" t="s">
        <v>104</v>
      </c>
      <c r="B179" t="s">
        <v>105</v>
      </c>
      <c r="C179" t="s">
        <v>80</v>
      </c>
      <c r="D179" t="s">
        <v>89</v>
      </c>
      <c r="E179" t="s">
        <v>90</v>
      </c>
      <c r="F179" t="s">
        <v>3</v>
      </c>
      <c r="G179" t="s">
        <v>109</v>
      </c>
      <c r="H179" s="62">
        <v>2031</v>
      </c>
      <c r="I179">
        <v>9.8767999999999994</v>
      </c>
    </row>
    <row r="180" spans="1:9">
      <c r="A180" t="s">
        <v>104</v>
      </c>
      <c r="B180" t="s">
        <v>105</v>
      </c>
      <c r="C180" t="s">
        <v>80</v>
      </c>
      <c r="D180" t="s">
        <v>89</v>
      </c>
      <c r="E180" t="s">
        <v>91</v>
      </c>
      <c r="F180" t="s">
        <v>3</v>
      </c>
      <c r="G180" t="s">
        <v>109</v>
      </c>
      <c r="H180" s="62">
        <v>2031</v>
      </c>
      <c r="I180">
        <v>-0.50080000000000002</v>
      </c>
    </row>
    <row r="181" spans="1:9">
      <c r="A181" t="s">
        <v>104</v>
      </c>
      <c r="B181" t="s">
        <v>105</v>
      </c>
      <c r="C181" t="s">
        <v>80</v>
      </c>
      <c r="D181" t="s">
        <v>92</v>
      </c>
      <c r="E181" t="s">
        <v>93</v>
      </c>
      <c r="F181" t="s">
        <v>3</v>
      </c>
      <c r="G181" t="s">
        <v>109</v>
      </c>
      <c r="H181" s="62">
        <v>2031</v>
      </c>
      <c r="I181">
        <v>-2.3635999999999999</v>
      </c>
    </row>
    <row r="182" spans="1:9">
      <c r="A182" t="s">
        <v>104</v>
      </c>
      <c r="B182" t="s">
        <v>105</v>
      </c>
      <c r="C182" t="s">
        <v>80</v>
      </c>
      <c r="D182" t="s">
        <v>92</v>
      </c>
      <c r="E182" t="s">
        <v>94</v>
      </c>
      <c r="F182" t="s">
        <v>3</v>
      </c>
      <c r="G182" t="s">
        <v>109</v>
      </c>
      <c r="H182" s="62">
        <v>2031</v>
      </c>
      <c r="I182">
        <v>28.921199999999999</v>
      </c>
    </row>
    <row r="183" spans="1:9">
      <c r="A183" t="s">
        <v>104</v>
      </c>
      <c r="B183" t="s">
        <v>105</v>
      </c>
      <c r="C183" t="s">
        <v>80</v>
      </c>
      <c r="D183" t="s">
        <v>92</v>
      </c>
      <c r="E183" t="s">
        <v>110</v>
      </c>
      <c r="F183" t="s">
        <v>3</v>
      </c>
      <c r="G183" t="s">
        <v>109</v>
      </c>
      <c r="H183" s="62">
        <v>2031</v>
      </c>
      <c r="I183">
        <v>0</v>
      </c>
    </row>
    <row r="184" spans="1:9">
      <c r="A184" t="s">
        <v>104</v>
      </c>
      <c r="B184" t="s">
        <v>105</v>
      </c>
      <c r="C184" t="s">
        <v>80</v>
      </c>
      <c r="D184" t="s">
        <v>92</v>
      </c>
      <c r="E184" t="s">
        <v>95</v>
      </c>
      <c r="F184" t="s">
        <v>3</v>
      </c>
      <c r="G184" t="s">
        <v>109</v>
      </c>
      <c r="H184" s="62">
        <v>2031</v>
      </c>
      <c r="I184">
        <v>17.689499999999999</v>
      </c>
    </row>
    <row r="185" spans="1:9">
      <c r="A185" t="s">
        <v>104</v>
      </c>
      <c r="B185" t="s">
        <v>105</v>
      </c>
      <c r="C185" t="s">
        <v>80</v>
      </c>
      <c r="D185" t="s">
        <v>96</v>
      </c>
      <c r="E185" t="s">
        <v>92</v>
      </c>
      <c r="F185" t="s">
        <v>3</v>
      </c>
      <c r="G185" t="s">
        <v>109</v>
      </c>
      <c r="H185" s="62">
        <v>2031</v>
      </c>
      <c r="I185">
        <v>4.4869000000000003</v>
      </c>
    </row>
    <row r="186" spans="1:9">
      <c r="A186" t="s">
        <v>104</v>
      </c>
      <c r="B186" t="s">
        <v>105</v>
      </c>
      <c r="C186" t="s">
        <v>80</v>
      </c>
      <c r="D186" t="s">
        <v>96</v>
      </c>
      <c r="E186" t="s">
        <v>89</v>
      </c>
      <c r="F186" t="s">
        <v>3</v>
      </c>
      <c r="G186" t="s">
        <v>109</v>
      </c>
      <c r="H186" s="62">
        <v>2031</v>
      </c>
      <c r="I186">
        <v>0.80179999999999996</v>
      </c>
    </row>
    <row r="187" spans="1:9">
      <c r="A187" t="s">
        <v>104</v>
      </c>
      <c r="B187" t="s">
        <v>105</v>
      </c>
      <c r="C187" t="s">
        <v>80</v>
      </c>
      <c r="D187" t="s">
        <v>97</v>
      </c>
      <c r="E187" t="s">
        <v>98</v>
      </c>
      <c r="F187" t="s">
        <v>3</v>
      </c>
      <c r="G187" t="s">
        <v>109</v>
      </c>
      <c r="H187" s="62">
        <v>2031</v>
      </c>
      <c r="I187">
        <v>2.4773000000000001</v>
      </c>
    </row>
    <row r="188" spans="1:9">
      <c r="A188" t="s">
        <v>104</v>
      </c>
      <c r="B188" t="s">
        <v>105</v>
      </c>
      <c r="C188" t="s">
        <v>80</v>
      </c>
      <c r="D188" t="s">
        <v>97</v>
      </c>
      <c r="E188" t="s">
        <v>99</v>
      </c>
      <c r="F188" t="s">
        <v>3</v>
      </c>
      <c r="G188" t="s">
        <v>109</v>
      </c>
      <c r="H188" s="62">
        <v>2031</v>
      </c>
      <c r="I188">
        <v>3.0000000000000001E-3</v>
      </c>
    </row>
    <row r="189" spans="1:9">
      <c r="A189" t="s">
        <v>104</v>
      </c>
      <c r="B189" t="s">
        <v>105</v>
      </c>
      <c r="C189" t="s">
        <v>80</v>
      </c>
      <c r="D189" t="s">
        <v>100</v>
      </c>
      <c r="E189" t="s">
        <v>101</v>
      </c>
      <c r="F189" t="s">
        <v>3</v>
      </c>
      <c r="G189" t="s">
        <v>109</v>
      </c>
      <c r="H189" s="62">
        <v>2031</v>
      </c>
      <c r="I189">
        <v>2.6566999999999998</v>
      </c>
    </row>
    <row r="190" spans="1:9">
      <c r="A190" t="s">
        <v>104</v>
      </c>
      <c r="B190" t="s">
        <v>105</v>
      </c>
      <c r="C190" t="s">
        <v>80</v>
      </c>
      <c r="D190" t="s">
        <v>100</v>
      </c>
      <c r="E190" t="s">
        <v>102</v>
      </c>
      <c r="F190" t="s">
        <v>3</v>
      </c>
      <c r="G190" t="s">
        <v>109</v>
      </c>
      <c r="H190" s="62">
        <v>2031</v>
      </c>
      <c r="I190">
        <v>0</v>
      </c>
    </row>
    <row r="191" spans="1:9">
      <c r="A191" t="s">
        <v>104</v>
      </c>
      <c r="B191" t="s">
        <v>105</v>
      </c>
      <c r="C191" t="s">
        <v>80</v>
      </c>
      <c r="D191" t="s">
        <v>100</v>
      </c>
      <c r="E191" t="s">
        <v>111</v>
      </c>
      <c r="F191" t="s">
        <v>3</v>
      </c>
      <c r="G191" t="s">
        <v>109</v>
      </c>
      <c r="H191" s="62">
        <v>2031</v>
      </c>
      <c r="I191">
        <v>0</v>
      </c>
    </row>
    <row r="192" spans="1:9">
      <c r="A192" t="s">
        <v>104</v>
      </c>
      <c r="B192" t="s">
        <v>105</v>
      </c>
      <c r="C192" t="s">
        <v>80</v>
      </c>
      <c r="D192" t="s">
        <v>100</v>
      </c>
      <c r="E192" t="s">
        <v>112</v>
      </c>
      <c r="F192" t="s">
        <v>3</v>
      </c>
      <c r="G192" t="s">
        <v>109</v>
      </c>
      <c r="H192" s="62">
        <v>2031</v>
      </c>
      <c r="I192">
        <v>0</v>
      </c>
    </row>
    <row r="193" spans="1:9">
      <c r="A193" t="s">
        <v>104</v>
      </c>
      <c r="B193" t="s">
        <v>105</v>
      </c>
      <c r="C193" t="s">
        <v>80</v>
      </c>
      <c r="D193" t="s">
        <v>83</v>
      </c>
      <c r="E193" t="s">
        <v>84</v>
      </c>
      <c r="F193" t="s">
        <v>3</v>
      </c>
      <c r="G193" t="s">
        <v>109</v>
      </c>
      <c r="H193" s="62">
        <v>2031</v>
      </c>
      <c r="I193">
        <v>1.8953</v>
      </c>
    </row>
    <row r="194" spans="1:9">
      <c r="A194" t="s">
        <v>104</v>
      </c>
      <c r="B194" t="s">
        <v>105</v>
      </c>
      <c r="C194" t="s">
        <v>80</v>
      </c>
      <c r="D194" t="s">
        <v>83</v>
      </c>
      <c r="E194" t="s">
        <v>85</v>
      </c>
      <c r="F194" t="s">
        <v>3</v>
      </c>
      <c r="G194" t="s">
        <v>109</v>
      </c>
      <c r="H194" s="62">
        <v>2031</v>
      </c>
      <c r="I194">
        <v>1.8120000000000001</v>
      </c>
    </row>
    <row r="195" spans="1:9">
      <c r="A195" t="s">
        <v>104</v>
      </c>
      <c r="B195" t="s">
        <v>105</v>
      </c>
      <c r="C195" t="s">
        <v>80</v>
      </c>
      <c r="D195" t="s">
        <v>86</v>
      </c>
      <c r="E195" t="s">
        <v>106</v>
      </c>
      <c r="F195" t="s">
        <v>3</v>
      </c>
      <c r="G195" t="s">
        <v>109</v>
      </c>
      <c r="H195" s="62">
        <v>2031</v>
      </c>
      <c r="I195">
        <v>1.2090000000000001</v>
      </c>
    </row>
    <row r="196" spans="1:9">
      <c r="A196" t="s">
        <v>104</v>
      </c>
      <c r="B196" t="s">
        <v>105</v>
      </c>
      <c r="C196" t="s">
        <v>80</v>
      </c>
      <c r="D196" t="s">
        <v>86</v>
      </c>
      <c r="E196" t="s">
        <v>87</v>
      </c>
      <c r="F196" t="s">
        <v>3</v>
      </c>
      <c r="G196" t="s">
        <v>109</v>
      </c>
      <c r="H196" s="62">
        <v>2031</v>
      </c>
      <c r="I196">
        <v>1.6554</v>
      </c>
    </row>
    <row r="197" spans="1:9">
      <c r="A197" t="s">
        <v>104</v>
      </c>
      <c r="B197" t="s">
        <v>105</v>
      </c>
      <c r="C197" t="s">
        <v>80</v>
      </c>
      <c r="D197" t="s">
        <v>103</v>
      </c>
      <c r="E197" t="s">
        <v>92</v>
      </c>
      <c r="F197" t="s">
        <v>3</v>
      </c>
      <c r="G197" t="s">
        <v>109</v>
      </c>
      <c r="H197" s="62">
        <v>2031</v>
      </c>
      <c r="I197">
        <v>2.4758</v>
      </c>
    </row>
    <row r="198" spans="1:9">
      <c r="A198" t="s">
        <v>104</v>
      </c>
      <c r="B198" t="s">
        <v>105</v>
      </c>
      <c r="C198" t="s">
        <v>80</v>
      </c>
      <c r="D198" t="s">
        <v>103</v>
      </c>
      <c r="E198" t="s">
        <v>89</v>
      </c>
      <c r="F198" t="s">
        <v>3</v>
      </c>
      <c r="G198" t="s">
        <v>109</v>
      </c>
      <c r="H198" s="62">
        <v>2031</v>
      </c>
      <c r="I198">
        <v>12.3649</v>
      </c>
    </row>
    <row r="199" spans="1:9">
      <c r="A199" t="s">
        <v>104</v>
      </c>
      <c r="B199" t="s">
        <v>105</v>
      </c>
      <c r="C199" t="s">
        <v>107</v>
      </c>
      <c r="D199" t="s">
        <v>107</v>
      </c>
      <c r="E199" t="s">
        <v>107</v>
      </c>
      <c r="F199" t="s">
        <v>3</v>
      </c>
      <c r="G199" t="s">
        <v>109</v>
      </c>
      <c r="H199" s="62">
        <v>2032</v>
      </c>
      <c r="I199">
        <v>68.645899999999997</v>
      </c>
    </row>
    <row r="200" spans="1:9">
      <c r="A200" t="s">
        <v>104</v>
      </c>
      <c r="B200" t="s">
        <v>105</v>
      </c>
      <c r="C200" t="s">
        <v>107</v>
      </c>
      <c r="D200" t="s">
        <v>108</v>
      </c>
      <c r="E200" t="s">
        <v>108</v>
      </c>
      <c r="F200" t="s">
        <v>3</v>
      </c>
      <c r="G200" t="s">
        <v>109</v>
      </c>
      <c r="H200" s="62">
        <v>2032</v>
      </c>
      <c r="I200">
        <v>0.50549999999999995</v>
      </c>
    </row>
    <row r="201" spans="1:9">
      <c r="A201" t="s">
        <v>104</v>
      </c>
      <c r="B201" t="s">
        <v>105</v>
      </c>
      <c r="C201" t="s">
        <v>80</v>
      </c>
      <c r="D201" t="s">
        <v>80</v>
      </c>
      <c r="E201" t="s">
        <v>80</v>
      </c>
      <c r="F201" t="s">
        <v>3</v>
      </c>
      <c r="G201" t="s">
        <v>109</v>
      </c>
      <c r="H201" s="62">
        <v>2032</v>
      </c>
      <c r="I201">
        <v>68.1404</v>
      </c>
    </row>
    <row r="202" spans="1:9">
      <c r="A202" t="s">
        <v>104</v>
      </c>
      <c r="B202" t="s">
        <v>105</v>
      </c>
      <c r="C202" t="s">
        <v>80</v>
      </c>
      <c r="D202" t="s">
        <v>89</v>
      </c>
      <c r="E202" t="s">
        <v>90</v>
      </c>
      <c r="F202" t="s">
        <v>3</v>
      </c>
      <c r="G202" t="s">
        <v>109</v>
      </c>
      <c r="H202" s="62">
        <v>2032</v>
      </c>
      <c r="I202">
        <v>9.0729000000000006</v>
      </c>
    </row>
    <row r="203" spans="1:9">
      <c r="A203" t="s">
        <v>104</v>
      </c>
      <c r="B203" t="s">
        <v>105</v>
      </c>
      <c r="C203" t="s">
        <v>80</v>
      </c>
      <c r="D203" t="s">
        <v>89</v>
      </c>
      <c r="E203" t="s">
        <v>91</v>
      </c>
      <c r="F203" t="s">
        <v>3</v>
      </c>
      <c r="G203" t="s">
        <v>109</v>
      </c>
      <c r="H203" s="62">
        <v>2032</v>
      </c>
      <c r="I203">
        <v>-0.49719999999999998</v>
      </c>
    </row>
    <row r="204" spans="1:9">
      <c r="A204" t="s">
        <v>104</v>
      </c>
      <c r="B204" t="s">
        <v>105</v>
      </c>
      <c r="C204" t="s">
        <v>80</v>
      </c>
      <c r="D204" t="s">
        <v>92</v>
      </c>
      <c r="E204" t="s">
        <v>93</v>
      </c>
      <c r="F204" t="s">
        <v>3</v>
      </c>
      <c r="G204" t="s">
        <v>109</v>
      </c>
      <c r="H204" s="62">
        <v>2032</v>
      </c>
      <c r="I204">
        <v>-2.5741000000000001</v>
      </c>
    </row>
    <row r="205" spans="1:9">
      <c r="A205" t="s">
        <v>104</v>
      </c>
      <c r="B205" t="s">
        <v>105</v>
      </c>
      <c r="C205" t="s">
        <v>80</v>
      </c>
      <c r="D205" t="s">
        <v>92</v>
      </c>
      <c r="E205" t="s">
        <v>94</v>
      </c>
      <c r="F205" t="s">
        <v>3</v>
      </c>
      <c r="G205" t="s">
        <v>109</v>
      </c>
      <c r="H205" s="62">
        <v>2032</v>
      </c>
      <c r="I205">
        <v>29.345199999999998</v>
      </c>
    </row>
    <row r="206" spans="1:9">
      <c r="A206" t="s">
        <v>104</v>
      </c>
      <c r="B206" t="s">
        <v>105</v>
      </c>
      <c r="C206" t="s">
        <v>80</v>
      </c>
      <c r="D206" t="s">
        <v>92</v>
      </c>
      <c r="E206" t="s">
        <v>110</v>
      </c>
      <c r="F206" t="s">
        <v>3</v>
      </c>
      <c r="G206" t="s">
        <v>109</v>
      </c>
      <c r="H206" s="62">
        <v>2032</v>
      </c>
      <c r="I206">
        <v>0</v>
      </c>
    </row>
    <row r="207" spans="1:9">
      <c r="A207" t="s">
        <v>104</v>
      </c>
      <c r="B207" t="s">
        <v>105</v>
      </c>
      <c r="C207" t="s">
        <v>80</v>
      </c>
      <c r="D207" t="s">
        <v>92</v>
      </c>
      <c r="E207" t="s">
        <v>95</v>
      </c>
      <c r="F207" t="s">
        <v>3</v>
      </c>
      <c r="G207" t="s">
        <v>109</v>
      </c>
      <c r="H207" s="62">
        <v>2032</v>
      </c>
      <c r="I207">
        <v>17.630099999999999</v>
      </c>
    </row>
    <row r="208" spans="1:9">
      <c r="A208" t="s">
        <v>104</v>
      </c>
      <c r="B208" t="s">
        <v>105</v>
      </c>
      <c r="C208" t="s">
        <v>80</v>
      </c>
      <c r="D208" t="s">
        <v>96</v>
      </c>
      <c r="E208" t="s">
        <v>92</v>
      </c>
      <c r="F208" t="s">
        <v>3</v>
      </c>
      <c r="G208" t="s">
        <v>109</v>
      </c>
      <c r="H208" s="62">
        <v>2032</v>
      </c>
      <c r="I208">
        <v>4.5113000000000003</v>
      </c>
    </row>
    <row r="209" spans="1:9">
      <c r="A209" t="s">
        <v>104</v>
      </c>
      <c r="B209" t="s">
        <v>105</v>
      </c>
      <c r="C209" t="s">
        <v>80</v>
      </c>
      <c r="D209" t="s">
        <v>96</v>
      </c>
      <c r="E209" t="s">
        <v>89</v>
      </c>
      <c r="F209" t="s">
        <v>3</v>
      </c>
      <c r="G209" t="s">
        <v>109</v>
      </c>
      <c r="H209" s="62">
        <v>2032</v>
      </c>
      <c r="I209">
        <v>0.92279999999999995</v>
      </c>
    </row>
    <row r="210" spans="1:9">
      <c r="A210" t="s">
        <v>104</v>
      </c>
      <c r="B210" t="s">
        <v>105</v>
      </c>
      <c r="C210" t="s">
        <v>80</v>
      </c>
      <c r="D210" t="s">
        <v>97</v>
      </c>
      <c r="E210" t="s">
        <v>98</v>
      </c>
      <c r="F210" t="s">
        <v>3</v>
      </c>
      <c r="G210" t="s">
        <v>109</v>
      </c>
      <c r="H210" s="62">
        <v>2032</v>
      </c>
      <c r="I210">
        <v>3.0436999999999999</v>
      </c>
    </row>
    <row r="211" spans="1:9">
      <c r="A211" t="s">
        <v>104</v>
      </c>
      <c r="B211" t="s">
        <v>105</v>
      </c>
      <c r="C211" t="s">
        <v>80</v>
      </c>
      <c r="D211" t="s">
        <v>97</v>
      </c>
      <c r="E211" t="s">
        <v>99</v>
      </c>
      <c r="F211" t="s">
        <v>3</v>
      </c>
      <c r="G211" t="s">
        <v>109</v>
      </c>
      <c r="H211" s="62">
        <v>2032</v>
      </c>
      <c r="I211">
        <v>7.1000000000000004E-3</v>
      </c>
    </row>
    <row r="212" spans="1:9">
      <c r="A212" t="s">
        <v>104</v>
      </c>
      <c r="B212" t="s">
        <v>105</v>
      </c>
      <c r="C212" t="s">
        <v>80</v>
      </c>
      <c r="D212" t="s">
        <v>100</v>
      </c>
      <c r="E212" t="s">
        <v>101</v>
      </c>
      <c r="F212" t="s">
        <v>3</v>
      </c>
      <c r="G212" t="s">
        <v>109</v>
      </c>
      <c r="H212" s="62">
        <v>2032</v>
      </c>
      <c r="I212">
        <v>2.9497</v>
      </c>
    </row>
    <row r="213" spans="1:9">
      <c r="A213" t="s">
        <v>104</v>
      </c>
      <c r="B213" t="s">
        <v>105</v>
      </c>
      <c r="C213" t="s">
        <v>80</v>
      </c>
      <c r="D213" t="s">
        <v>100</v>
      </c>
      <c r="E213" t="s">
        <v>102</v>
      </c>
      <c r="F213" t="s">
        <v>3</v>
      </c>
      <c r="G213" t="s">
        <v>109</v>
      </c>
      <c r="H213" s="62">
        <v>2032</v>
      </c>
      <c r="I213">
        <v>0</v>
      </c>
    </row>
    <row r="214" spans="1:9">
      <c r="A214" t="s">
        <v>104</v>
      </c>
      <c r="B214" t="s">
        <v>105</v>
      </c>
      <c r="C214" t="s">
        <v>80</v>
      </c>
      <c r="D214" t="s">
        <v>100</v>
      </c>
      <c r="E214" t="s">
        <v>111</v>
      </c>
      <c r="F214" t="s">
        <v>3</v>
      </c>
      <c r="G214" t="s">
        <v>109</v>
      </c>
      <c r="H214" s="62">
        <v>2032</v>
      </c>
      <c r="I214">
        <v>0</v>
      </c>
    </row>
    <row r="215" spans="1:9">
      <c r="A215" t="s">
        <v>104</v>
      </c>
      <c r="B215" t="s">
        <v>105</v>
      </c>
      <c r="C215" t="s">
        <v>80</v>
      </c>
      <c r="D215" t="s">
        <v>100</v>
      </c>
      <c r="E215" t="s">
        <v>112</v>
      </c>
      <c r="F215" t="s">
        <v>3</v>
      </c>
      <c r="G215" t="s">
        <v>109</v>
      </c>
      <c r="H215" s="62">
        <v>2032</v>
      </c>
      <c r="I215">
        <v>0</v>
      </c>
    </row>
    <row r="216" spans="1:9">
      <c r="A216" t="s">
        <v>104</v>
      </c>
      <c r="B216" t="s">
        <v>105</v>
      </c>
      <c r="C216" t="s">
        <v>80</v>
      </c>
      <c r="D216" t="s">
        <v>83</v>
      </c>
      <c r="E216" t="s">
        <v>84</v>
      </c>
      <c r="F216" t="s">
        <v>3</v>
      </c>
      <c r="G216" t="s">
        <v>109</v>
      </c>
      <c r="H216" s="62">
        <v>2032</v>
      </c>
      <c r="I216">
        <v>1.909</v>
      </c>
    </row>
    <row r="217" spans="1:9">
      <c r="A217" t="s">
        <v>104</v>
      </c>
      <c r="B217" t="s">
        <v>105</v>
      </c>
      <c r="C217" t="s">
        <v>80</v>
      </c>
      <c r="D217" t="s">
        <v>83</v>
      </c>
      <c r="E217" t="s">
        <v>85</v>
      </c>
      <c r="F217" t="s">
        <v>3</v>
      </c>
      <c r="G217" t="s">
        <v>109</v>
      </c>
      <c r="H217" s="62">
        <v>2032</v>
      </c>
      <c r="I217">
        <v>1.8198000000000001</v>
      </c>
    </row>
    <row r="218" spans="1:9">
      <c r="A218" t="s">
        <v>104</v>
      </c>
      <c r="B218" t="s">
        <v>105</v>
      </c>
      <c r="C218" t="s">
        <v>80</v>
      </c>
      <c r="D218" t="s">
        <v>86</v>
      </c>
      <c r="E218" t="s">
        <v>106</v>
      </c>
      <c r="F218" t="s">
        <v>3</v>
      </c>
      <c r="G218" t="s">
        <v>109</v>
      </c>
      <c r="H218" s="62">
        <v>2032</v>
      </c>
      <c r="I218">
        <v>1.2190000000000001</v>
      </c>
    </row>
    <row r="219" spans="1:9">
      <c r="A219" t="s">
        <v>104</v>
      </c>
      <c r="B219" t="s">
        <v>105</v>
      </c>
      <c r="C219" t="s">
        <v>80</v>
      </c>
      <c r="D219" t="s">
        <v>86</v>
      </c>
      <c r="E219" t="s">
        <v>87</v>
      </c>
      <c r="F219" t="s">
        <v>3</v>
      </c>
      <c r="G219" t="s">
        <v>109</v>
      </c>
      <c r="H219" s="62">
        <v>2032</v>
      </c>
      <c r="I219">
        <v>1.8523000000000001</v>
      </c>
    </row>
    <row r="220" spans="1:9">
      <c r="A220" t="s">
        <v>104</v>
      </c>
      <c r="B220" t="s">
        <v>105</v>
      </c>
      <c r="C220" t="s">
        <v>80</v>
      </c>
      <c r="D220" t="s">
        <v>103</v>
      </c>
      <c r="E220" t="s">
        <v>92</v>
      </c>
      <c r="F220" t="s">
        <v>3</v>
      </c>
      <c r="G220" t="s">
        <v>109</v>
      </c>
      <c r="H220" s="62">
        <v>2032</v>
      </c>
      <c r="I220">
        <v>2.617</v>
      </c>
    </row>
    <row r="221" spans="1:9">
      <c r="A221" t="s">
        <v>104</v>
      </c>
      <c r="B221" t="s">
        <v>105</v>
      </c>
      <c r="C221" t="s">
        <v>80</v>
      </c>
      <c r="D221" t="s">
        <v>103</v>
      </c>
      <c r="E221" t="s">
        <v>89</v>
      </c>
      <c r="F221" t="s">
        <v>3</v>
      </c>
      <c r="G221" t="s">
        <v>109</v>
      </c>
      <c r="H221" s="62">
        <v>2032</v>
      </c>
      <c r="I221">
        <v>13.1812</v>
      </c>
    </row>
    <row r="222" spans="1:9">
      <c r="A222" t="s">
        <v>104</v>
      </c>
      <c r="B222" t="s">
        <v>105</v>
      </c>
      <c r="C222" t="s">
        <v>107</v>
      </c>
      <c r="D222" t="s">
        <v>107</v>
      </c>
      <c r="E222" t="s">
        <v>107</v>
      </c>
      <c r="F222" t="s">
        <v>3</v>
      </c>
      <c r="G222" t="s">
        <v>109</v>
      </c>
      <c r="H222" s="62">
        <v>2033</v>
      </c>
      <c r="I222">
        <v>68.255499999999998</v>
      </c>
    </row>
    <row r="223" spans="1:9">
      <c r="A223" t="s">
        <v>104</v>
      </c>
      <c r="B223" t="s">
        <v>105</v>
      </c>
      <c r="C223" t="s">
        <v>107</v>
      </c>
      <c r="D223" t="s">
        <v>108</v>
      </c>
      <c r="E223" t="s">
        <v>108</v>
      </c>
      <c r="F223" t="s">
        <v>3</v>
      </c>
      <c r="G223" t="s">
        <v>109</v>
      </c>
      <c r="H223" s="62">
        <v>2033</v>
      </c>
      <c r="I223">
        <v>0.51670000000000005</v>
      </c>
    </row>
    <row r="224" spans="1:9">
      <c r="A224" t="s">
        <v>104</v>
      </c>
      <c r="B224" t="s">
        <v>105</v>
      </c>
      <c r="C224" t="s">
        <v>80</v>
      </c>
      <c r="D224" t="s">
        <v>80</v>
      </c>
      <c r="E224" t="s">
        <v>80</v>
      </c>
      <c r="F224" t="s">
        <v>3</v>
      </c>
      <c r="G224" t="s">
        <v>109</v>
      </c>
      <c r="H224" s="62">
        <v>2033</v>
      </c>
      <c r="I224">
        <v>67.738699999999994</v>
      </c>
    </row>
    <row r="225" spans="1:9">
      <c r="A225" t="s">
        <v>104</v>
      </c>
      <c r="B225" t="s">
        <v>105</v>
      </c>
      <c r="C225" t="s">
        <v>80</v>
      </c>
      <c r="D225" t="s">
        <v>89</v>
      </c>
      <c r="E225" t="s">
        <v>90</v>
      </c>
      <c r="F225" t="s">
        <v>3</v>
      </c>
      <c r="G225" t="s">
        <v>109</v>
      </c>
      <c r="H225" s="62">
        <v>2033</v>
      </c>
      <c r="I225">
        <v>8.2612000000000005</v>
      </c>
    </row>
    <row r="226" spans="1:9">
      <c r="A226" t="s">
        <v>104</v>
      </c>
      <c r="B226" t="s">
        <v>105</v>
      </c>
      <c r="C226" t="s">
        <v>80</v>
      </c>
      <c r="D226" t="s">
        <v>89</v>
      </c>
      <c r="E226" t="s">
        <v>91</v>
      </c>
      <c r="F226" t="s">
        <v>3</v>
      </c>
      <c r="G226" t="s">
        <v>109</v>
      </c>
      <c r="H226" s="62">
        <v>2033</v>
      </c>
      <c r="I226">
        <v>-0.49159999999999998</v>
      </c>
    </row>
    <row r="227" spans="1:9">
      <c r="A227" t="s">
        <v>104</v>
      </c>
      <c r="B227" t="s">
        <v>105</v>
      </c>
      <c r="C227" t="s">
        <v>80</v>
      </c>
      <c r="D227" t="s">
        <v>92</v>
      </c>
      <c r="E227" t="s">
        <v>93</v>
      </c>
      <c r="F227" t="s">
        <v>3</v>
      </c>
      <c r="G227" t="s">
        <v>109</v>
      </c>
      <c r="H227" s="62">
        <v>2033</v>
      </c>
      <c r="I227">
        <v>-2.8006000000000002</v>
      </c>
    </row>
    <row r="228" spans="1:9">
      <c r="A228" t="s">
        <v>104</v>
      </c>
      <c r="B228" t="s">
        <v>105</v>
      </c>
      <c r="C228" t="s">
        <v>80</v>
      </c>
      <c r="D228" t="s">
        <v>92</v>
      </c>
      <c r="E228" t="s">
        <v>94</v>
      </c>
      <c r="F228" t="s">
        <v>3</v>
      </c>
      <c r="G228" t="s">
        <v>109</v>
      </c>
      <c r="H228" s="62">
        <v>2033</v>
      </c>
      <c r="I228">
        <v>29.554400000000001</v>
      </c>
    </row>
    <row r="229" spans="1:9">
      <c r="A229" t="s">
        <v>104</v>
      </c>
      <c r="B229" t="s">
        <v>105</v>
      </c>
      <c r="C229" t="s">
        <v>80</v>
      </c>
      <c r="D229" t="s">
        <v>92</v>
      </c>
      <c r="E229" t="s">
        <v>110</v>
      </c>
      <c r="F229" t="s">
        <v>3</v>
      </c>
      <c r="G229" t="s">
        <v>109</v>
      </c>
      <c r="H229" s="62">
        <v>2033</v>
      </c>
      <c r="I229">
        <v>0</v>
      </c>
    </row>
    <row r="230" spans="1:9">
      <c r="A230" t="s">
        <v>104</v>
      </c>
      <c r="B230" t="s">
        <v>105</v>
      </c>
      <c r="C230" t="s">
        <v>80</v>
      </c>
      <c r="D230" t="s">
        <v>92</v>
      </c>
      <c r="E230" t="s">
        <v>95</v>
      </c>
      <c r="F230" t="s">
        <v>3</v>
      </c>
      <c r="G230" t="s">
        <v>109</v>
      </c>
      <c r="H230" s="62">
        <v>2033</v>
      </c>
      <c r="I230">
        <v>17.506499999999999</v>
      </c>
    </row>
    <row r="231" spans="1:9">
      <c r="A231" t="s">
        <v>104</v>
      </c>
      <c r="B231" t="s">
        <v>105</v>
      </c>
      <c r="C231" t="s">
        <v>80</v>
      </c>
      <c r="D231" t="s">
        <v>96</v>
      </c>
      <c r="E231" t="s">
        <v>92</v>
      </c>
      <c r="F231" t="s">
        <v>3</v>
      </c>
      <c r="G231" t="s">
        <v>109</v>
      </c>
      <c r="H231" s="62">
        <v>2033</v>
      </c>
      <c r="I231">
        <v>4.4085000000000001</v>
      </c>
    </row>
    <row r="232" spans="1:9">
      <c r="A232" t="s">
        <v>104</v>
      </c>
      <c r="B232" t="s">
        <v>105</v>
      </c>
      <c r="C232" t="s">
        <v>80</v>
      </c>
      <c r="D232" t="s">
        <v>96</v>
      </c>
      <c r="E232" t="s">
        <v>89</v>
      </c>
      <c r="F232" t="s">
        <v>3</v>
      </c>
      <c r="G232" t="s">
        <v>109</v>
      </c>
      <c r="H232" s="62">
        <v>2033</v>
      </c>
      <c r="I232">
        <v>1.0476000000000001</v>
      </c>
    </row>
    <row r="233" spans="1:9">
      <c r="A233" t="s">
        <v>104</v>
      </c>
      <c r="B233" t="s">
        <v>105</v>
      </c>
      <c r="C233" t="s">
        <v>80</v>
      </c>
      <c r="D233" t="s">
        <v>97</v>
      </c>
      <c r="E233" t="s">
        <v>98</v>
      </c>
      <c r="F233" t="s">
        <v>3</v>
      </c>
      <c r="G233" t="s">
        <v>109</v>
      </c>
      <c r="H233" s="62">
        <v>2033</v>
      </c>
      <c r="I233">
        <v>3.6271</v>
      </c>
    </row>
    <row r="234" spans="1:9">
      <c r="A234" t="s">
        <v>104</v>
      </c>
      <c r="B234" t="s">
        <v>105</v>
      </c>
      <c r="C234" t="s">
        <v>80</v>
      </c>
      <c r="D234" t="s">
        <v>97</v>
      </c>
      <c r="E234" t="s">
        <v>99</v>
      </c>
      <c r="F234" t="s">
        <v>3</v>
      </c>
      <c r="G234" t="s">
        <v>109</v>
      </c>
      <c r="H234" s="62">
        <v>2033</v>
      </c>
      <c r="I234">
        <v>1.24E-2</v>
      </c>
    </row>
    <row r="235" spans="1:9">
      <c r="A235" t="s">
        <v>104</v>
      </c>
      <c r="B235" t="s">
        <v>105</v>
      </c>
      <c r="C235" t="s">
        <v>80</v>
      </c>
      <c r="D235" t="s">
        <v>100</v>
      </c>
      <c r="E235" t="s">
        <v>101</v>
      </c>
      <c r="F235" t="s">
        <v>3</v>
      </c>
      <c r="G235" t="s">
        <v>109</v>
      </c>
      <c r="H235" s="62">
        <v>2033</v>
      </c>
      <c r="I235">
        <v>2.8873000000000002</v>
      </c>
    </row>
    <row r="236" spans="1:9">
      <c r="A236" t="s">
        <v>104</v>
      </c>
      <c r="B236" t="s">
        <v>105</v>
      </c>
      <c r="C236" t="s">
        <v>80</v>
      </c>
      <c r="D236" t="s">
        <v>100</v>
      </c>
      <c r="E236" t="s">
        <v>102</v>
      </c>
      <c r="F236" t="s">
        <v>3</v>
      </c>
      <c r="G236" t="s">
        <v>109</v>
      </c>
      <c r="H236" s="62">
        <v>2033</v>
      </c>
      <c r="I236">
        <v>0</v>
      </c>
    </row>
    <row r="237" spans="1:9">
      <c r="A237" t="s">
        <v>104</v>
      </c>
      <c r="B237" t="s">
        <v>105</v>
      </c>
      <c r="C237" t="s">
        <v>80</v>
      </c>
      <c r="D237" t="s">
        <v>100</v>
      </c>
      <c r="E237" t="s">
        <v>111</v>
      </c>
      <c r="F237" t="s">
        <v>3</v>
      </c>
      <c r="G237" t="s">
        <v>109</v>
      </c>
      <c r="H237" s="62">
        <v>2033</v>
      </c>
      <c r="I237">
        <v>0</v>
      </c>
    </row>
    <row r="238" spans="1:9">
      <c r="A238" t="s">
        <v>104</v>
      </c>
      <c r="B238" t="s">
        <v>105</v>
      </c>
      <c r="C238" t="s">
        <v>80</v>
      </c>
      <c r="D238" t="s">
        <v>100</v>
      </c>
      <c r="E238" t="s">
        <v>112</v>
      </c>
      <c r="F238" t="s">
        <v>3</v>
      </c>
      <c r="G238" t="s">
        <v>109</v>
      </c>
      <c r="H238" s="62">
        <v>2033</v>
      </c>
      <c r="I238">
        <v>0</v>
      </c>
    </row>
    <row r="239" spans="1:9">
      <c r="A239" t="s">
        <v>104</v>
      </c>
      <c r="B239" t="s">
        <v>105</v>
      </c>
      <c r="C239" t="s">
        <v>80</v>
      </c>
      <c r="D239" t="s">
        <v>83</v>
      </c>
      <c r="E239" t="s">
        <v>84</v>
      </c>
      <c r="F239" t="s">
        <v>3</v>
      </c>
      <c r="G239" t="s">
        <v>109</v>
      </c>
      <c r="H239" s="62">
        <v>2033</v>
      </c>
      <c r="I239">
        <v>1.9093</v>
      </c>
    </row>
    <row r="240" spans="1:9">
      <c r="A240" t="s">
        <v>104</v>
      </c>
      <c r="B240" t="s">
        <v>105</v>
      </c>
      <c r="C240" t="s">
        <v>80</v>
      </c>
      <c r="D240" t="s">
        <v>83</v>
      </c>
      <c r="E240" t="s">
        <v>85</v>
      </c>
      <c r="F240" t="s">
        <v>3</v>
      </c>
      <c r="G240" t="s">
        <v>109</v>
      </c>
      <c r="H240" s="62">
        <v>2033</v>
      </c>
      <c r="I240">
        <v>1.8166</v>
      </c>
    </row>
    <row r="241" spans="1:9">
      <c r="A241" t="s">
        <v>104</v>
      </c>
      <c r="B241" t="s">
        <v>105</v>
      </c>
      <c r="C241" t="s">
        <v>80</v>
      </c>
      <c r="D241" t="s">
        <v>86</v>
      </c>
      <c r="E241" t="s">
        <v>106</v>
      </c>
      <c r="F241" t="s">
        <v>3</v>
      </c>
      <c r="G241" t="s">
        <v>109</v>
      </c>
      <c r="H241" s="62">
        <v>2033</v>
      </c>
      <c r="I241">
        <v>1.2222</v>
      </c>
    </row>
    <row r="242" spans="1:9">
      <c r="A242" t="s">
        <v>104</v>
      </c>
      <c r="B242" t="s">
        <v>105</v>
      </c>
      <c r="C242" t="s">
        <v>80</v>
      </c>
      <c r="D242" t="s">
        <v>86</v>
      </c>
      <c r="E242" t="s">
        <v>87</v>
      </c>
      <c r="F242" t="s">
        <v>3</v>
      </c>
      <c r="G242" t="s">
        <v>109</v>
      </c>
      <c r="H242" s="62">
        <v>2033</v>
      </c>
      <c r="I242">
        <v>2.0699999999999998</v>
      </c>
    </row>
    <row r="243" spans="1:9">
      <c r="A243" t="s">
        <v>104</v>
      </c>
      <c r="B243" t="s">
        <v>105</v>
      </c>
      <c r="C243" t="s">
        <v>80</v>
      </c>
      <c r="D243" t="s">
        <v>103</v>
      </c>
      <c r="E243" t="s">
        <v>92</v>
      </c>
      <c r="F243" t="s">
        <v>3</v>
      </c>
      <c r="G243" t="s">
        <v>109</v>
      </c>
      <c r="H243" s="62">
        <v>2033</v>
      </c>
      <c r="I243">
        <v>2.7542</v>
      </c>
    </row>
    <row r="244" spans="1:9">
      <c r="A244" t="s">
        <v>104</v>
      </c>
      <c r="B244" t="s">
        <v>105</v>
      </c>
      <c r="C244" t="s">
        <v>80</v>
      </c>
      <c r="D244" t="s">
        <v>103</v>
      </c>
      <c r="E244" t="s">
        <v>89</v>
      </c>
      <c r="F244" t="s">
        <v>3</v>
      </c>
      <c r="G244" t="s">
        <v>109</v>
      </c>
      <c r="H244" s="62">
        <v>2033</v>
      </c>
      <c r="I244">
        <v>13.9823</v>
      </c>
    </row>
    <row r="245" spans="1:9">
      <c r="A245" t="s">
        <v>104</v>
      </c>
      <c r="B245" t="s">
        <v>105</v>
      </c>
      <c r="C245" t="s">
        <v>107</v>
      </c>
      <c r="D245" t="s">
        <v>107</v>
      </c>
      <c r="E245" t="s">
        <v>107</v>
      </c>
      <c r="F245" t="s">
        <v>3</v>
      </c>
      <c r="G245" t="s">
        <v>109</v>
      </c>
      <c r="H245" s="62">
        <v>2034</v>
      </c>
      <c r="I245">
        <v>69.241900000000001</v>
      </c>
    </row>
    <row r="246" spans="1:9">
      <c r="A246" t="s">
        <v>104</v>
      </c>
      <c r="B246" t="s">
        <v>105</v>
      </c>
      <c r="C246" t="s">
        <v>107</v>
      </c>
      <c r="D246" t="s">
        <v>108</v>
      </c>
      <c r="E246" t="s">
        <v>108</v>
      </c>
      <c r="F246" t="s">
        <v>3</v>
      </c>
      <c r="G246" t="s">
        <v>109</v>
      </c>
      <c r="H246" s="62">
        <v>2034</v>
      </c>
      <c r="I246">
        <v>0.68830000000000002</v>
      </c>
    </row>
    <row r="247" spans="1:9">
      <c r="A247" t="s">
        <v>104</v>
      </c>
      <c r="B247" t="s">
        <v>105</v>
      </c>
      <c r="C247" t="s">
        <v>80</v>
      </c>
      <c r="D247" t="s">
        <v>80</v>
      </c>
      <c r="E247" t="s">
        <v>80</v>
      </c>
      <c r="F247" t="s">
        <v>3</v>
      </c>
      <c r="G247" t="s">
        <v>109</v>
      </c>
      <c r="H247" s="62">
        <v>2034</v>
      </c>
      <c r="I247">
        <v>68.553600000000003</v>
      </c>
    </row>
    <row r="248" spans="1:9">
      <c r="A248" t="s">
        <v>104</v>
      </c>
      <c r="B248" t="s">
        <v>105</v>
      </c>
      <c r="C248" t="s">
        <v>80</v>
      </c>
      <c r="D248" t="s">
        <v>89</v>
      </c>
      <c r="E248" t="s">
        <v>90</v>
      </c>
      <c r="F248" t="s">
        <v>3</v>
      </c>
      <c r="G248" t="s">
        <v>109</v>
      </c>
      <c r="H248" s="62">
        <v>2034</v>
      </c>
      <c r="I248">
        <v>7.4287999999999998</v>
      </c>
    </row>
    <row r="249" spans="1:9">
      <c r="A249" t="s">
        <v>104</v>
      </c>
      <c r="B249" t="s">
        <v>105</v>
      </c>
      <c r="C249" t="s">
        <v>80</v>
      </c>
      <c r="D249" t="s">
        <v>89</v>
      </c>
      <c r="E249" t="s">
        <v>91</v>
      </c>
      <c r="F249" t="s">
        <v>3</v>
      </c>
      <c r="G249" t="s">
        <v>109</v>
      </c>
      <c r="H249" s="62">
        <v>2034</v>
      </c>
      <c r="I249">
        <v>-0.48099999999999998</v>
      </c>
    </row>
    <row r="250" spans="1:9">
      <c r="A250" t="s">
        <v>104</v>
      </c>
      <c r="B250" t="s">
        <v>105</v>
      </c>
      <c r="C250" t="s">
        <v>80</v>
      </c>
      <c r="D250" t="s">
        <v>92</v>
      </c>
      <c r="E250" t="s">
        <v>93</v>
      </c>
      <c r="F250" t="s">
        <v>3</v>
      </c>
      <c r="G250" t="s">
        <v>109</v>
      </c>
      <c r="H250" s="62">
        <v>2034</v>
      </c>
      <c r="I250">
        <v>-3.0409999999999999</v>
      </c>
    </row>
    <row r="251" spans="1:9">
      <c r="A251" t="s">
        <v>104</v>
      </c>
      <c r="B251" t="s">
        <v>105</v>
      </c>
      <c r="C251" t="s">
        <v>80</v>
      </c>
      <c r="D251" t="s">
        <v>92</v>
      </c>
      <c r="E251" t="s">
        <v>94</v>
      </c>
      <c r="F251" t="s">
        <v>3</v>
      </c>
      <c r="G251" t="s">
        <v>109</v>
      </c>
      <c r="H251" s="62">
        <v>2034</v>
      </c>
      <c r="I251">
        <v>29.467199999999998</v>
      </c>
    </row>
    <row r="252" spans="1:9">
      <c r="A252" t="s">
        <v>104</v>
      </c>
      <c r="B252" t="s">
        <v>105</v>
      </c>
      <c r="C252" t="s">
        <v>80</v>
      </c>
      <c r="D252" t="s">
        <v>92</v>
      </c>
      <c r="E252" t="s">
        <v>110</v>
      </c>
      <c r="F252" t="s">
        <v>3</v>
      </c>
      <c r="G252" t="s">
        <v>109</v>
      </c>
      <c r="H252" s="62">
        <v>2034</v>
      </c>
      <c r="I252">
        <v>0</v>
      </c>
    </row>
    <row r="253" spans="1:9">
      <c r="A253" t="s">
        <v>104</v>
      </c>
      <c r="B253" t="s">
        <v>105</v>
      </c>
      <c r="C253" t="s">
        <v>80</v>
      </c>
      <c r="D253" t="s">
        <v>92</v>
      </c>
      <c r="E253" t="s">
        <v>95</v>
      </c>
      <c r="F253" t="s">
        <v>3</v>
      </c>
      <c r="G253" t="s">
        <v>109</v>
      </c>
      <c r="H253" s="62">
        <v>2034</v>
      </c>
      <c r="I253">
        <v>17.496099999999998</v>
      </c>
    </row>
    <row r="254" spans="1:9">
      <c r="A254" t="s">
        <v>104</v>
      </c>
      <c r="B254" t="s">
        <v>105</v>
      </c>
      <c r="C254" t="s">
        <v>80</v>
      </c>
      <c r="D254" t="s">
        <v>96</v>
      </c>
      <c r="E254" t="s">
        <v>92</v>
      </c>
      <c r="F254" t="s">
        <v>3</v>
      </c>
      <c r="G254" t="s">
        <v>109</v>
      </c>
      <c r="H254" s="62">
        <v>2034</v>
      </c>
      <c r="I254">
        <v>4.3056999999999999</v>
      </c>
    </row>
    <row r="255" spans="1:9">
      <c r="A255" t="s">
        <v>104</v>
      </c>
      <c r="B255" t="s">
        <v>105</v>
      </c>
      <c r="C255" t="s">
        <v>80</v>
      </c>
      <c r="D255" t="s">
        <v>96</v>
      </c>
      <c r="E255" t="s">
        <v>89</v>
      </c>
      <c r="F255" t="s">
        <v>3</v>
      </c>
      <c r="G255" t="s">
        <v>109</v>
      </c>
      <c r="H255" s="62">
        <v>2034</v>
      </c>
      <c r="I255">
        <v>1.1752</v>
      </c>
    </row>
    <row r="256" spans="1:9">
      <c r="A256" t="s">
        <v>104</v>
      </c>
      <c r="B256" t="s">
        <v>105</v>
      </c>
      <c r="C256" t="s">
        <v>80</v>
      </c>
      <c r="D256" t="s">
        <v>97</v>
      </c>
      <c r="E256" t="s">
        <v>98</v>
      </c>
      <c r="F256" t="s">
        <v>3</v>
      </c>
      <c r="G256" t="s">
        <v>109</v>
      </c>
      <c r="H256" s="62">
        <v>2034</v>
      </c>
      <c r="I256">
        <v>4.2506000000000004</v>
      </c>
    </row>
    <row r="257" spans="1:9">
      <c r="A257" t="s">
        <v>104</v>
      </c>
      <c r="B257" t="s">
        <v>105</v>
      </c>
      <c r="C257" t="s">
        <v>80</v>
      </c>
      <c r="D257" t="s">
        <v>97</v>
      </c>
      <c r="E257" t="s">
        <v>99</v>
      </c>
      <c r="F257" t="s">
        <v>3</v>
      </c>
      <c r="G257" t="s">
        <v>109</v>
      </c>
      <c r="H257" s="62">
        <v>2034</v>
      </c>
      <c r="I257">
        <v>1.89E-2</v>
      </c>
    </row>
    <row r="258" spans="1:9">
      <c r="A258" t="s">
        <v>104</v>
      </c>
      <c r="B258" t="s">
        <v>105</v>
      </c>
      <c r="C258" t="s">
        <v>80</v>
      </c>
      <c r="D258" t="s">
        <v>100</v>
      </c>
      <c r="E258" t="s">
        <v>101</v>
      </c>
      <c r="F258" t="s">
        <v>3</v>
      </c>
      <c r="G258" t="s">
        <v>109</v>
      </c>
      <c r="H258" s="62">
        <v>2034</v>
      </c>
      <c r="I258">
        <v>4.2256999999999998</v>
      </c>
    </row>
    <row r="259" spans="1:9">
      <c r="A259" t="s">
        <v>104</v>
      </c>
      <c r="B259" t="s">
        <v>105</v>
      </c>
      <c r="C259" t="s">
        <v>80</v>
      </c>
      <c r="D259" t="s">
        <v>100</v>
      </c>
      <c r="E259" t="s">
        <v>102</v>
      </c>
      <c r="F259" t="s">
        <v>3</v>
      </c>
      <c r="G259" t="s">
        <v>109</v>
      </c>
      <c r="H259" s="62">
        <v>2034</v>
      </c>
      <c r="I259">
        <v>0</v>
      </c>
    </row>
    <row r="260" spans="1:9">
      <c r="A260" t="s">
        <v>104</v>
      </c>
      <c r="B260" t="s">
        <v>105</v>
      </c>
      <c r="C260" t="s">
        <v>80</v>
      </c>
      <c r="D260" t="s">
        <v>100</v>
      </c>
      <c r="E260" t="s">
        <v>111</v>
      </c>
      <c r="F260" t="s">
        <v>3</v>
      </c>
      <c r="G260" t="s">
        <v>109</v>
      </c>
      <c r="H260" s="62">
        <v>2034</v>
      </c>
      <c r="I260">
        <v>0</v>
      </c>
    </row>
    <row r="261" spans="1:9">
      <c r="A261" t="s">
        <v>104</v>
      </c>
      <c r="B261" t="s">
        <v>105</v>
      </c>
      <c r="C261" t="s">
        <v>80</v>
      </c>
      <c r="D261" t="s">
        <v>100</v>
      </c>
      <c r="E261" t="s">
        <v>112</v>
      </c>
      <c r="F261" t="s">
        <v>3</v>
      </c>
      <c r="G261" t="s">
        <v>109</v>
      </c>
      <c r="H261" s="62">
        <v>2034</v>
      </c>
      <c r="I261">
        <v>0</v>
      </c>
    </row>
    <row r="262" spans="1:9">
      <c r="A262" t="s">
        <v>104</v>
      </c>
      <c r="B262" t="s">
        <v>105</v>
      </c>
      <c r="C262" t="s">
        <v>80</v>
      </c>
      <c r="D262" t="s">
        <v>83</v>
      </c>
      <c r="E262" t="s">
        <v>84</v>
      </c>
      <c r="F262" t="s">
        <v>3</v>
      </c>
      <c r="G262" t="s">
        <v>109</v>
      </c>
      <c r="H262" s="62">
        <v>2034</v>
      </c>
      <c r="I262">
        <v>1.8985000000000001</v>
      </c>
    </row>
    <row r="263" spans="1:9">
      <c r="A263" t="s">
        <v>104</v>
      </c>
      <c r="B263" t="s">
        <v>105</v>
      </c>
      <c r="C263" t="s">
        <v>80</v>
      </c>
      <c r="D263" t="s">
        <v>83</v>
      </c>
      <c r="E263" t="s">
        <v>85</v>
      </c>
      <c r="F263" t="s">
        <v>3</v>
      </c>
      <c r="G263" t="s">
        <v>109</v>
      </c>
      <c r="H263" s="62">
        <v>2034</v>
      </c>
      <c r="I263">
        <v>1.8088</v>
      </c>
    </row>
    <row r="264" spans="1:9">
      <c r="A264" t="s">
        <v>104</v>
      </c>
      <c r="B264" t="s">
        <v>105</v>
      </c>
      <c r="C264" t="s">
        <v>80</v>
      </c>
      <c r="D264" t="s">
        <v>86</v>
      </c>
      <c r="E264" t="s">
        <v>106</v>
      </c>
      <c r="F264" t="s">
        <v>3</v>
      </c>
      <c r="G264" t="s">
        <v>109</v>
      </c>
      <c r="H264" s="62">
        <v>2034</v>
      </c>
      <c r="I264">
        <v>1.2287999999999999</v>
      </c>
    </row>
    <row r="265" spans="1:9">
      <c r="A265" t="s">
        <v>104</v>
      </c>
      <c r="B265" t="s">
        <v>105</v>
      </c>
      <c r="C265" t="s">
        <v>80</v>
      </c>
      <c r="D265" t="s">
        <v>86</v>
      </c>
      <c r="E265" t="s">
        <v>87</v>
      </c>
      <c r="F265" t="s">
        <v>3</v>
      </c>
      <c r="G265" t="s">
        <v>109</v>
      </c>
      <c r="H265" s="62">
        <v>2034</v>
      </c>
      <c r="I265">
        <v>2.2932000000000001</v>
      </c>
    </row>
    <row r="266" spans="1:9">
      <c r="A266" t="s">
        <v>104</v>
      </c>
      <c r="B266" t="s">
        <v>105</v>
      </c>
      <c r="C266" t="s">
        <v>80</v>
      </c>
      <c r="D266" t="s">
        <v>103</v>
      </c>
      <c r="E266" t="s">
        <v>92</v>
      </c>
      <c r="F266" t="s">
        <v>3</v>
      </c>
      <c r="G266" t="s">
        <v>109</v>
      </c>
      <c r="H266" s="62">
        <v>2034</v>
      </c>
      <c r="I266">
        <v>2.8927999999999998</v>
      </c>
    </row>
    <row r="267" spans="1:9">
      <c r="A267" t="s">
        <v>104</v>
      </c>
      <c r="B267" t="s">
        <v>105</v>
      </c>
      <c r="C267" t="s">
        <v>80</v>
      </c>
      <c r="D267" t="s">
        <v>103</v>
      </c>
      <c r="E267" t="s">
        <v>89</v>
      </c>
      <c r="F267" t="s">
        <v>3</v>
      </c>
      <c r="G267" t="s">
        <v>109</v>
      </c>
      <c r="H267" s="62">
        <v>2034</v>
      </c>
      <c r="I267">
        <v>14.7744</v>
      </c>
    </row>
    <row r="268" spans="1:9">
      <c r="A268" t="s">
        <v>104</v>
      </c>
      <c r="B268" t="s">
        <v>105</v>
      </c>
      <c r="C268" t="s">
        <v>107</v>
      </c>
      <c r="D268" t="s">
        <v>107</v>
      </c>
      <c r="E268" t="s">
        <v>107</v>
      </c>
      <c r="F268" t="s">
        <v>3</v>
      </c>
      <c r="G268" t="s">
        <v>109</v>
      </c>
      <c r="H268" s="62">
        <v>2035</v>
      </c>
      <c r="I268">
        <v>69.477599999999995</v>
      </c>
    </row>
    <row r="269" spans="1:9">
      <c r="A269" t="s">
        <v>104</v>
      </c>
      <c r="B269" t="s">
        <v>105</v>
      </c>
      <c r="C269" t="s">
        <v>107</v>
      </c>
      <c r="D269" t="s">
        <v>108</v>
      </c>
      <c r="E269" t="s">
        <v>108</v>
      </c>
      <c r="F269" t="s">
        <v>3</v>
      </c>
      <c r="G269" t="s">
        <v>109</v>
      </c>
      <c r="H269" s="62">
        <v>2035</v>
      </c>
      <c r="I269">
        <v>0.70399999999999996</v>
      </c>
    </row>
    <row r="270" spans="1:9">
      <c r="A270" t="s">
        <v>104</v>
      </c>
      <c r="B270" t="s">
        <v>105</v>
      </c>
      <c r="C270" t="s">
        <v>80</v>
      </c>
      <c r="D270" t="s">
        <v>80</v>
      </c>
      <c r="E270" t="s">
        <v>80</v>
      </c>
      <c r="F270" t="s">
        <v>3</v>
      </c>
      <c r="G270" t="s">
        <v>109</v>
      </c>
      <c r="H270" s="62">
        <v>2035</v>
      </c>
      <c r="I270">
        <v>68.773600000000002</v>
      </c>
    </row>
    <row r="271" spans="1:9">
      <c r="A271" t="s">
        <v>104</v>
      </c>
      <c r="B271" t="s">
        <v>105</v>
      </c>
      <c r="C271" t="s">
        <v>80</v>
      </c>
      <c r="D271" t="s">
        <v>89</v>
      </c>
      <c r="E271" t="s">
        <v>90</v>
      </c>
      <c r="F271" t="s">
        <v>3</v>
      </c>
      <c r="G271" t="s">
        <v>109</v>
      </c>
      <c r="H271" s="62">
        <v>2035</v>
      </c>
      <c r="I271">
        <v>6.5987999999999998</v>
      </c>
    </row>
    <row r="272" spans="1:9">
      <c r="A272" t="s">
        <v>104</v>
      </c>
      <c r="B272" t="s">
        <v>105</v>
      </c>
      <c r="C272" t="s">
        <v>80</v>
      </c>
      <c r="D272" t="s">
        <v>89</v>
      </c>
      <c r="E272" t="s">
        <v>91</v>
      </c>
      <c r="F272" t="s">
        <v>3</v>
      </c>
      <c r="G272" t="s">
        <v>109</v>
      </c>
      <c r="H272" s="62">
        <v>2035</v>
      </c>
      <c r="I272">
        <v>-0.4587</v>
      </c>
    </row>
    <row r="273" spans="1:9">
      <c r="A273" t="s">
        <v>104</v>
      </c>
      <c r="B273" t="s">
        <v>105</v>
      </c>
      <c r="C273" t="s">
        <v>80</v>
      </c>
      <c r="D273" t="s">
        <v>92</v>
      </c>
      <c r="E273" t="s">
        <v>93</v>
      </c>
      <c r="F273" t="s">
        <v>3</v>
      </c>
      <c r="G273" t="s">
        <v>109</v>
      </c>
      <c r="H273" s="62">
        <v>2035</v>
      </c>
      <c r="I273">
        <v>-3.2603</v>
      </c>
    </row>
    <row r="274" spans="1:9">
      <c r="A274" t="s">
        <v>104</v>
      </c>
      <c r="B274" t="s">
        <v>105</v>
      </c>
      <c r="C274" t="s">
        <v>80</v>
      </c>
      <c r="D274" t="s">
        <v>92</v>
      </c>
      <c r="E274" t="s">
        <v>94</v>
      </c>
      <c r="F274" t="s">
        <v>3</v>
      </c>
      <c r="G274" t="s">
        <v>109</v>
      </c>
      <c r="H274" s="62">
        <v>2035</v>
      </c>
      <c r="I274">
        <v>29.3812</v>
      </c>
    </row>
    <row r="275" spans="1:9">
      <c r="A275" t="s">
        <v>104</v>
      </c>
      <c r="B275" t="s">
        <v>105</v>
      </c>
      <c r="C275" t="s">
        <v>80</v>
      </c>
      <c r="D275" t="s">
        <v>92</v>
      </c>
      <c r="E275" t="s">
        <v>110</v>
      </c>
      <c r="F275" t="s">
        <v>3</v>
      </c>
      <c r="G275" t="s">
        <v>109</v>
      </c>
      <c r="H275" s="62">
        <v>2035</v>
      </c>
      <c r="I275">
        <v>0</v>
      </c>
    </row>
    <row r="276" spans="1:9">
      <c r="A276" t="s">
        <v>104</v>
      </c>
      <c r="B276" t="s">
        <v>105</v>
      </c>
      <c r="C276" t="s">
        <v>80</v>
      </c>
      <c r="D276" t="s">
        <v>92</v>
      </c>
      <c r="E276" t="s">
        <v>95</v>
      </c>
      <c r="F276" t="s">
        <v>3</v>
      </c>
      <c r="G276" t="s">
        <v>109</v>
      </c>
      <c r="H276" s="62">
        <v>2035</v>
      </c>
      <c r="I276">
        <v>17.520700000000001</v>
      </c>
    </row>
    <row r="277" spans="1:9">
      <c r="A277" t="s">
        <v>104</v>
      </c>
      <c r="B277" t="s">
        <v>105</v>
      </c>
      <c r="C277" t="s">
        <v>80</v>
      </c>
      <c r="D277" t="s">
        <v>96</v>
      </c>
      <c r="E277" t="s">
        <v>92</v>
      </c>
      <c r="F277" t="s">
        <v>3</v>
      </c>
      <c r="G277" t="s">
        <v>109</v>
      </c>
      <c r="H277" s="62">
        <v>2035</v>
      </c>
      <c r="I277">
        <v>4.1897000000000002</v>
      </c>
    </row>
    <row r="278" spans="1:9">
      <c r="A278" t="s">
        <v>104</v>
      </c>
      <c r="B278" t="s">
        <v>105</v>
      </c>
      <c r="C278" t="s">
        <v>80</v>
      </c>
      <c r="D278" t="s">
        <v>96</v>
      </c>
      <c r="E278" t="s">
        <v>89</v>
      </c>
      <c r="F278" t="s">
        <v>3</v>
      </c>
      <c r="G278" t="s">
        <v>109</v>
      </c>
      <c r="H278" s="62">
        <v>2035</v>
      </c>
      <c r="I278">
        <v>1.2996000000000001</v>
      </c>
    </row>
    <row r="279" spans="1:9">
      <c r="A279" t="s">
        <v>104</v>
      </c>
      <c r="B279" t="s">
        <v>105</v>
      </c>
      <c r="C279" t="s">
        <v>80</v>
      </c>
      <c r="D279" t="s">
        <v>97</v>
      </c>
      <c r="E279" t="s">
        <v>98</v>
      </c>
      <c r="F279" t="s">
        <v>3</v>
      </c>
      <c r="G279" t="s">
        <v>109</v>
      </c>
      <c r="H279" s="62">
        <v>2035</v>
      </c>
      <c r="I279">
        <v>4.9108999999999998</v>
      </c>
    </row>
    <row r="280" spans="1:9">
      <c r="A280" t="s">
        <v>104</v>
      </c>
      <c r="B280" t="s">
        <v>105</v>
      </c>
      <c r="C280" t="s">
        <v>80</v>
      </c>
      <c r="D280" t="s">
        <v>97</v>
      </c>
      <c r="E280" t="s">
        <v>99</v>
      </c>
      <c r="F280" t="s">
        <v>3</v>
      </c>
      <c r="G280" t="s">
        <v>109</v>
      </c>
      <c r="H280" s="62">
        <v>2035</v>
      </c>
      <c r="I280">
        <v>2.6800000000000001E-2</v>
      </c>
    </row>
    <row r="281" spans="1:9">
      <c r="A281" t="s">
        <v>104</v>
      </c>
      <c r="B281" t="s">
        <v>105</v>
      </c>
      <c r="C281" t="s">
        <v>80</v>
      </c>
      <c r="D281" t="s">
        <v>100</v>
      </c>
      <c r="E281" t="s">
        <v>101</v>
      </c>
      <c r="F281" t="s">
        <v>3</v>
      </c>
      <c r="G281" t="s">
        <v>109</v>
      </c>
      <c r="H281" s="62">
        <v>2035</v>
      </c>
      <c r="I281">
        <v>4.8733000000000004</v>
      </c>
    </row>
    <row r="282" spans="1:9">
      <c r="A282" t="s">
        <v>104</v>
      </c>
      <c r="B282" t="s">
        <v>105</v>
      </c>
      <c r="C282" t="s">
        <v>80</v>
      </c>
      <c r="D282" t="s">
        <v>100</v>
      </c>
      <c r="E282" t="s">
        <v>102</v>
      </c>
      <c r="F282" t="s">
        <v>3</v>
      </c>
      <c r="G282" t="s">
        <v>109</v>
      </c>
      <c r="H282" s="62">
        <v>2035</v>
      </c>
      <c r="I282">
        <v>0</v>
      </c>
    </row>
    <row r="283" spans="1:9">
      <c r="A283" t="s">
        <v>104</v>
      </c>
      <c r="B283" t="s">
        <v>105</v>
      </c>
      <c r="C283" t="s">
        <v>80</v>
      </c>
      <c r="D283" t="s">
        <v>100</v>
      </c>
      <c r="E283" t="s">
        <v>111</v>
      </c>
      <c r="F283" t="s">
        <v>3</v>
      </c>
      <c r="G283" t="s">
        <v>109</v>
      </c>
      <c r="H283" s="62">
        <v>2035</v>
      </c>
      <c r="I283">
        <v>0</v>
      </c>
    </row>
    <row r="284" spans="1:9">
      <c r="A284" t="s">
        <v>104</v>
      </c>
      <c r="B284" t="s">
        <v>105</v>
      </c>
      <c r="C284" t="s">
        <v>80</v>
      </c>
      <c r="D284" t="s">
        <v>100</v>
      </c>
      <c r="E284" t="s">
        <v>112</v>
      </c>
      <c r="F284" t="s">
        <v>3</v>
      </c>
      <c r="G284" t="s">
        <v>109</v>
      </c>
      <c r="H284" s="62">
        <v>2035</v>
      </c>
      <c r="I284">
        <v>0</v>
      </c>
    </row>
    <row r="285" spans="1:9">
      <c r="A285" t="s">
        <v>104</v>
      </c>
      <c r="B285" t="s">
        <v>105</v>
      </c>
      <c r="C285" t="s">
        <v>80</v>
      </c>
      <c r="D285" t="s">
        <v>83</v>
      </c>
      <c r="E285" t="s">
        <v>84</v>
      </c>
      <c r="F285" t="s">
        <v>3</v>
      </c>
      <c r="G285" t="s">
        <v>109</v>
      </c>
      <c r="H285" s="62">
        <v>2035</v>
      </c>
      <c r="I285">
        <v>1.8888</v>
      </c>
    </row>
    <row r="286" spans="1:9">
      <c r="A286" t="s">
        <v>104</v>
      </c>
      <c r="B286" t="s">
        <v>105</v>
      </c>
      <c r="C286" t="s">
        <v>80</v>
      </c>
      <c r="D286" t="s">
        <v>83</v>
      </c>
      <c r="E286" t="s">
        <v>85</v>
      </c>
      <c r="F286" t="s">
        <v>3</v>
      </c>
      <c r="G286" t="s">
        <v>109</v>
      </c>
      <c r="H286" s="62">
        <v>2035</v>
      </c>
      <c r="I286">
        <v>1.8028</v>
      </c>
    </row>
    <row r="287" spans="1:9">
      <c r="A287" t="s">
        <v>104</v>
      </c>
      <c r="B287" t="s">
        <v>105</v>
      </c>
      <c r="C287" t="s">
        <v>80</v>
      </c>
      <c r="D287" t="s">
        <v>86</v>
      </c>
      <c r="E287" t="s">
        <v>106</v>
      </c>
      <c r="F287" t="s">
        <v>3</v>
      </c>
      <c r="G287" t="s">
        <v>109</v>
      </c>
      <c r="H287" s="62">
        <v>2035</v>
      </c>
      <c r="I287">
        <v>1.2354000000000001</v>
      </c>
    </row>
    <row r="288" spans="1:9">
      <c r="A288" t="s">
        <v>104</v>
      </c>
      <c r="B288" t="s">
        <v>105</v>
      </c>
      <c r="C288" t="s">
        <v>80</v>
      </c>
      <c r="D288" t="s">
        <v>86</v>
      </c>
      <c r="E288" t="s">
        <v>87</v>
      </c>
      <c r="F288" t="s">
        <v>3</v>
      </c>
      <c r="G288" t="s">
        <v>109</v>
      </c>
      <c r="H288" s="62">
        <v>2035</v>
      </c>
      <c r="I288">
        <v>2.4836</v>
      </c>
    </row>
    <row r="289" spans="1:9">
      <c r="A289" t="s">
        <v>104</v>
      </c>
      <c r="B289" t="s">
        <v>105</v>
      </c>
      <c r="C289" t="s">
        <v>80</v>
      </c>
      <c r="D289" t="s">
        <v>103</v>
      </c>
      <c r="E289" t="s">
        <v>92</v>
      </c>
      <c r="F289" t="s">
        <v>3</v>
      </c>
      <c r="G289" t="s">
        <v>109</v>
      </c>
      <c r="H289" s="62">
        <v>2035</v>
      </c>
      <c r="I289">
        <v>3.0341</v>
      </c>
    </row>
    <row r="290" spans="1:9">
      <c r="A290" t="s">
        <v>104</v>
      </c>
      <c r="B290" t="s">
        <v>105</v>
      </c>
      <c r="C290" t="s">
        <v>80</v>
      </c>
      <c r="D290" t="s">
        <v>103</v>
      </c>
      <c r="E290" t="s">
        <v>89</v>
      </c>
      <c r="F290" t="s">
        <v>3</v>
      </c>
      <c r="G290" t="s">
        <v>109</v>
      </c>
      <c r="H290" s="62">
        <v>2035</v>
      </c>
      <c r="I290">
        <v>15.5465</v>
      </c>
    </row>
    <row r="291" spans="1:9">
      <c r="A291" t="s">
        <v>104</v>
      </c>
      <c r="B291" t="s">
        <v>105</v>
      </c>
      <c r="C291" t="s">
        <v>107</v>
      </c>
      <c r="D291" t="s">
        <v>107</v>
      </c>
      <c r="E291" t="s">
        <v>107</v>
      </c>
      <c r="F291" t="s">
        <v>3</v>
      </c>
      <c r="G291" t="s">
        <v>109</v>
      </c>
      <c r="H291" s="62">
        <v>2036</v>
      </c>
      <c r="I291">
        <v>70.323099999999997</v>
      </c>
    </row>
    <row r="292" spans="1:9">
      <c r="A292" t="s">
        <v>104</v>
      </c>
      <c r="B292" t="s">
        <v>105</v>
      </c>
      <c r="C292" t="s">
        <v>107</v>
      </c>
      <c r="D292" t="s">
        <v>108</v>
      </c>
      <c r="E292" t="s">
        <v>108</v>
      </c>
      <c r="F292" t="s">
        <v>3</v>
      </c>
      <c r="G292" t="s">
        <v>109</v>
      </c>
      <c r="H292" s="62">
        <v>2036</v>
      </c>
      <c r="I292">
        <v>0.63580000000000003</v>
      </c>
    </row>
    <row r="293" spans="1:9">
      <c r="A293" t="s">
        <v>104</v>
      </c>
      <c r="B293" t="s">
        <v>105</v>
      </c>
      <c r="C293" t="s">
        <v>80</v>
      </c>
      <c r="D293" t="s">
        <v>80</v>
      </c>
      <c r="E293" t="s">
        <v>80</v>
      </c>
      <c r="F293" t="s">
        <v>3</v>
      </c>
      <c r="G293" t="s">
        <v>109</v>
      </c>
      <c r="H293" s="62">
        <v>2036</v>
      </c>
      <c r="I293">
        <v>69.687299999999993</v>
      </c>
    </row>
    <row r="294" spans="1:9">
      <c r="A294" t="s">
        <v>104</v>
      </c>
      <c r="B294" t="s">
        <v>105</v>
      </c>
      <c r="C294" t="s">
        <v>80</v>
      </c>
      <c r="D294" t="s">
        <v>89</v>
      </c>
      <c r="E294" t="s">
        <v>90</v>
      </c>
      <c r="F294" t="s">
        <v>3</v>
      </c>
      <c r="G294" t="s">
        <v>109</v>
      </c>
      <c r="H294" s="62">
        <v>2036</v>
      </c>
      <c r="I294">
        <v>5.8151999999999999</v>
      </c>
    </row>
    <row r="295" spans="1:9">
      <c r="A295" t="s">
        <v>104</v>
      </c>
      <c r="B295" t="s">
        <v>105</v>
      </c>
      <c r="C295" t="s">
        <v>80</v>
      </c>
      <c r="D295" t="s">
        <v>89</v>
      </c>
      <c r="E295" t="s">
        <v>91</v>
      </c>
      <c r="F295" t="s">
        <v>3</v>
      </c>
      <c r="G295" t="s">
        <v>109</v>
      </c>
      <c r="H295" s="62">
        <v>2036</v>
      </c>
      <c r="I295">
        <v>-0.42870000000000003</v>
      </c>
    </row>
    <row r="296" spans="1:9">
      <c r="A296" t="s">
        <v>104</v>
      </c>
      <c r="B296" t="s">
        <v>105</v>
      </c>
      <c r="C296" t="s">
        <v>80</v>
      </c>
      <c r="D296" t="s">
        <v>92</v>
      </c>
      <c r="E296" t="s">
        <v>93</v>
      </c>
      <c r="F296" t="s">
        <v>3</v>
      </c>
      <c r="G296" t="s">
        <v>109</v>
      </c>
      <c r="H296" s="62">
        <v>2036</v>
      </c>
      <c r="I296">
        <v>-3.4725999999999999</v>
      </c>
    </row>
    <row r="297" spans="1:9">
      <c r="A297" t="s">
        <v>104</v>
      </c>
      <c r="B297" t="s">
        <v>105</v>
      </c>
      <c r="C297" t="s">
        <v>80</v>
      </c>
      <c r="D297" t="s">
        <v>92</v>
      </c>
      <c r="E297" t="s">
        <v>94</v>
      </c>
      <c r="F297" t="s">
        <v>3</v>
      </c>
      <c r="G297" t="s">
        <v>109</v>
      </c>
      <c r="H297" s="62">
        <v>2036</v>
      </c>
      <c r="I297">
        <v>29.546800000000001</v>
      </c>
    </row>
    <row r="298" spans="1:9">
      <c r="A298" t="s">
        <v>104</v>
      </c>
      <c r="B298" t="s">
        <v>105</v>
      </c>
      <c r="C298" t="s">
        <v>80</v>
      </c>
      <c r="D298" t="s">
        <v>92</v>
      </c>
      <c r="E298" t="s">
        <v>110</v>
      </c>
      <c r="F298" t="s">
        <v>3</v>
      </c>
      <c r="G298" t="s">
        <v>109</v>
      </c>
      <c r="H298" s="62">
        <v>2036</v>
      </c>
      <c r="I298">
        <v>0</v>
      </c>
    </row>
    <row r="299" spans="1:9">
      <c r="A299" t="s">
        <v>104</v>
      </c>
      <c r="B299" t="s">
        <v>105</v>
      </c>
      <c r="C299" t="s">
        <v>80</v>
      </c>
      <c r="D299" t="s">
        <v>92</v>
      </c>
      <c r="E299" t="s">
        <v>95</v>
      </c>
      <c r="F299" t="s">
        <v>3</v>
      </c>
      <c r="G299" t="s">
        <v>109</v>
      </c>
      <c r="H299" s="62">
        <v>2036</v>
      </c>
      <c r="I299">
        <v>17.553100000000001</v>
      </c>
    </row>
    <row r="300" spans="1:9">
      <c r="A300" t="s">
        <v>104</v>
      </c>
      <c r="B300" t="s">
        <v>105</v>
      </c>
      <c r="C300" t="s">
        <v>80</v>
      </c>
      <c r="D300" t="s">
        <v>96</v>
      </c>
      <c r="E300" t="s">
        <v>92</v>
      </c>
      <c r="F300" t="s">
        <v>3</v>
      </c>
      <c r="G300" t="s">
        <v>109</v>
      </c>
      <c r="H300" s="62">
        <v>2036</v>
      </c>
      <c r="I300">
        <v>4.2416999999999998</v>
      </c>
    </row>
    <row r="301" spans="1:9">
      <c r="A301" t="s">
        <v>104</v>
      </c>
      <c r="B301" t="s">
        <v>105</v>
      </c>
      <c r="C301" t="s">
        <v>80</v>
      </c>
      <c r="D301" t="s">
        <v>96</v>
      </c>
      <c r="E301" t="s">
        <v>89</v>
      </c>
      <c r="F301" t="s">
        <v>3</v>
      </c>
      <c r="G301" t="s">
        <v>109</v>
      </c>
      <c r="H301" s="62">
        <v>2036</v>
      </c>
      <c r="I301">
        <v>1.4249000000000001</v>
      </c>
    </row>
    <row r="302" spans="1:9">
      <c r="A302" t="s">
        <v>104</v>
      </c>
      <c r="B302" t="s">
        <v>105</v>
      </c>
      <c r="C302" t="s">
        <v>80</v>
      </c>
      <c r="D302" t="s">
        <v>97</v>
      </c>
      <c r="E302" t="s">
        <v>98</v>
      </c>
      <c r="F302" t="s">
        <v>3</v>
      </c>
      <c r="G302" t="s">
        <v>109</v>
      </c>
      <c r="H302" s="62">
        <v>2036</v>
      </c>
      <c r="I302">
        <v>5.9073000000000002</v>
      </c>
    </row>
    <row r="303" spans="1:9">
      <c r="A303" t="s">
        <v>104</v>
      </c>
      <c r="B303" t="s">
        <v>105</v>
      </c>
      <c r="C303" t="s">
        <v>80</v>
      </c>
      <c r="D303" t="s">
        <v>97</v>
      </c>
      <c r="E303" t="s">
        <v>99</v>
      </c>
      <c r="F303" t="s">
        <v>3</v>
      </c>
      <c r="G303" t="s">
        <v>109</v>
      </c>
      <c r="H303" s="62">
        <v>2036</v>
      </c>
      <c r="I303">
        <v>3.6400000000000002E-2</v>
      </c>
    </row>
    <row r="304" spans="1:9">
      <c r="A304" t="s">
        <v>104</v>
      </c>
      <c r="B304" t="s">
        <v>105</v>
      </c>
      <c r="C304" t="s">
        <v>80</v>
      </c>
      <c r="D304" t="s">
        <v>100</v>
      </c>
      <c r="E304" t="s">
        <v>101</v>
      </c>
      <c r="F304" t="s">
        <v>3</v>
      </c>
      <c r="G304" t="s">
        <v>109</v>
      </c>
      <c r="H304" s="62">
        <v>2036</v>
      </c>
      <c r="I304">
        <v>5.3319000000000001</v>
      </c>
    </row>
    <row r="305" spans="1:9">
      <c r="A305" t="s">
        <v>104</v>
      </c>
      <c r="B305" t="s">
        <v>105</v>
      </c>
      <c r="C305" t="s">
        <v>80</v>
      </c>
      <c r="D305" t="s">
        <v>100</v>
      </c>
      <c r="E305" t="s">
        <v>102</v>
      </c>
      <c r="F305" t="s">
        <v>3</v>
      </c>
      <c r="G305" t="s">
        <v>109</v>
      </c>
      <c r="H305" s="62">
        <v>2036</v>
      </c>
      <c r="I305">
        <v>0</v>
      </c>
    </row>
    <row r="306" spans="1:9">
      <c r="A306" t="s">
        <v>104</v>
      </c>
      <c r="B306" t="s">
        <v>105</v>
      </c>
      <c r="C306" t="s">
        <v>80</v>
      </c>
      <c r="D306" t="s">
        <v>100</v>
      </c>
      <c r="E306" t="s">
        <v>111</v>
      </c>
      <c r="F306" t="s">
        <v>3</v>
      </c>
      <c r="G306" t="s">
        <v>109</v>
      </c>
      <c r="H306" s="62">
        <v>2036</v>
      </c>
      <c r="I306">
        <v>0</v>
      </c>
    </row>
    <row r="307" spans="1:9">
      <c r="A307" t="s">
        <v>104</v>
      </c>
      <c r="B307" t="s">
        <v>105</v>
      </c>
      <c r="C307" t="s">
        <v>80</v>
      </c>
      <c r="D307" t="s">
        <v>100</v>
      </c>
      <c r="E307" t="s">
        <v>112</v>
      </c>
      <c r="F307" t="s">
        <v>3</v>
      </c>
      <c r="G307" t="s">
        <v>109</v>
      </c>
      <c r="H307" s="62">
        <v>2036</v>
      </c>
      <c r="I307">
        <v>0</v>
      </c>
    </row>
    <row r="308" spans="1:9">
      <c r="A308" t="s">
        <v>104</v>
      </c>
      <c r="B308" t="s">
        <v>105</v>
      </c>
      <c r="C308" t="s">
        <v>80</v>
      </c>
      <c r="D308" t="s">
        <v>83</v>
      </c>
      <c r="E308" t="s">
        <v>84</v>
      </c>
      <c r="F308" t="s">
        <v>3</v>
      </c>
      <c r="G308" t="s">
        <v>109</v>
      </c>
      <c r="H308" s="62">
        <v>2036</v>
      </c>
      <c r="I308">
        <v>1.9117999999999999</v>
      </c>
    </row>
    <row r="309" spans="1:9">
      <c r="A309" t="s">
        <v>104</v>
      </c>
      <c r="B309" t="s">
        <v>105</v>
      </c>
      <c r="C309" t="s">
        <v>80</v>
      </c>
      <c r="D309" t="s">
        <v>83</v>
      </c>
      <c r="E309" t="s">
        <v>85</v>
      </c>
      <c r="F309" t="s">
        <v>3</v>
      </c>
      <c r="G309" t="s">
        <v>109</v>
      </c>
      <c r="H309" s="62">
        <v>2036</v>
      </c>
      <c r="I309">
        <v>1.8196000000000001</v>
      </c>
    </row>
    <row r="310" spans="1:9">
      <c r="A310" t="s">
        <v>104</v>
      </c>
      <c r="B310" t="s">
        <v>105</v>
      </c>
      <c r="C310" t="s">
        <v>80</v>
      </c>
      <c r="D310" t="s">
        <v>86</v>
      </c>
      <c r="E310" t="s">
        <v>106</v>
      </c>
      <c r="F310" t="s">
        <v>3</v>
      </c>
      <c r="G310" t="s">
        <v>109</v>
      </c>
      <c r="H310" s="62">
        <v>2036</v>
      </c>
      <c r="I310">
        <v>1.2121</v>
      </c>
    </row>
    <row r="311" spans="1:9">
      <c r="A311" t="s">
        <v>104</v>
      </c>
      <c r="B311" t="s">
        <v>105</v>
      </c>
      <c r="C311" t="s">
        <v>80</v>
      </c>
      <c r="D311" t="s">
        <v>86</v>
      </c>
      <c r="E311" t="s">
        <v>87</v>
      </c>
      <c r="F311" t="s">
        <v>3</v>
      </c>
      <c r="G311" t="s">
        <v>109</v>
      </c>
      <c r="H311" s="62">
        <v>2036</v>
      </c>
      <c r="I311">
        <v>2.6892</v>
      </c>
    </row>
    <row r="312" spans="1:9">
      <c r="A312" t="s">
        <v>104</v>
      </c>
      <c r="B312" t="s">
        <v>105</v>
      </c>
      <c r="C312" t="s">
        <v>80</v>
      </c>
      <c r="D312" t="s">
        <v>103</v>
      </c>
      <c r="E312" t="s">
        <v>92</v>
      </c>
      <c r="F312" t="s">
        <v>3</v>
      </c>
      <c r="G312" t="s">
        <v>109</v>
      </c>
      <c r="H312" s="62">
        <v>2036</v>
      </c>
      <c r="I312">
        <v>3.1823999999999999</v>
      </c>
    </row>
    <row r="313" spans="1:9">
      <c r="A313" t="s">
        <v>104</v>
      </c>
      <c r="B313" t="s">
        <v>105</v>
      </c>
      <c r="C313" t="s">
        <v>80</v>
      </c>
      <c r="D313" t="s">
        <v>103</v>
      </c>
      <c r="E313" t="s">
        <v>89</v>
      </c>
      <c r="F313" t="s">
        <v>3</v>
      </c>
      <c r="G313" t="s">
        <v>109</v>
      </c>
      <c r="H313" s="62">
        <v>2036</v>
      </c>
      <c r="I313">
        <v>16.346399999999999</v>
      </c>
    </row>
    <row r="314" spans="1:9">
      <c r="A314" t="s">
        <v>104</v>
      </c>
      <c r="B314" t="s">
        <v>105</v>
      </c>
      <c r="C314" t="s">
        <v>107</v>
      </c>
      <c r="D314" t="s">
        <v>107</v>
      </c>
      <c r="E314" t="s">
        <v>107</v>
      </c>
      <c r="F314" t="s">
        <v>3</v>
      </c>
      <c r="G314" t="s">
        <v>109</v>
      </c>
      <c r="H314" s="62">
        <v>2037</v>
      </c>
      <c r="I314">
        <v>71.4251</v>
      </c>
    </row>
    <row r="315" spans="1:9">
      <c r="A315" t="s">
        <v>104</v>
      </c>
      <c r="B315" t="s">
        <v>105</v>
      </c>
      <c r="C315" t="s">
        <v>107</v>
      </c>
      <c r="D315" t="s">
        <v>108</v>
      </c>
      <c r="E315" t="s">
        <v>108</v>
      </c>
      <c r="F315" t="s">
        <v>3</v>
      </c>
      <c r="G315" t="s">
        <v>109</v>
      </c>
      <c r="H315" s="62">
        <v>2037</v>
      </c>
      <c r="I315">
        <v>0.44769999999999999</v>
      </c>
    </row>
    <row r="316" spans="1:9">
      <c r="A316" t="s">
        <v>104</v>
      </c>
      <c r="B316" t="s">
        <v>105</v>
      </c>
      <c r="C316" t="s">
        <v>80</v>
      </c>
      <c r="D316" t="s">
        <v>80</v>
      </c>
      <c r="E316" t="s">
        <v>80</v>
      </c>
      <c r="F316" t="s">
        <v>3</v>
      </c>
      <c r="G316" t="s">
        <v>109</v>
      </c>
      <c r="H316" s="62">
        <v>2037</v>
      </c>
      <c r="I316">
        <v>70.977400000000003</v>
      </c>
    </row>
    <row r="317" spans="1:9">
      <c r="A317" t="s">
        <v>104</v>
      </c>
      <c r="B317" t="s">
        <v>105</v>
      </c>
      <c r="C317" t="s">
        <v>80</v>
      </c>
      <c r="D317" t="s">
        <v>89</v>
      </c>
      <c r="E317" t="s">
        <v>90</v>
      </c>
      <c r="F317" t="s">
        <v>3</v>
      </c>
      <c r="G317" t="s">
        <v>109</v>
      </c>
      <c r="H317" s="62">
        <v>2037</v>
      </c>
      <c r="I317">
        <v>5.0271999999999997</v>
      </c>
    </row>
    <row r="318" spans="1:9">
      <c r="A318" t="s">
        <v>104</v>
      </c>
      <c r="B318" t="s">
        <v>105</v>
      </c>
      <c r="C318" t="s">
        <v>80</v>
      </c>
      <c r="D318" t="s">
        <v>89</v>
      </c>
      <c r="E318" t="s">
        <v>91</v>
      </c>
      <c r="F318" t="s">
        <v>3</v>
      </c>
      <c r="G318" t="s">
        <v>109</v>
      </c>
      <c r="H318" s="62">
        <v>2037</v>
      </c>
      <c r="I318">
        <v>-0.39829999999999999</v>
      </c>
    </row>
    <row r="319" spans="1:9">
      <c r="A319" t="s">
        <v>104</v>
      </c>
      <c r="B319" t="s">
        <v>105</v>
      </c>
      <c r="C319" t="s">
        <v>80</v>
      </c>
      <c r="D319" t="s">
        <v>92</v>
      </c>
      <c r="E319" t="s">
        <v>93</v>
      </c>
      <c r="F319" t="s">
        <v>3</v>
      </c>
      <c r="G319" t="s">
        <v>109</v>
      </c>
      <c r="H319" s="62">
        <v>2037</v>
      </c>
      <c r="I319">
        <v>-3.7513000000000001</v>
      </c>
    </row>
    <row r="320" spans="1:9">
      <c r="A320" t="s">
        <v>104</v>
      </c>
      <c r="B320" t="s">
        <v>105</v>
      </c>
      <c r="C320" t="s">
        <v>80</v>
      </c>
      <c r="D320" t="s">
        <v>92</v>
      </c>
      <c r="E320" t="s">
        <v>94</v>
      </c>
      <c r="F320" t="s">
        <v>3</v>
      </c>
      <c r="G320" t="s">
        <v>109</v>
      </c>
      <c r="H320" s="62">
        <v>2037</v>
      </c>
      <c r="I320">
        <v>29.8032</v>
      </c>
    </row>
    <row r="321" spans="1:9">
      <c r="A321" t="s">
        <v>104</v>
      </c>
      <c r="B321" t="s">
        <v>105</v>
      </c>
      <c r="C321" t="s">
        <v>80</v>
      </c>
      <c r="D321" t="s">
        <v>92</v>
      </c>
      <c r="E321" t="s">
        <v>110</v>
      </c>
      <c r="F321" t="s">
        <v>3</v>
      </c>
      <c r="G321" t="s">
        <v>109</v>
      </c>
      <c r="H321" s="62">
        <v>2037</v>
      </c>
      <c r="I321">
        <v>0</v>
      </c>
    </row>
    <row r="322" spans="1:9">
      <c r="A322" t="s">
        <v>104</v>
      </c>
      <c r="B322" t="s">
        <v>105</v>
      </c>
      <c r="C322" t="s">
        <v>80</v>
      </c>
      <c r="D322" t="s">
        <v>92</v>
      </c>
      <c r="E322" t="s">
        <v>95</v>
      </c>
      <c r="F322" t="s">
        <v>3</v>
      </c>
      <c r="G322" t="s">
        <v>109</v>
      </c>
      <c r="H322" s="62">
        <v>2037</v>
      </c>
      <c r="I322">
        <v>17.548500000000001</v>
      </c>
    </row>
    <row r="323" spans="1:9">
      <c r="A323" t="s">
        <v>104</v>
      </c>
      <c r="B323" t="s">
        <v>105</v>
      </c>
      <c r="C323" t="s">
        <v>80</v>
      </c>
      <c r="D323" t="s">
        <v>96</v>
      </c>
      <c r="E323" t="s">
        <v>92</v>
      </c>
      <c r="F323" t="s">
        <v>3</v>
      </c>
      <c r="G323" t="s">
        <v>109</v>
      </c>
      <c r="H323" s="62">
        <v>2037</v>
      </c>
      <c r="I323">
        <v>4.2813999999999997</v>
      </c>
    </row>
    <row r="324" spans="1:9">
      <c r="A324" t="s">
        <v>104</v>
      </c>
      <c r="B324" t="s">
        <v>105</v>
      </c>
      <c r="C324" t="s">
        <v>80</v>
      </c>
      <c r="D324" t="s">
        <v>96</v>
      </c>
      <c r="E324" t="s">
        <v>89</v>
      </c>
      <c r="F324" t="s">
        <v>3</v>
      </c>
      <c r="G324" t="s">
        <v>109</v>
      </c>
      <c r="H324" s="62">
        <v>2037</v>
      </c>
      <c r="I324">
        <v>1.554</v>
      </c>
    </row>
    <row r="325" spans="1:9">
      <c r="A325" t="s">
        <v>104</v>
      </c>
      <c r="B325" t="s">
        <v>105</v>
      </c>
      <c r="C325" t="s">
        <v>80</v>
      </c>
      <c r="D325" t="s">
        <v>97</v>
      </c>
      <c r="E325" t="s">
        <v>98</v>
      </c>
      <c r="F325" t="s">
        <v>3</v>
      </c>
      <c r="G325" t="s">
        <v>109</v>
      </c>
      <c r="H325" s="62">
        <v>2037</v>
      </c>
      <c r="I325">
        <v>7.1276999999999999</v>
      </c>
    </row>
    <row r="326" spans="1:9">
      <c r="A326" t="s">
        <v>104</v>
      </c>
      <c r="B326" t="s">
        <v>105</v>
      </c>
      <c r="C326" t="s">
        <v>80</v>
      </c>
      <c r="D326" t="s">
        <v>97</v>
      </c>
      <c r="E326" t="s">
        <v>99</v>
      </c>
      <c r="F326" t="s">
        <v>3</v>
      </c>
      <c r="G326" t="s">
        <v>109</v>
      </c>
      <c r="H326" s="62">
        <v>2037</v>
      </c>
      <c r="I326">
        <v>4.7600000000000003E-2</v>
      </c>
    </row>
    <row r="327" spans="1:9">
      <c r="A327" t="s">
        <v>104</v>
      </c>
      <c r="B327" t="s">
        <v>105</v>
      </c>
      <c r="C327" t="s">
        <v>80</v>
      </c>
      <c r="D327" t="s">
        <v>100</v>
      </c>
      <c r="E327" t="s">
        <v>101</v>
      </c>
      <c r="F327" t="s">
        <v>3</v>
      </c>
      <c r="G327" t="s">
        <v>109</v>
      </c>
      <c r="H327" s="62">
        <v>2037</v>
      </c>
      <c r="I327">
        <v>5.9462000000000002</v>
      </c>
    </row>
    <row r="328" spans="1:9">
      <c r="A328" t="s">
        <v>104</v>
      </c>
      <c r="B328" t="s">
        <v>105</v>
      </c>
      <c r="C328" t="s">
        <v>80</v>
      </c>
      <c r="D328" t="s">
        <v>100</v>
      </c>
      <c r="E328" t="s">
        <v>102</v>
      </c>
      <c r="F328" t="s">
        <v>3</v>
      </c>
      <c r="G328" t="s">
        <v>109</v>
      </c>
      <c r="H328" s="62">
        <v>2037</v>
      </c>
      <c r="I328">
        <v>0</v>
      </c>
    </row>
    <row r="329" spans="1:9">
      <c r="A329" t="s">
        <v>104</v>
      </c>
      <c r="B329" t="s">
        <v>105</v>
      </c>
      <c r="C329" t="s">
        <v>80</v>
      </c>
      <c r="D329" t="s">
        <v>100</v>
      </c>
      <c r="E329" t="s">
        <v>111</v>
      </c>
      <c r="F329" t="s">
        <v>3</v>
      </c>
      <c r="G329" t="s">
        <v>109</v>
      </c>
      <c r="H329" s="62">
        <v>2037</v>
      </c>
      <c r="I329">
        <v>0</v>
      </c>
    </row>
    <row r="330" spans="1:9">
      <c r="A330" t="s">
        <v>104</v>
      </c>
      <c r="B330" t="s">
        <v>105</v>
      </c>
      <c r="C330" t="s">
        <v>80</v>
      </c>
      <c r="D330" t="s">
        <v>100</v>
      </c>
      <c r="E330" t="s">
        <v>112</v>
      </c>
      <c r="F330" t="s">
        <v>3</v>
      </c>
      <c r="G330" t="s">
        <v>109</v>
      </c>
      <c r="H330" s="62">
        <v>2037</v>
      </c>
      <c r="I330">
        <v>0</v>
      </c>
    </row>
    <row r="331" spans="1:9">
      <c r="A331" t="s">
        <v>104</v>
      </c>
      <c r="B331" t="s">
        <v>105</v>
      </c>
      <c r="C331" t="s">
        <v>80</v>
      </c>
      <c r="D331" t="s">
        <v>83</v>
      </c>
      <c r="E331" t="s">
        <v>84</v>
      </c>
      <c r="F331" t="s">
        <v>3</v>
      </c>
      <c r="G331" t="s">
        <v>109</v>
      </c>
      <c r="H331" s="62">
        <v>2037</v>
      </c>
      <c r="I331">
        <v>1.9471000000000001</v>
      </c>
    </row>
    <row r="332" spans="1:9">
      <c r="A332" t="s">
        <v>104</v>
      </c>
      <c r="B332" t="s">
        <v>105</v>
      </c>
      <c r="C332" t="s">
        <v>80</v>
      </c>
      <c r="D332" t="s">
        <v>83</v>
      </c>
      <c r="E332" t="s">
        <v>85</v>
      </c>
      <c r="F332" t="s">
        <v>3</v>
      </c>
      <c r="G332" t="s">
        <v>109</v>
      </c>
      <c r="H332" s="62">
        <v>2037</v>
      </c>
      <c r="I332">
        <v>1.8440000000000001</v>
      </c>
    </row>
    <row r="333" spans="1:9">
      <c r="A333" t="s">
        <v>104</v>
      </c>
      <c r="B333" t="s">
        <v>105</v>
      </c>
      <c r="C333" t="s">
        <v>80</v>
      </c>
      <c r="D333" t="s">
        <v>86</v>
      </c>
      <c r="E333" t="s">
        <v>106</v>
      </c>
      <c r="F333" t="s">
        <v>3</v>
      </c>
      <c r="G333" t="s">
        <v>109</v>
      </c>
      <c r="H333" s="62">
        <v>2037</v>
      </c>
      <c r="I333">
        <v>1.2154</v>
      </c>
    </row>
    <row r="334" spans="1:9">
      <c r="A334" t="s">
        <v>104</v>
      </c>
      <c r="B334" t="s">
        <v>105</v>
      </c>
      <c r="C334" t="s">
        <v>80</v>
      </c>
      <c r="D334" t="s">
        <v>86</v>
      </c>
      <c r="E334" t="s">
        <v>87</v>
      </c>
      <c r="F334" t="s">
        <v>3</v>
      </c>
      <c r="G334" t="s">
        <v>109</v>
      </c>
      <c r="H334" s="62">
        <v>2037</v>
      </c>
      <c r="I334">
        <v>2.9342000000000001</v>
      </c>
    </row>
    <row r="335" spans="1:9">
      <c r="A335" t="s">
        <v>104</v>
      </c>
      <c r="B335" t="s">
        <v>105</v>
      </c>
      <c r="C335" t="s">
        <v>80</v>
      </c>
      <c r="D335" t="s">
        <v>103</v>
      </c>
      <c r="E335" t="s">
        <v>92</v>
      </c>
      <c r="F335" t="s">
        <v>3</v>
      </c>
      <c r="G335" t="s">
        <v>109</v>
      </c>
      <c r="H335" s="62">
        <v>2037</v>
      </c>
      <c r="I335">
        <v>3.3311000000000002</v>
      </c>
    </row>
    <row r="336" spans="1:9">
      <c r="A336" t="s">
        <v>104</v>
      </c>
      <c r="B336" t="s">
        <v>105</v>
      </c>
      <c r="C336" t="s">
        <v>80</v>
      </c>
      <c r="D336" t="s">
        <v>103</v>
      </c>
      <c r="E336" t="s">
        <v>89</v>
      </c>
      <c r="F336" t="s">
        <v>3</v>
      </c>
      <c r="G336" t="s">
        <v>109</v>
      </c>
      <c r="H336" s="62">
        <v>2037</v>
      </c>
      <c r="I336">
        <v>17.137699999999999</v>
      </c>
    </row>
    <row r="337" spans="1:9">
      <c r="A337" t="s">
        <v>104</v>
      </c>
      <c r="B337" t="s">
        <v>105</v>
      </c>
      <c r="C337" t="s">
        <v>107</v>
      </c>
      <c r="D337" t="s">
        <v>107</v>
      </c>
      <c r="E337" t="s">
        <v>107</v>
      </c>
      <c r="F337" t="s">
        <v>3</v>
      </c>
      <c r="G337" t="s">
        <v>109</v>
      </c>
      <c r="H337" s="62">
        <v>2038</v>
      </c>
      <c r="I337">
        <v>72.479500000000002</v>
      </c>
    </row>
    <row r="338" spans="1:9">
      <c r="A338" t="s">
        <v>104</v>
      </c>
      <c r="B338" t="s">
        <v>105</v>
      </c>
      <c r="C338" t="s">
        <v>107</v>
      </c>
      <c r="D338" t="s">
        <v>108</v>
      </c>
      <c r="E338" t="s">
        <v>108</v>
      </c>
      <c r="F338" t="s">
        <v>3</v>
      </c>
      <c r="G338" t="s">
        <v>109</v>
      </c>
      <c r="H338" s="62">
        <v>2038</v>
      </c>
      <c r="I338">
        <v>0.26419999999999999</v>
      </c>
    </row>
    <row r="339" spans="1:9">
      <c r="A339" t="s">
        <v>104</v>
      </c>
      <c r="B339" t="s">
        <v>105</v>
      </c>
      <c r="C339" t="s">
        <v>80</v>
      </c>
      <c r="D339" t="s">
        <v>80</v>
      </c>
      <c r="E339" t="s">
        <v>80</v>
      </c>
      <c r="F339" t="s">
        <v>3</v>
      </c>
      <c r="G339" t="s">
        <v>109</v>
      </c>
      <c r="H339" s="62">
        <v>2038</v>
      </c>
      <c r="I339">
        <v>72.215299999999999</v>
      </c>
    </row>
    <row r="340" spans="1:9">
      <c r="A340" t="s">
        <v>104</v>
      </c>
      <c r="B340" t="s">
        <v>105</v>
      </c>
      <c r="C340" t="s">
        <v>80</v>
      </c>
      <c r="D340" t="s">
        <v>89</v>
      </c>
      <c r="E340" t="s">
        <v>90</v>
      </c>
      <c r="F340" t="s">
        <v>3</v>
      </c>
      <c r="G340" t="s">
        <v>109</v>
      </c>
      <c r="H340" s="62">
        <v>2038</v>
      </c>
      <c r="I340">
        <v>4.2217000000000002</v>
      </c>
    </row>
    <row r="341" spans="1:9">
      <c r="A341" t="s">
        <v>104</v>
      </c>
      <c r="B341" t="s">
        <v>105</v>
      </c>
      <c r="C341" t="s">
        <v>80</v>
      </c>
      <c r="D341" t="s">
        <v>89</v>
      </c>
      <c r="E341" t="s">
        <v>91</v>
      </c>
      <c r="F341" t="s">
        <v>3</v>
      </c>
      <c r="G341" t="s">
        <v>109</v>
      </c>
      <c r="H341" s="62">
        <v>2038</v>
      </c>
      <c r="I341">
        <v>-0.35539999999999999</v>
      </c>
    </row>
    <row r="342" spans="1:9">
      <c r="A342" t="s">
        <v>104</v>
      </c>
      <c r="B342" t="s">
        <v>105</v>
      </c>
      <c r="C342" t="s">
        <v>80</v>
      </c>
      <c r="D342" t="s">
        <v>92</v>
      </c>
      <c r="E342" t="s">
        <v>93</v>
      </c>
      <c r="F342" t="s">
        <v>3</v>
      </c>
      <c r="G342" t="s">
        <v>109</v>
      </c>
      <c r="H342" s="62">
        <v>2038</v>
      </c>
      <c r="I342">
        <v>-4.0095000000000001</v>
      </c>
    </row>
    <row r="343" spans="1:9">
      <c r="A343" t="s">
        <v>104</v>
      </c>
      <c r="B343" t="s">
        <v>105</v>
      </c>
      <c r="C343" t="s">
        <v>80</v>
      </c>
      <c r="D343" t="s">
        <v>92</v>
      </c>
      <c r="E343" t="s">
        <v>94</v>
      </c>
      <c r="F343" t="s">
        <v>3</v>
      </c>
      <c r="G343" t="s">
        <v>109</v>
      </c>
      <c r="H343" s="62">
        <v>2038</v>
      </c>
      <c r="I343">
        <v>30.021699999999999</v>
      </c>
    </row>
    <row r="344" spans="1:9">
      <c r="A344" t="s">
        <v>104</v>
      </c>
      <c r="B344" t="s">
        <v>105</v>
      </c>
      <c r="C344" t="s">
        <v>80</v>
      </c>
      <c r="D344" t="s">
        <v>92</v>
      </c>
      <c r="E344" t="s">
        <v>110</v>
      </c>
      <c r="F344" t="s">
        <v>3</v>
      </c>
      <c r="G344" t="s">
        <v>109</v>
      </c>
      <c r="H344" s="62">
        <v>2038</v>
      </c>
      <c r="I344">
        <v>0</v>
      </c>
    </row>
    <row r="345" spans="1:9">
      <c r="A345" t="s">
        <v>104</v>
      </c>
      <c r="B345" t="s">
        <v>105</v>
      </c>
      <c r="C345" t="s">
        <v>80</v>
      </c>
      <c r="D345" t="s">
        <v>92</v>
      </c>
      <c r="E345" t="s">
        <v>95</v>
      </c>
      <c r="F345" t="s">
        <v>3</v>
      </c>
      <c r="G345" t="s">
        <v>109</v>
      </c>
      <c r="H345" s="62">
        <v>2038</v>
      </c>
      <c r="I345">
        <v>17.603200000000001</v>
      </c>
    </row>
    <row r="346" spans="1:9">
      <c r="A346" t="s">
        <v>104</v>
      </c>
      <c r="B346" t="s">
        <v>105</v>
      </c>
      <c r="C346" t="s">
        <v>80</v>
      </c>
      <c r="D346" t="s">
        <v>96</v>
      </c>
      <c r="E346" t="s">
        <v>92</v>
      </c>
      <c r="F346" t="s">
        <v>3</v>
      </c>
      <c r="G346" t="s">
        <v>109</v>
      </c>
      <c r="H346" s="62">
        <v>2038</v>
      </c>
      <c r="I346">
        <v>4.3070000000000004</v>
      </c>
    </row>
    <row r="347" spans="1:9">
      <c r="A347" t="s">
        <v>104</v>
      </c>
      <c r="B347" t="s">
        <v>105</v>
      </c>
      <c r="C347" t="s">
        <v>80</v>
      </c>
      <c r="D347" t="s">
        <v>96</v>
      </c>
      <c r="E347" t="s">
        <v>89</v>
      </c>
      <c r="F347" t="s">
        <v>3</v>
      </c>
      <c r="G347" t="s">
        <v>109</v>
      </c>
      <c r="H347" s="62">
        <v>2038</v>
      </c>
      <c r="I347">
        <v>1.68</v>
      </c>
    </row>
    <row r="348" spans="1:9">
      <c r="A348" t="s">
        <v>104</v>
      </c>
      <c r="B348" t="s">
        <v>105</v>
      </c>
      <c r="C348" t="s">
        <v>80</v>
      </c>
      <c r="D348" t="s">
        <v>97</v>
      </c>
      <c r="E348" t="s">
        <v>98</v>
      </c>
      <c r="F348" t="s">
        <v>3</v>
      </c>
      <c r="G348" t="s">
        <v>109</v>
      </c>
      <c r="H348" s="62">
        <v>2038</v>
      </c>
      <c r="I348">
        <v>8.3652999999999995</v>
      </c>
    </row>
    <row r="349" spans="1:9">
      <c r="A349" t="s">
        <v>104</v>
      </c>
      <c r="B349" t="s">
        <v>105</v>
      </c>
      <c r="C349" t="s">
        <v>80</v>
      </c>
      <c r="D349" t="s">
        <v>97</v>
      </c>
      <c r="E349" t="s">
        <v>99</v>
      </c>
      <c r="F349" t="s">
        <v>3</v>
      </c>
      <c r="G349" t="s">
        <v>109</v>
      </c>
      <c r="H349" s="62">
        <v>2038</v>
      </c>
      <c r="I349">
        <v>6.0400000000000002E-2</v>
      </c>
    </row>
    <row r="350" spans="1:9">
      <c r="A350" t="s">
        <v>104</v>
      </c>
      <c r="B350" t="s">
        <v>105</v>
      </c>
      <c r="C350" t="s">
        <v>80</v>
      </c>
      <c r="D350" t="s">
        <v>100</v>
      </c>
      <c r="E350" t="s">
        <v>101</v>
      </c>
      <c r="F350" t="s">
        <v>3</v>
      </c>
      <c r="G350" t="s">
        <v>109</v>
      </c>
      <c r="H350" s="62">
        <v>2038</v>
      </c>
      <c r="I350">
        <v>6.4722</v>
      </c>
    </row>
    <row r="351" spans="1:9">
      <c r="A351" t="s">
        <v>104</v>
      </c>
      <c r="B351" t="s">
        <v>105</v>
      </c>
      <c r="C351" t="s">
        <v>80</v>
      </c>
      <c r="D351" t="s">
        <v>100</v>
      </c>
      <c r="E351" t="s">
        <v>102</v>
      </c>
      <c r="F351" t="s">
        <v>3</v>
      </c>
      <c r="G351" t="s">
        <v>109</v>
      </c>
      <c r="H351" s="62">
        <v>2038</v>
      </c>
      <c r="I351">
        <v>0</v>
      </c>
    </row>
    <row r="352" spans="1:9">
      <c r="A352" t="s">
        <v>104</v>
      </c>
      <c r="B352" t="s">
        <v>105</v>
      </c>
      <c r="C352" t="s">
        <v>80</v>
      </c>
      <c r="D352" t="s">
        <v>100</v>
      </c>
      <c r="E352" t="s">
        <v>111</v>
      </c>
      <c r="F352" t="s">
        <v>3</v>
      </c>
      <c r="G352" t="s">
        <v>109</v>
      </c>
      <c r="H352" s="62">
        <v>2038</v>
      </c>
      <c r="I352">
        <v>0</v>
      </c>
    </row>
    <row r="353" spans="1:9">
      <c r="A353" t="s">
        <v>104</v>
      </c>
      <c r="B353" t="s">
        <v>105</v>
      </c>
      <c r="C353" t="s">
        <v>80</v>
      </c>
      <c r="D353" t="s">
        <v>100</v>
      </c>
      <c r="E353" t="s">
        <v>112</v>
      </c>
      <c r="F353" t="s">
        <v>3</v>
      </c>
      <c r="G353" t="s">
        <v>109</v>
      </c>
      <c r="H353" s="62">
        <v>2038</v>
      </c>
      <c r="I353">
        <v>0</v>
      </c>
    </row>
    <row r="354" spans="1:9">
      <c r="A354" t="s">
        <v>104</v>
      </c>
      <c r="B354" t="s">
        <v>105</v>
      </c>
      <c r="C354" t="s">
        <v>80</v>
      </c>
      <c r="D354" t="s">
        <v>83</v>
      </c>
      <c r="E354" t="s">
        <v>84</v>
      </c>
      <c r="F354" t="s">
        <v>3</v>
      </c>
      <c r="G354" t="s">
        <v>109</v>
      </c>
      <c r="H354" s="62">
        <v>2038</v>
      </c>
      <c r="I354">
        <v>1.9802999999999999</v>
      </c>
    </row>
    <row r="355" spans="1:9">
      <c r="A355" t="s">
        <v>104</v>
      </c>
      <c r="B355" t="s">
        <v>105</v>
      </c>
      <c r="C355" t="s">
        <v>80</v>
      </c>
      <c r="D355" t="s">
        <v>83</v>
      </c>
      <c r="E355" t="s">
        <v>85</v>
      </c>
      <c r="F355" t="s">
        <v>3</v>
      </c>
      <c r="G355" t="s">
        <v>109</v>
      </c>
      <c r="H355" s="62">
        <v>2038</v>
      </c>
      <c r="I355">
        <v>1.8685</v>
      </c>
    </row>
    <row r="356" spans="1:9">
      <c r="A356" t="s">
        <v>104</v>
      </c>
      <c r="B356" t="s">
        <v>105</v>
      </c>
      <c r="C356" t="s">
        <v>80</v>
      </c>
      <c r="D356" t="s">
        <v>86</v>
      </c>
      <c r="E356" t="s">
        <v>106</v>
      </c>
      <c r="F356" t="s">
        <v>3</v>
      </c>
      <c r="G356" t="s">
        <v>109</v>
      </c>
      <c r="H356" s="62">
        <v>2038</v>
      </c>
      <c r="I356">
        <v>1.1406000000000001</v>
      </c>
    </row>
    <row r="357" spans="1:9">
      <c r="A357" t="s">
        <v>104</v>
      </c>
      <c r="B357" t="s">
        <v>105</v>
      </c>
      <c r="C357" t="s">
        <v>80</v>
      </c>
      <c r="D357" t="s">
        <v>86</v>
      </c>
      <c r="E357" t="s">
        <v>87</v>
      </c>
      <c r="F357" t="s">
        <v>3</v>
      </c>
      <c r="G357" t="s">
        <v>109</v>
      </c>
      <c r="H357" s="62">
        <v>2038</v>
      </c>
      <c r="I357">
        <v>3.2244000000000002</v>
      </c>
    </row>
    <row r="358" spans="1:9">
      <c r="A358" t="s">
        <v>104</v>
      </c>
      <c r="B358" t="s">
        <v>105</v>
      </c>
      <c r="C358" t="s">
        <v>80</v>
      </c>
      <c r="D358" t="s">
        <v>103</v>
      </c>
      <c r="E358" t="s">
        <v>92</v>
      </c>
      <c r="F358" t="s">
        <v>3</v>
      </c>
      <c r="G358" t="s">
        <v>109</v>
      </c>
      <c r="H358" s="62">
        <v>2038</v>
      </c>
      <c r="I358">
        <v>3.4969000000000001</v>
      </c>
    </row>
    <row r="359" spans="1:9">
      <c r="A359" t="s">
        <v>104</v>
      </c>
      <c r="B359" t="s">
        <v>105</v>
      </c>
      <c r="C359" t="s">
        <v>80</v>
      </c>
      <c r="D359" t="s">
        <v>103</v>
      </c>
      <c r="E359" t="s">
        <v>89</v>
      </c>
      <c r="F359" t="s">
        <v>3</v>
      </c>
      <c r="G359" t="s">
        <v>109</v>
      </c>
      <c r="H359" s="62">
        <v>2038</v>
      </c>
      <c r="I359">
        <v>17.970300000000002</v>
      </c>
    </row>
    <row r="360" spans="1:9">
      <c r="A360" t="s">
        <v>104</v>
      </c>
      <c r="B360" t="s">
        <v>105</v>
      </c>
      <c r="C360" t="s">
        <v>107</v>
      </c>
      <c r="D360" t="s">
        <v>107</v>
      </c>
      <c r="E360" t="s">
        <v>107</v>
      </c>
      <c r="F360" t="s">
        <v>3</v>
      </c>
      <c r="G360" t="s">
        <v>109</v>
      </c>
      <c r="H360" s="62">
        <v>2039</v>
      </c>
      <c r="I360">
        <v>73.101900000000001</v>
      </c>
    </row>
    <row r="361" spans="1:9">
      <c r="A361" t="s">
        <v>104</v>
      </c>
      <c r="B361" t="s">
        <v>105</v>
      </c>
      <c r="C361" t="s">
        <v>107</v>
      </c>
      <c r="D361" t="s">
        <v>108</v>
      </c>
      <c r="E361" t="s">
        <v>108</v>
      </c>
      <c r="F361" t="s">
        <v>3</v>
      </c>
      <c r="G361" t="s">
        <v>109</v>
      </c>
      <c r="H361" s="62">
        <v>2039</v>
      </c>
      <c r="I361">
        <v>0.27210000000000001</v>
      </c>
    </row>
    <row r="362" spans="1:9">
      <c r="A362" t="s">
        <v>104</v>
      </c>
      <c r="B362" t="s">
        <v>105</v>
      </c>
      <c r="C362" t="s">
        <v>80</v>
      </c>
      <c r="D362" t="s">
        <v>80</v>
      </c>
      <c r="E362" t="s">
        <v>80</v>
      </c>
      <c r="F362" t="s">
        <v>3</v>
      </c>
      <c r="G362" t="s">
        <v>109</v>
      </c>
      <c r="H362" s="62">
        <v>2039</v>
      </c>
      <c r="I362">
        <v>72.829800000000006</v>
      </c>
    </row>
    <row r="363" spans="1:9">
      <c r="A363" t="s">
        <v>104</v>
      </c>
      <c r="B363" t="s">
        <v>105</v>
      </c>
      <c r="C363" t="s">
        <v>80</v>
      </c>
      <c r="D363" t="s">
        <v>89</v>
      </c>
      <c r="E363" t="s">
        <v>90</v>
      </c>
      <c r="F363" t="s">
        <v>3</v>
      </c>
      <c r="G363" t="s">
        <v>109</v>
      </c>
      <c r="H363" s="62">
        <v>2039</v>
      </c>
      <c r="I363">
        <v>3.2494000000000001</v>
      </c>
    </row>
    <row r="364" spans="1:9">
      <c r="A364" t="s">
        <v>104</v>
      </c>
      <c r="B364" t="s">
        <v>105</v>
      </c>
      <c r="C364" t="s">
        <v>80</v>
      </c>
      <c r="D364" t="s">
        <v>89</v>
      </c>
      <c r="E364" t="s">
        <v>91</v>
      </c>
      <c r="F364" t="s">
        <v>3</v>
      </c>
      <c r="G364" t="s">
        <v>109</v>
      </c>
      <c r="H364" s="62">
        <v>2039</v>
      </c>
      <c r="I364">
        <v>-0.29959999999999998</v>
      </c>
    </row>
    <row r="365" spans="1:9">
      <c r="A365" t="s">
        <v>104</v>
      </c>
      <c r="B365" t="s">
        <v>105</v>
      </c>
      <c r="C365" t="s">
        <v>80</v>
      </c>
      <c r="D365" t="s">
        <v>92</v>
      </c>
      <c r="E365" t="s">
        <v>93</v>
      </c>
      <c r="F365" t="s">
        <v>3</v>
      </c>
      <c r="G365" t="s">
        <v>109</v>
      </c>
      <c r="H365" s="62">
        <v>2039</v>
      </c>
      <c r="I365">
        <v>-4.3963999999999999</v>
      </c>
    </row>
    <row r="366" spans="1:9">
      <c r="A366" t="s">
        <v>104</v>
      </c>
      <c r="B366" t="s">
        <v>105</v>
      </c>
      <c r="C366" t="s">
        <v>80</v>
      </c>
      <c r="D366" t="s">
        <v>92</v>
      </c>
      <c r="E366" t="s">
        <v>94</v>
      </c>
      <c r="F366" t="s">
        <v>3</v>
      </c>
      <c r="G366" t="s">
        <v>109</v>
      </c>
      <c r="H366" s="62">
        <v>2039</v>
      </c>
      <c r="I366">
        <v>29.9893</v>
      </c>
    </row>
    <row r="367" spans="1:9">
      <c r="A367" t="s">
        <v>104</v>
      </c>
      <c r="B367" t="s">
        <v>105</v>
      </c>
      <c r="C367" t="s">
        <v>80</v>
      </c>
      <c r="D367" t="s">
        <v>92</v>
      </c>
      <c r="E367" t="s">
        <v>110</v>
      </c>
      <c r="F367" t="s">
        <v>3</v>
      </c>
      <c r="G367" t="s">
        <v>109</v>
      </c>
      <c r="H367" s="62">
        <v>2039</v>
      </c>
      <c r="I367">
        <v>0</v>
      </c>
    </row>
    <row r="368" spans="1:9">
      <c r="A368" t="s">
        <v>104</v>
      </c>
      <c r="B368" t="s">
        <v>105</v>
      </c>
      <c r="C368" t="s">
        <v>80</v>
      </c>
      <c r="D368" t="s">
        <v>92</v>
      </c>
      <c r="E368" t="s">
        <v>95</v>
      </c>
      <c r="F368" t="s">
        <v>3</v>
      </c>
      <c r="G368" t="s">
        <v>109</v>
      </c>
      <c r="H368" s="62">
        <v>2039</v>
      </c>
      <c r="I368">
        <v>17.6874</v>
      </c>
    </row>
    <row r="369" spans="1:9">
      <c r="A369" t="s">
        <v>104</v>
      </c>
      <c r="B369" t="s">
        <v>105</v>
      </c>
      <c r="C369" t="s">
        <v>80</v>
      </c>
      <c r="D369" t="s">
        <v>96</v>
      </c>
      <c r="E369" t="s">
        <v>92</v>
      </c>
      <c r="F369" t="s">
        <v>3</v>
      </c>
      <c r="G369" t="s">
        <v>109</v>
      </c>
      <c r="H369" s="62">
        <v>2039</v>
      </c>
      <c r="I369">
        <v>4.3193999999999999</v>
      </c>
    </row>
    <row r="370" spans="1:9">
      <c r="A370" t="s">
        <v>104</v>
      </c>
      <c r="B370" t="s">
        <v>105</v>
      </c>
      <c r="C370" t="s">
        <v>80</v>
      </c>
      <c r="D370" t="s">
        <v>96</v>
      </c>
      <c r="E370" t="s">
        <v>89</v>
      </c>
      <c r="F370" t="s">
        <v>3</v>
      </c>
      <c r="G370" t="s">
        <v>109</v>
      </c>
      <c r="H370" s="62">
        <v>2039</v>
      </c>
      <c r="I370">
        <v>1.8058000000000001</v>
      </c>
    </row>
    <row r="371" spans="1:9">
      <c r="A371" t="s">
        <v>104</v>
      </c>
      <c r="B371" t="s">
        <v>105</v>
      </c>
      <c r="C371" t="s">
        <v>80</v>
      </c>
      <c r="D371" t="s">
        <v>97</v>
      </c>
      <c r="E371" t="s">
        <v>98</v>
      </c>
      <c r="F371" t="s">
        <v>3</v>
      </c>
      <c r="G371" t="s">
        <v>109</v>
      </c>
      <c r="H371" s="62">
        <v>2039</v>
      </c>
      <c r="I371">
        <v>9.6029999999999998</v>
      </c>
    </row>
    <row r="372" spans="1:9">
      <c r="A372" t="s">
        <v>104</v>
      </c>
      <c r="B372" t="s">
        <v>105</v>
      </c>
      <c r="C372" t="s">
        <v>80</v>
      </c>
      <c r="D372" t="s">
        <v>97</v>
      </c>
      <c r="E372" t="s">
        <v>99</v>
      </c>
      <c r="F372" t="s">
        <v>3</v>
      </c>
      <c r="G372" t="s">
        <v>109</v>
      </c>
      <c r="H372" s="62">
        <v>2039</v>
      </c>
      <c r="I372">
        <v>7.4800000000000005E-2</v>
      </c>
    </row>
    <row r="373" spans="1:9">
      <c r="A373" t="s">
        <v>104</v>
      </c>
      <c r="B373" t="s">
        <v>105</v>
      </c>
      <c r="C373" t="s">
        <v>80</v>
      </c>
      <c r="D373" t="s">
        <v>100</v>
      </c>
      <c r="E373" t="s">
        <v>101</v>
      </c>
      <c r="F373" t="s">
        <v>3</v>
      </c>
      <c r="G373" t="s">
        <v>109</v>
      </c>
      <c r="H373" s="62">
        <v>2039</v>
      </c>
      <c r="I373">
        <v>6.9189999999999996</v>
      </c>
    </row>
    <row r="374" spans="1:9">
      <c r="A374" t="s">
        <v>104</v>
      </c>
      <c r="B374" t="s">
        <v>105</v>
      </c>
      <c r="C374" t="s">
        <v>80</v>
      </c>
      <c r="D374" t="s">
        <v>100</v>
      </c>
      <c r="E374" t="s">
        <v>102</v>
      </c>
      <c r="F374" t="s">
        <v>3</v>
      </c>
      <c r="G374" t="s">
        <v>109</v>
      </c>
      <c r="H374" s="62">
        <v>2039</v>
      </c>
      <c r="I374">
        <v>0</v>
      </c>
    </row>
    <row r="375" spans="1:9">
      <c r="A375" t="s">
        <v>104</v>
      </c>
      <c r="B375" t="s">
        <v>105</v>
      </c>
      <c r="C375" t="s">
        <v>80</v>
      </c>
      <c r="D375" t="s">
        <v>100</v>
      </c>
      <c r="E375" t="s">
        <v>111</v>
      </c>
      <c r="F375" t="s">
        <v>3</v>
      </c>
      <c r="G375" t="s">
        <v>109</v>
      </c>
      <c r="H375" s="62">
        <v>2039</v>
      </c>
      <c r="I375">
        <v>0</v>
      </c>
    </row>
    <row r="376" spans="1:9">
      <c r="A376" t="s">
        <v>104</v>
      </c>
      <c r="B376" t="s">
        <v>105</v>
      </c>
      <c r="C376" t="s">
        <v>80</v>
      </c>
      <c r="D376" t="s">
        <v>100</v>
      </c>
      <c r="E376" t="s">
        <v>112</v>
      </c>
      <c r="F376" t="s">
        <v>3</v>
      </c>
      <c r="G376" t="s">
        <v>109</v>
      </c>
      <c r="H376" s="62">
        <v>2039</v>
      </c>
      <c r="I376">
        <v>0</v>
      </c>
    </row>
    <row r="377" spans="1:9">
      <c r="A377" t="s">
        <v>104</v>
      </c>
      <c r="B377" t="s">
        <v>105</v>
      </c>
      <c r="C377" t="s">
        <v>80</v>
      </c>
      <c r="D377" t="s">
        <v>83</v>
      </c>
      <c r="E377" t="s">
        <v>84</v>
      </c>
      <c r="F377" t="s">
        <v>3</v>
      </c>
      <c r="G377" t="s">
        <v>109</v>
      </c>
      <c r="H377" s="62">
        <v>2039</v>
      </c>
      <c r="I377">
        <v>1.996</v>
      </c>
    </row>
    <row r="378" spans="1:9">
      <c r="A378" t="s">
        <v>104</v>
      </c>
      <c r="B378" t="s">
        <v>105</v>
      </c>
      <c r="C378" t="s">
        <v>80</v>
      </c>
      <c r="D378" t="s">
        <v>83</v>
      </c>
      <c r="E378" t="s">
        <v>85</v>
      </c>
      <c r="F378" t="s">
        <v>3</v>
      </c>
      <c r="G378" t="s">
        <v>109</v>
      </c>
      <c r="H378" s="62">
        <v>2039</v>
      </c>
      <c r="I378">
        <v>1.8817999999999999</v>
      </c>
    </row>
    <row r="379" spans="1:9">
      <c r="A379" t="s">
        <v>104</v>
      </c>
      <c r="B379" t="s">
        <v>105</v>
      </c>
      <c r="C379" t="s">
        <v>80</v>
      </c>
      <c r="D379" t="s">
        <v>86</v>
      </c>
      <c r="E379" t="s">
        <v>106</v>
      </c>
      <c r="F379" t="s">
        <v>3</v>
      </c>
      <c r="G379" t="s">
        <v>109</v>
      </c>
      <c r="H379" s="62">
        <v>2039</v>
      </c>
      <c r="I379">
        <v>1.1460999999999999</v>
      </c>
    </row>
    <row r="380" spans="1:9">
      <c r="A380" t="s">
        <v>104</v>
      </c>
      <c r="B380" t="s">
        <v>105</v>
      </c>
      <c r="C380" t="s">
        <v>80</v>
      </c>
      <c r="D380" t="s">
        <v>86</v>
      </c>
      <c r="E380" t="s">
        <v>87</v>
      </c>
      <c r="F380" t="s">
        <v>3</v>
      </c>
      <c r="G380" t="s">
        <v>109</v>
      </c>
      <c r="H380" s="62">
        <v>2039</v>
      </c>
      <c r="I380">
        <v>3.5499000000000001</v>
      </c>
    </row>
    <row r="381" spans="1:9">
      <c r="A381" t="s">
        <v>104</v>
      </c>
      <c r="B381" t="s">
        <v>105</v>
      </c>
      <c r="C381" t="s">
        <v>80</v>
      </c>
      <c r="D381" t="s">
        <v>103</v>
      </c>
      <c r="E381" t="s">
        <v>92</v>
      </c>
      <c r="F381" t="s">
        <v>3</v>
      </c>
      <c r="G381" t="s">
        <v>109</v>
      </c>
      <c r="H381" s="62">
        <v>2039</v>
      </c>
      <c r="I381">
        <v>3.6726000000000001</v>
      </c>
    </row>
    <row r="382" spans="1:9">
      <c r="A382" t="s">
        <v>104</v>
      </c>
      <c r="B382" t="s">
        <v>105</v>
      </c>
      <c r="C382" t="s">
        <v>80</v>
      </c>
      <c r="D382" t="s">
        <v>103</v>
      </c>
      <c r="E382" t="s">
        <v>89</v>
      </c>
      <c r="F382" t="s">
        <v>3</v>
      </c>
      <c r="G382" t="s">
        <v>109</v>
      </c>
      <c r="H382" s="62">
        <v>2039</v>
      </c>
      <c r="I382">
        <v>18.808299999999999</v>
      </c>
    </row>
    <row r="383" spans="1:9">
      <c r="A383" t="s">
        <v>104</v>
      </c>
      <c r="B383" t="s">
        <v>105</v>
      </c>
      <c r="C383" t="s">
        <v>107</v>
      </c>
      <c r="D383" t="s">
        <v>107</v>
      </c>
      <c r="E383" t="s">
        <v>107</v>
      </c>
      <c r="F383" t="s">
        <v>3</v>
      </c>
      <c r="G383" t="s">
        <v>109</v>
      </c>
      <c r="H383" s="62">
        <v>2040</v>
      </c>
      <c r="I383">
        <v>74.061999999999998</v>
      </c>
    </row>
    <row r="384" spans="1:9">
      <c r="A384" t="s">
        <v>104</v>
      </c>
      <c r="B384" t="s">
        <v>105</v>
      </c>
      <c r="C384" t="s">
        <v>107</v>
      </c>
      <c r="D384" t="s">
        <v>108</v>
      </c>
      <c r="E384" t="s">
        <v>108</v>
      </c>
      <c r="F384" t="s">
        <v>3</v>
      </c>
      <c r="G384" t="s">
        <v>109</v>
      </c>
      <c r="H384" s="62">
        <v>2040</v>
      </c>
      <c r="I384">
        <v>0.28120000000000001</v>
      </c>
    </row>
    <row r="385" spans="1:9">
      <c r="A385" t="s">
        <v>104</v>
      </c>
      <c r="B385" t="s">
        <v>105</v>
      </c>
      <c r="C385" t="s">
        <v>80</v>
      </c>
      <c r="D385" t="s">
        <v>80</v>
      </c>
      <c r="E385" t="s">
        <v>80</v>
      </c>
      <c r="F385" t="s">
        <v>3</v>
      </c>
      <c r="G385" t="s">
        <v>109</v>
      </c>
      <c r="H385" s="62">
        <v>2040</v>
      </c>
      <c r="I385">
        <v>73.780799999999999</v>
      </c>
    </row>
    <row r="386" spans="1:9">
      <c r="A386" t="s">
        <v>104</v>
      </c>
      <c r="B386" t="s">
        <v>105</v>
      </c>
      <c r="C386" t="s">
        <v>80</v>
      </c>
      <c r="D386" t="s">
        <v>89</v>
      </c>
      <c r="E386" t="s">
        <v>90</v>
      </c>
      <c r="F386" t="s">
        <v>3</v>
      </c>
      <c r="G386" t="s">
        <v>109</v>
      </c>
      <c r="H386" s="62">
        <v>2040</v>
      </c>
      <c r="I386">
        <v>2.4148000000000001</v>
      </c>
    </row>
    <row r="387" spans="1:9">
      <c r="A387" t="s">
        <v>104</v>
      </c>
      <c r="B387" t="s">
        <v>105</v>
      </c>
      <c r="C387" t="s">
        <v>80</v>
      </c>
      <c r="D387" t="s">
        <v>89</v>
      </c>
      <c r="E387" t="s">
        <v>91</v>
      </c>
      <c r="F387" t="s">
        <v>3</v>
      </c>
      <c r="G387" t="s">
        <v>109</v>
      </c>
      <c r="H387" s="62">
        <v>2040</v>
      </c>
      <c r="I387">
        <v>-0.24390000000000001</v>
      </c>
    </row>
    <row r="388" spans="1:9">
      <c r="A388" t="s">
        <v>104</v>
      </c>
      <c r="B388" t="s">
        <v>105</v>
      </c>
      <c r="C388" t="s">
        <v>80</v>
      </c>
      <c r="D388" t="s">
        <v>92</v>
      </c>
      <c r="E388" t="s">
        <v>93</v>
      </c>
      <c r="F388" t="s">
        <v>3</v>
      </c>
      <c r="G388" t="s">
        <v>109</v>
      </c>
      <c r="H388" s="62">
        <v>2040</v>
      </c>
      <c r="I388">
        <v>-4.8289999999999997</v>
      </c>
    </row>
    <row r="389" spans="1:9">
      <c r="A389" t="s">
        <v>104</v>
      </c>
      <c r="B389" t="s">
        <v>105</v>
      </c>
      <c r="C389" t="s">
        <v>80</v>
      </c>
      <c r="D389" t="s">
        <v>92</v>
      </c>
      <c r="E389" t="s">
        <v>94</v>
      </c>
      <c r="F389" t="s">
        <v>3</v>
      </c>
      <c r="G389" t="s">
        <v>109</v>
      </c>
      <c r="H389" s="62">
        <v>2040</v>
      </c>
      <c r="I389">
        <v>30.037600000000001</v>
      </c>
    </row>
    <row r="390" spans="1:9">
      <c r="A390" t="s">
        <v>104</v>
      </c>
      <c r="B390" t="s">
        <v>105</v>
      </c>
      <c r="C390" t="s">
        <v>80</v>
      </c>
      <c r="D390" t="s">
        <v>92</v>
      </c>
      <c r="E390" t="s">
        <v>110</v>
      </c>
      <c r="F390" t="s">
        <v>3</v>
      </c>
      <c r="G390" t="s">
        <v>109</v>
      </c>
      <c r="H390" s="62">
        <v>2040</v>
      </c>
      <c r="I390">
        <v>0</v>
      </c>
    </row>
    <row r="391" spans="1:9">
      <c r="A391" t="s">
        <v>104</v>
      </c>
      <c r="B391" t="s">
        <v>105</v>
      </c>
      <c r="C391" t="s">
        <v>80</v>
      </c>
      <c r="D391" t="s">
        <v>92</v>
      </c>
      <c r="E391" t="s">
        <v>95</v>
      </c>
      <c r="F391" t="s">
        <v>3</v>
      </c>
      <c r="G391" t="s">
        <v>109</v>
      </c>
      <c r="H391" s="62">
        <v>2040</v>
      </c>
      <c r="I391">
        <v>17.773700000000002</v>
      </c>
    </row>
    <row r="392" spans="1:9">
      <c r="A392" t="s">
        <v>104</v>
      </c>
      <c r="B392" t="s">
        <v>105</v>
      </c>
      <c r="C392" t="s">
        <v>80</v>
      </c>
      <c r="D392" t="s">
        <v>96</v>
      </c>
      <c r="E392" t="s">
        <v>92</v>
      </c>
      <c r="F392" t="s">
        <v>3</v>
      </c>
      <c r="G392" t="s">
        <v>109</v>
      </c>
      <c r="H392" s="62">
        <v>2040</v>
      </c>
      <c r="I392">
        <v>4.5232000000000001</v>
      </c>
    </row>
    <row r="393" spans="1:9">
      <c r="A393" t="s">
        <v>104</v>
      </c>
      <c r="B393" t="s">
        <v>105</v>
      </c>
      <c r="C393" t="s">
        <v>80</v>
      </c>
      <c r="D393" t="s">
        <v>96</v>
      </c>
      <c r="E393" t="s">
        <v>89</v>
      </c>
      <c r="F393" t="s">
        <v>3</v>
      </c>
      <c r="G393" t="s">
        <v>109</v>
      </c>
      <c r="H393" s="62">
        <v>2040</v>
      </c>
      <c r="I393">
        <v>1.9329000000000001</v>
      </c>
    </row>
    <row r="394" spans="1:9">
      <c r="A394" t="s">
        <v>104</v>
      </c>
      <c r="B394" t="s">
        <v>105</v>
      </c>
      <c r="C394" t="s">
        <v>80</v>
      </c>
      <c r="D394" t="s">
        <v>97</v>
      </c>
      <c r="E394" t="s">
        <v>98</v>
      </c>
      <c r="F394" t="s">
        <v>3</v>
      </c>
      <c r="G394" t="s">
        <v>109</v>
      </c>
      <c r="H394" s="62">
        <v>2040</v>
      </c>
      <c r="I394">
        <v>10.8741</v>
      </c>
    </row>
    <row r="395" spans="1:9">
      <c r="A395" t="s">
        <v>104</v>
      </c>
      <c r="B395" t="s">
        <v>105</v>
      </c>
      <c r="C395" t="s">
        <v>80</v>
      </c>
      <c r="D395" t="s">
        <v>97</v>
      </c>
      <c r="E395" t="s">
        <v>99</v>
      </c>
      <c r="F395" t="s">
        <v>3</v>
      </c>
      <c r="G395" t="s">
        <v>109</v>
      </c>
      <c r="H395" s="62">
        <v>2040</v>
      </c>
      <c r="I395">
        <v>9.0899999999999995E-2</v>
      </c>
    </row>
    <row r="396" spans="1:9">
      <c r="A396" t="s">
        <v>104</v>
      </c>
      <c r="B396" t="s">
        <v>105</v>
      </c>
      <c r="C396" t="s">
        <v>80</v>
      </c>
      <c r="D396" t="s">
        <v>100</v>
      </c>
      <c r="E396" t="s">
        <v>101</v>
      </c>
      <c r="F396" t="s">
        <v>3</v>
      </c>
      <c r="G396" t="s">
        <v>109</v>
      </c>
      <c r="H396" s="62">
        <v>2040</v>
      </c>
      <c r="I396">
        <v>7.2690000000000001</v>
      </c>
    </row>
    <row r="397" spans="1:9">
      <c r="A397" t="s">
        <v>104</v>
      </c>
      <c r="B397" t="s">
        <v>105</v>
      </c>
      <c r="C397" t="s">
        <v>80</v>
      </c>
      <c r="D397" t="s">
        <v>100</v>
      </c>
      <c r="E397" t="s">
        <v>102</v>
      </c>
      <c r="F397" t="s">
        <v>3</v>
      </c>
      <c r="G397" t="s">
        <v>109</v>
      </c>
      <c r="H397" s="62">
        <v>2040</v>
      </c>
      <c r="I397">
        <v>0</v>
      </c>
    </row>
    <row r="398" spans="1:9">
      <c r="A398" t="s">
        <v>104</v>
      </c>
      <c r="B398" t="s">
        <v>105</v>
      </c>
      <c r="C398" t="s">
        <v>80</v>
      </c>
      <c r="D398" t="s">
        <v>100</v>
      </c>
      <c r="E398" t="s">
        <v>111</v>
      </c>
      <c r="F398" t="s">
        <v>3</v>
      </c>
      <c r="G398" t="s">
        <v>109</v>
      </c>
      <c r="H398" s="62">
        <v>2040</v>
      </c>
      <c r="I398">
        <v>0</v>
      </c>
    </row>
    <row r="399" spans="1:9">
      <c r="A399" t="s">
        <v>104</v>
      </c>
      <c r="B399" t="s">
        <v>105</v>
      </c>
      <c r="C399" t="s">
        <v>80</v>
      </c>
      <c r="D399" t="s">
        <v>100</v>
      </c>
      <c r="E399" t="s">
        <v>112</v>
      </c>
      <c r="F399" t="s">
        <v>3</v>
      </c>
      <c r="G399" t="s">
        <v>109</v>
      </c>
      <c r="H399" s="62">
        <v>2040</v>
      </c>
      <c r="I399">
        <v>0</v>
      </c>
    </row>
    <row r="400" spans="1:9">
      <c r="A400" t="s">
        <v>104</v>
      </c>
      <c r="B400" t="s">
        <v>105</v>
      </c>
      <c r="C400" t="s">
        <v>80</v>
      </c>
      <c r="D400" t="s">
        <v>83</v>
      </c>
      <c r="E400" t="s">
        <v>84</v>
      </c>
      <c r="F400" t="s">
        <v>3</v>
      </c>
      <c r="G400" t="s">
        <v>109</v>
      </c>
      <c r="H400" s="62">
        <v>2040</v>
      </c>
      <c r="I400">
        <v>2.0299</v>
      </c>
    </row>
    <row r="401" spans="1:9">
      <c r="A401" t="s">
        <v>104</v>
      </c>
      <c r="B401" t="s">
        <v>105</v>
      </c>
      <c r="C401" t="s">
        <v>80</v>
      </c>
      <c r="D401" t="s">
        <v>83</v>
      </c>
      <c r="E401" t="s">
        <v>85</v>
      </c>
      <c r="F401" t="s">
        <v>3</v>
      </c>
      <c r="G401" t="s">
        <v>109</v>
      </c>
      <c r="H401" s="62">
        <v>2040</v>
      </c>
      <c r="I401">
        <v>1.9077</v>
      </c>
    </row>
    <row r="402" spans="1:9">
      <c r="A402" t="s">
        <v>104</v>
      </c>
      <c r="B402" t="s">
        <v>105</v>
      </c>
      <c r="C402" t="s">
        <v>80</v>
      </c>
      <c r="D402" t="s">
        <v>86</v>
      </c>
      <c r="E402" t="s">
        <v>106</v>
      </c>
      <c r="F402" t="s">
        <v>3</v>
      </c>
      <c r="G402" t="s">
        <v>109</v>
      </c>
      <c r="H402" s="62">
        <v>2040</v>
      </c>
      <c r="I402">
        <v>1.1547000000000001</v>
      </c>
    </row>
    <row r="403" spans="1:9">
      <c r="A403" t="s">
        <v>104</v>
      </c>
      <c r="B403" t="s">
        <v>105</v>
      </c>
      <c r="C403" t="s">
        <v>80</v>
      </c>
      <c r="D403" t="s">
        <v>86</v>
      </c>
      <c r="E403" t="s">
        <v>87</v>
      </c>
      <c r="F403" t="s">
        <v>3</v>
      </c>
      <c r="G403" t="s">
        <v>109</v>
      </c>
      <c r="H403" s="62">
        <v>2040</v>
      </c>
      <c r="I403">
        <v>3.9182000000000001</v>
      </c>
    </row>
    <row r="404" spans="1:9">
      <c r="A404" t="s">
        <v>104</v>
      </c>
      <c r="B404" t="s">
        <v>105</v>
      </c>
      <c r="C404" t="s">
        <v>80</v>
      </c>
      <c r="D404" t="s">
        <v>103</v>
      </c>
      <c r="E404" t="s">
        <v>92</v>
      </c>
      <c r="F404" t="s">
        <v>3</v>
      </c>
      <c r="G404" t="s">
        <v>109</v>
      </c>
      <c r="H404" s="62">
        <v>2040</v>
      </c>
      <c r="I404">
        <v>3.8572000000000002</v>
      </c>
    </row>
    <row r="405" spans="1:9">
      <c r="A405" t="s">
        <v>104</v>
      </c>
      <c r="B405" t="s">
        <v>105</v>
      </c>
      <c r="C405" t="s">
        <v>80</v>
      </c>
      <c r="D405" t="s">
        <v>103</v>
      </c>
      <c r="E405" t="s">
        <v>89</v>
      </c>
      <c r="F405" t="s">
        <v>3</v>
      </c>
      <c r="G405" t="s">
        <v>109</v>
      </c>
      <c r="H405" s="62">
        <v>2040</v>
      </c>
      <c r="I405">
        <v>19.676600000000001</v>
      </c>
    </row>
    <row r="406" spans="1:9">
      <c r="A406" t="s">
        <v>104</v>
      </c>
      <c r="B406" t="s">
        <v>105</v>
      </c>
      <c r="C406" t="s">
        <v>107</v>
      </c>
      <c r="D406" t="s">
        <v>107</v>
      </c>
      <c r="E406" t="s">
        <v>107</v>
      </c>
      <c r="F406" t="s">
        <v>3</v>
      </c>
      <c r="G406" t="s">
        <v>109</v>
      </c>
      <c r="H406" s="62">
        <v>2041</v>
      </c>
      <c r="I406">
        <v>75.210800000000006</v>
      </c>
    </row>
    <row r="407" spans="1:9">
      <c r="A407" t="s">
        <v>104</v>
      </c>
      <c r="B407" t="s">
        <v>105</v>
      </c>
      <c r="C407" t="s">
        <v>107</v>
      </c>
      <c r="D407" t="s">
        <v>108</v>
      </c>
      <c r="E407" t="s">
        <v>108</v>
      </c>
      <c r="F407" t="s">
        <v>3</v>
      </c>
      <c r="G407" t="s">
        <v>109</v>
      </c>
      <c r="H407" s="62">
        <v>2041</v>
      </c>
      <c r="I407">
        <v>0.28760000000000002</v>
      </c>
    </row>
    <row r="408" spans="1:9">
      <c r="A408" t="s">
        <v>104</v>
      </c>
      <c r="B408" t="s">
        <v>105</v>
      </c>
      <c r="C408" t="s">
        <v>80</v>
      </c>
      <c r="D408" t="s">
        <v>80</v>
      </c>
      <c r="E408" t="s">
        <v>80</v>
      </c>
      <c r="F408" t="s">
        <v>3</v>
      </c>
      <c r="G408" t="s">
        <v>109</v>
      </c>
      <c r="H408" s="62">
        <v>2041</v>
      </c>
      <c r="I408">
        <v>74.923199999999994</v>
      </c>
    </row>
    <row r="409" spans="1:9">
      <c r="A409" t="s">
        <v>104</v>
      </c>
      <c r="B409" t="s">
        <v>105</v>
      </c>
      <c r="C409" t="s">
        <v>80</v>
      </c>
      <c r="D409" t="s">
        <v>89</v>
      </c>
      <c r="E409" t="s">
        <v>90</v>
      </c>
      <c r="F409" t="s">
        <v>3</v>
      </c>
      <c r="G409" t="s">
        <v>109</v>
      </c>
      <c r="H409" s="62">
        <v>2041</v>
      </c>
      <c r="I409">
        <v>1.5944</v>
      </c>
    </row>
    <row r="410" spans="1:9">
      <c r="A410" t="s">
        <v>104</v>
      </c>
      <c r="B410" t="s">
        <v>105</v>
      </c>
      <c r="C410" t="s">
        <v>80</v>
      </c>
      <c r="D410" t="s">
        <v>89</v>
      </c>
      <c r="E410" t="s">
        <v>91</v>
      </c>
      <c r="F410" t="s">
        <v>3</v>
      </c>
      <c r="G410" t="s">
        <v>109</v>
      </c>
      <c r="H410" s="62">
        <v>2041</v>
      </c>
      <c r="I410">
        <v>-0.1729</v>
      </c>
    </row>
    <row r="411" spans="1:9">
      <c r="A411" t="s">
        <v>104</v>
      </c>
      <c r="B411" t="s">
        <v>105</v>
      </c>
      <c r="C411" t="s">
        <v>80</v>
      </c>
      <c r="D411" t="s">
        <v>92</v>
      </c>
      <c r="E411" t="s">
        <v>93</v>
      </c>
      <c r="F411" t="s">
        <v>3</v>
      </c>
      <c r="G411" t="s">
        <v>109</v>
      </c>
      <c r="H411" s="62">
        <v>2041</v>
      </c>
      <c r="I411">
        <v>-5.2065000000000001</v>
      </c>
    </row>
    <row r="412" spans="1:9">
      <c r="A412" t="s">
        <v>104</v>
      </c>
      <c r="B412" t="s">
        <v>105</v>
      </c>
      <c r="C412" t="s">
        <v>80</v>
      </c>
      <c r="D412" t="s">
        <v>92</v>
      </c>
      <c r="E412" t="s">
        <v>94</v>
      </c>
      <c r="F412" t="s">
        <v>3</v>
      </c>
      <c r="G412" t="s">
        <v>109</v>
      </c>
      <c r="H412" s="62">
        <v>2041</v>
      </c>
      <c r="I412">
        <v>30.136700000000001</v>
      </c>
    </row>
    <row r="413" spans="1:9">
      <c r="A413" t="s">
        <v>104</v>
      </c>
      <c r="B413" t="s">
        <v>105</v>
      </c>
      <c r="C413" t="s">
        <v>80</v>
      </c>
      <c r="D413" t="s">
        <v>92</v>
      </c>
      <c r="E413" t="s">
        <v>110</v>
      </c>
      <c r="F413" t="s">
        <v>3</v>
      </c>
      <c r="G413" t="s">
        <v>109</v>
      </c>
      <c r="H413" s="62">
        <v>2041</v>
      </c>
      <c r="I413">
        <v>0</v>
      </c>
    </row>
    <row r="414" spans="1:9">
      <c r="A414" t="s">
        <v>104</v>
      </c>
      <c r="B414" t="s">
        <v>105</v>
      </c>
      <c r="C414" t="s">
        <v>80</v>
      </c>
      <c r="D414" t="s">
        <v>92</v>
      </c>
      <c r="E414" t="s">
        <v>95</v>
      </c>
      <c r="F414" t="s">
        <v>3</v>
      </c>
      <c r="G414" t="s">
        <v>109</v>
      </c>
      <c r="H414" s="62">
        <v>2041</v>
      </c>
      <c r="I414">
        <v>17.868500000000001</v>
      </c>
    </row>
    <row r="415" spans="1:9">
      <c r="A415" t="s">
        <v>104</v>
      </c>
      <c r="B415" t="s">
        <v>105</v>
      </c>
      <c r="C415" t="s">
        <v>80</v>
      </c>
      <c r="D415" t="s">
        <v>96</v>
      </c>
      <c r="E415" t="s">
        <v>92</v>
      </c>
      <c r="F415" t="s">
        <v>3</v>
      </c>
      <c r="G415" t="s">
        <v>109</v>
      </c>
      <c r="H415" s="62">
        <v>2041</v>
      </c>
      <c r="I415">
        <v>4.7786999999999997</v>
      </c>
    </row>
    <row r="416" spans="1:9">
      <c r="A416" t="s">
        <v>104</v>
      </c>
      <c r="B416" t="s">
        <v>105</v>
      </c>
      <c r="C416" t="s">
        <v>80</v>
      </c>
      <c r="D416" t="s">
        <v>96</v>
      </c>
      <c r="E416" t="s">
        <v>89</v>
      </c>
      <c r="F416" t="s">
        <v>3</v>
      </c>
      <c r="G416" t="s">
        <v>109</v>
      </c>
      <c r="H416" s="62">
        <v>2041</v>
      </c>
      <c r="I416">
        <v>2.0590999999999999</v>
      </c>
    </row>
    <row r="417" spans="1:9">
      <c r="A417" t="s">
        <v>104</v>
      </c>
      <c r="B417" t="s">
        <v>105</v>
      </c>
      <c r="C417" t="s">
        <v>80</v>
      </c>
      <c r="D417" t="s">
        <v>97</v>
      </c>
      <c r="E417" t="s">
        <v>98</v>
      </c>
      <c r="F417" t="s">
        <v>3</v>
      </c>
      <c r="G417" t="s">
        <v>109</v>
      </c>
      <c r="H417" s="62">
        <v>2041</v>
      </c>
      <c r="I417">
        <v>12.083399999999999</v>
      </c>
    </row>
    <row r="418" spans="1:9">
      <c r="A418" t="s">
        <v>104</v>
      </c>
      <c r="B418" t="s">
        <v>105</v>
      </c>
      <c r="C418" t="s">
        <v>80</v>
      </c>
      <c r="D418" t="s">
        <v>97</v>
      </c>
      <c r="E418" t="s">
        <v>99</v>
      </c>
      <c r="F418" t="s">
        <v>3</v>
      </c>
      <c r="G418" t="s">
        <v>109</v>
      </c>
      <c r="H418" s="62">
        <v>2041</v>
      </c>
      <c r="I418">
        <v>0.108</v>
      </c>
    </row>
    <row r="419" spans="1:9">
      <c r="A419" t="s">
        <v>104</v>
      </c>
      <c r="B419" t="s">
        <v>105</v>
      </c>
      <c r="C419" t="s">
        <v>80</v>
      </c>
      <c r="D419" t="s">
        <v>100</v>
      </c>
      <c r="E419" t="s">
        <v>101</v>
      </c>
      <c r="F419" t="s">
        <v>3</v>
      </c>
      <c r="G419" t="s">
        <v>109</v>
      </c>
      <c r="H419" s="62">
        <v>2041</v>
      </c>
      <c r="I419">
        <v>7.6726000000000001</v>
      </c>
    </row>
    <row r="420" spans="1:9">
      <c r="A420" t="s">
        <v>104</v>
      </c>
      <c r="B420" t="s">
        <v>105</v>
      </c>
      <c r="C420" t="s">
        <v>80</v>
      </c>
      <c r="D420" t="s">
        <v>100</v>
      </c>
      <c r="E420" t="s">
        <v>102</v>
      </c>
      <c r="F420" t="s">
        <v>3</v>
      </c>
      <c r="G420" t="s">
        <v>109</v>
      </c>
      <c r="H420" s="62">
        <v>2041</v>
      </c>
      <c r="I420">
        <v>0</v>
      </c>
    </row>
    <row r="421" spans="1:9">
      <c r="A421" t="s">
        <v>104</v>
      </c>
      <c r="B421" t="s">
        <v>105</v>
      </c>
      <c r="C421" t="s">
        <v>80</v>
      </c>
      <c r="D421" t="s">
        <v>100</v>
      </c>
      <c r="E421" t="s">
        <v>111</v>
      </c>
      <c r="F421" t="s">
        <v>3</v>
      </c>
      <c r="G421" t="s">
        <v>109</v>
      </c>
      <c r="H421" s="62">
        <v>2041</v>
      </c>
      <c r="I421">
        <v>0</v>
      </c>
    </row>
    <row r="422" spans="1:9">
      <c r="A422" t="s">
        <v>104</v>
      </c>
      <c r="B422" t="s">
        <v>105</v>
      </c>
      <c r="C422" t="s">
        <v>80</v>
      </c>
      <c r="D422" t="s">
        <v>100</v>
      </c>
      <c r="E422" t="s">
        <v>112</v>
      </c>
      <c r="F422" t="s">
        <v>3</v>
      </c>
      <c r="G422" t="s">
        <v>109</v>
      </c>
      <c r="H422" s="62">
        <v>2041</v>
      </c>
      <c r="I422">
        <v>0</v>
      </c>
    </row>
    <row r="423" spans="1:9">
      <c r="A423" t="s">
        <v>104</v>
      </c>
      <c r="B423" t="s">
        <v>105</v>
      </c>
      <c r="C423" t="s">
        <v>80</v>
      </c>
      <c r="D423" t="s">
        <v>83</v>
      </c>
      <c r="E423" t="s">
        <v>84</v>
      </c>
      <c r="F423" t="s">
        <v>3</v>
      </c>
      <c r="G423" t="s">
        <v>109</v>
      </c>
      <c r="H423" s="62">
        <v>2041</v>
      </c>
      <c r="I423">
        <v>2.0659000000000001</v>
      </c>
    </row>
    <row r="424" spans="1:9">
      <c r="A424" t="s">
        <v>104</v>
      </c>
      <c r="B424" t="s">
        <v>105</v>
      </c>
      <c r="C424" t="s">
        <v>80</v>
      </c>
      <c r="D424" t="s">
        <v>83</v>
      </c>
      <c r="E424" t="s">
        <v>85</v>
      </c>
      <c r="F424" t="s">
        <v>3</v>
      </c>
      <c r="G424" t="s">
        <v>109</v>
      </c>
      <c r="H424" s="62">
        <v>2041</v>
      </c>
      <c r="I424">
        <v>1.9353</v>
      </c>
    </row>
    <row r="425" spans="1:9">
      <c r="A425" t="s">
        <v>104</v>
      </c>
      <c r="B425" t="s">
        <v>105</v>
      </c>
      <c r="C425" t="s">
        <v>80</v>
      </c>
      <c r="D425" t="s">
        <v>86</v>
      </c>
      <c r="E425" t="s">
        <v>106</v>
      </c>
      <c r="F425" t="s">
        <v>3</v>
      </c>
      <c r="G425" t="s">
        <v>109</v>
      </c>
      <c r="H425" s="62">
        <v>2041</v>
      </c>
      <c r="I425">
        <v>1.1571</v>
      </c>
    </row>
    <row r="426" spans="1:9">
      <c r="A426" t="s">
        <v>104</v>
      </c>
      <c r="B426" t="s">
        <v>105</v>
      </c>
      <c r="C426" t="s">
        <v>80</v>
      </c>
      <c r="D426" t="s">
        <v>86</v>
      </c>
      <c r="E426" t="s">
        <v>87</v>
      </c>
      <c r="F426" t="s">
        <v>3</v>
      </c>
      <c r="G426" t="s">
        <v>109</v>
      </c>
      <c r="H426" s="62">
        <v>2041</v>
      </c>
      <c r="I426">
        <v>4.2224000000000004</v>
      </c>
    </row>
    <row r="427" spans="1:9">
      <c r="A427" t="s">
        <v>104</v>
      </c>
      <c r="B427" t="s">
        <v>105</v>
      </c>
      <c r="C427" t="s">
        <v>80</v>
      </c>
      <c r="D427" t="s">
        <v>103</v>
      </c>
      <c r="E427" t="s">
        <v>92</v>
      </c>
      <c r="F427" t="s">
        <v>3</v>
      </c>
      <c r="G427" t="s">
        <v>109</v>
      </c>
      <c r="H427" s="62">
        <v>2041</v>
      </c>
      <c r="I427">
        <v>4.0197000000000003</v>
      </c>
    </row>
    <row r="428" spans="1:9">
      <c r="A428" t="s">
        <v>104</v>
      </c>
      <c r="B428" t="s">
        <v>105</v>
      </c>
      <c r="C428" t="s">
        <v>80</v>
      </c>
      <c r="D428" t="s">
        <v>103</v>
      </c>
      <c r="E428" t="s">
        <v>89</v>
      </c>
      <c r="F428" t="s">
        <v>3</v>
      </c>
      <c r="G428" t="s">
        <v>109</v>
      </c>
      <c r="H428" s="62">
        <v>2041</v>
      </c>
      <c r="I428">
        <v>20.459</v>
      </c>
    </row>
    <row r="429" spans="1:9">
      <c r="A429" t="s">
        <v>104</v>
      </c>
      <c r="B429" t="s">
        <v>105</v>
      </c>
      <c r="C429" t="s">
        <v>107</v>
      </c>
      <c r="D429" t="s">
        <v>107</v>
      </c>
      <c r="E429" t="s">
        <v>107</v>
      </c>
      <c r="F429" t="s">
        <v>3</v>
      </c>
      <c r="G429" t="s">
        <v>109</v>
      </c>
      <c r="H429" s="62">
        <v>2042</v>
      </c>
      <c r="I429">
        <v>77.003699999999995</v>
      </c>
    </row>
    <row r="430" spans="1:9">
      <c r="A430" t="s">
        <v>104</v>
      </c>
      <c r="B430" t="s">
        <v>105</v>
      </c>
      <c r="C430" t="s">
        <v>107</v>
      </c>
      <c r="D430" t="s">
        <v>108</v>
      </c>
      <c r="E430" t="s">
        <v>108</v>
      </c>
      <c r="F430" t="s">
        <v>3</v>
      </c>
      <c r="G430" t="s">
        <v>109</v>
      </c>
      <c r="H430" s="62">
        <v>2042</v>
      </c>
      <c r="I430">
        <v>0.30159999999999998</v>
      </c>
    </row>
    <row r="431" spans="1:9">
      <c r="A431" t="s">
        <v>104</v>
      </c>
      <c r="B431" t="s">
        <v>105</v>
      </c>
      <c r="C431" t="s">
        <v>80</v>
      </c>
      <c r="D431" t="s">
        <v>80</v>
      </c>
      <c r="E431" t="s">
        <v>80</v>
      </c>
      <c r="F431" t="s">
        <v>3</v>
      </c>
      <c r="G431" t="s">
        <v>109</v>
      </c>
      <c r="H431" s="62">
        <v>2042</v>
      </c>
      <c r="I431">
        <v>76.702100000000002</v>
      </c>
    </row>
    <row r="432" spans="1:9">
      <c r="A432" t="s">
        <v>104</v>
      </c>
      <c r="B432" t="s">
        <v>105</v>
      </c>
      <c r="C432" t="s">
        <v>80</v>
      </c>
      <c r="D432" t="s">
        <v>89</v>
      </c>
      <c r="E432" t="s">
        <v>90</v>
      </c>
      <c r="F432" t="s">
        <v>3</v>
      </c>
      <c r="G432" t="s">
        <v>109</v>
      </c>
      <c r="H432" s="62">
        <v>2042</v>
      </c>
      <c r="I432">
        <v>0.79930000000000001</v>
      </c>
    </row>
    <row r="433" spans="1:9">
      <c r="A433" t="s">
        <v>104</v>
      </c>
      <c r="B433" t="s">
        <v>105</v>
      </c>
      <c r="C433" t="s">
        <v>80</v>
      </c>
      <c r="D433" t="s">
        <v>89</v>
      </c>
      <c r="E433" t="s">
        <v>91</v>
      </c>
      <c r="F433" t="s">
        <v>3</v>
      </c>
      <c r="G433" t="s">
        <v>109</v>
      </c>
      <c r="H433" s="62">
        <v>2042</v>
      </c>
      <c r="I433">
        <v>-9.3100000000000002E-2</v>
      </c>
    </row>
    <row r="434" spans="1:9">
      <c r="A434" t="s">
        <v>104</v>
      </c>
      <c r="B434" t="s">
        <v>105</v>
      </c>
      <c r="C434" t="s">
        <v>80</v>
      </c>
      <c r="D434" t="s">
        <v>92</v>
      </c>
      <c r="E434" t="s">
        <v>93</v>
      </c>
      <c r="F434" t="s">
        <v>3</v>
      </c>
      <c r="G434" t="s">
        <v>109</v>
      </c>
      <c r="H434" s="62">
        <v>2042</v>
      </c>
      <c r="I434">
        <v>-5.6120000000000001</v>
      </c>
    </row>
    <row r="435" spans="1:9">
      <c r="A435" t="s">
        <v>104</v>
      </c>
      <c r="B435" t="s">
        <v>105</v>
      </c>
      <c r="C435" t="s">
        <v>80</v>
      </c>
      <c r="D435" t="s">
        <v>92</v>
      </c>
      <c r="E435" t="s">
        <v>94</v>
      </c>
      <c r="F435" t="s">
        <v>3</v>
      </c>
      <c r="G435" t="s">
        <v>109</v>
      </c>
      <c r="H435" s="62">
        <v>2042</v>
      </c>
      <c r="I435">
        <v>30.233699999999999</v>
      </c>
    </row>
    <row r="436" spans="1:9">
      <c r="A436" t="s">
        <v>104</v>
      </c>
      <c r="B436" t="s">
        <v>105</v>
      </c>
      <c r="C436" t="s">
        <v>80</v>
      </c>
      <c r="D436" t="s">
        <v>92</v>
      </c>
      <c r="E436" t="s">
        <v>110</v>
      </c>
      <c r="F436" t="s">
        <v>3</v>
      </c>
      <c r="G436" t="s">
        <v>109</v>
      </c>
      <c r="H436" s="62">
        <v>2042</v>
      </c>
      <c r="I436">
        <v>0</v>
      </c>
    </row>
    <row r="437" spans="1:9">
      <c r="A437" t="s">
        <v>104</v>
      </c>
      <c r="B437" t="s">
        <v>105</v>
      </c>
      <c r="C437" t="s">
        <v>80</v>
      </c>
      <c r="D437" t="s">
        <v>92</v>
      </c>
      <c r="E437" t="s">
        <v>95</v>
      </c>
      <c r="F437" t="s">
        <v>3</v>
      </c>
      <c r="G437" t="s">
        <v>109</v>
      </c>
      <c r="H437" s="62">
        <v>2042</v>
      </c>
      <c r="I437">
        <v>17.9709</v>
      </c>
    </row>
    <row r="438" spans="1:9">
      <c r="A438" t="s">
        <v>104</v>
      </c>
      <c r="B438" t="s">
        <v>105</v>
      </c>
      <c r="C438" t="s">
        <v>80</v>
      </c>
      <c r="D438" t="s">
        <v>96</v>
      </c>
      <c r="E438" t="s">
        <v>92</v>
      </c>
      <c r="F438" t="s">
        <v>3</v>
      </c>
      <c r="G438" t="s">
        <v>109</v>
      </c>
      <c r="H438" s="62">
        <v>2042</v>
      </c>
      <c r="I438">
        <v>5.0551000000000004</v>
      </c>
    </row>
    <row r="439" spans="1:9">
      <c r="A439" t="s">
        <v>104</v>
      </c>
      <c r="B439" t="s">
        <v>105</v>
      </c>
      <c r="C439" t="s">
        <v>80</v>
      </c>
      <c r="D439" t="s">
        <v>96</v>
      </c>
      <c r="E439" t="s">
        <v>89</v>
      </c>
      <c r="F439" t="s">
        <v>3</v>
      </c>
      <c r="G439" t="s">
        <v>109</v>
      </c>
      <c r="H439" s="62">
        <v>2042</v>
      </c>
      <c r="I439">
        <v>2.1804000000000001</v>
      </c>
    </row>
    <row r="440" spans="1:9">
      <c r="A440" t="s">
        <v>104</v>
      </c>
      <c r="B440" t="s">
        <v>105</v>
      </c>
      <c r="C440" t="s">
        <v>80</v>
      </c>
      <c r="D440" t="s">
        <v>97</v>
      </c>
      <c r="E440" t="s">
        <v>98</v>
      </c>
      <c r="F440" t="s">
        <v>3</v>
      </c>
      <c r="G440" t="s">
        <v>109</v>
      </c>
      <c r="H440" s="62">
        <v>2042</v>
      </c>
      <c r="I440">
        <v>13.317399999999999</v>
      </c>
    </row>
    <row r="441" spans="1:9">
      <c r="A441" t="s">
        <v>104</v>
      </c>
      <c r="B441" t="s">
        <v>105</v>
      </c>
      <c r="C441" t="s">
        <v>80</v>
      </c>
      <c r="D441" t="s">
        <v>97</v>
      </c>
      <c r="E441" t="s">
        <v>99</v>
      </c>
      <c r="F441" t="s">
        <v>3</v>
      </c>
      <c r="G441" t="s">
        <v>109</v>
      </c>
      <c r="H441" s="62">
        <v>2042</v>
      </c>
      <c r="I441">
        <v>0.1268</v>
      </c>
    </row>
    <row r="442" spans="1:9">
      <c r="A442" t="s">
        <v>104</v>
      </c>
      <c r="B442" t="s">
        <v>105</v>
      </c>
      <c r="C442" t="s">
        <v>80</v>
      </c>
      <c r="D442" t="s">
        <v>100</v>
      </c>
      <c r="E442" t="s">
        <v>101</v>
      </c>
      <c r="F442" t="s">
        <v>3</v>
      </c>
      <c r="G442" t="s">
        <v>109</v>
      </c>
      <c r="H442" s="62">
        <v>2042</v>
      </c>
      <c r="I442">
        <v>8.6538000000000004</v>
      </c>
    </row>
    <row r="443" spans="1:9">
      <c r="A443" t="s">
        <v>104</v>
      </c>
      <c r="B443" t="s">
        <v>105</v>
      </c>
      <c r="C443" t="s">
        <v>80</v>
      </c>
      <c r="D443" t="s">
        <v>100</v>
      </c>
      <c r="E443" t="s">
        <v>102</v>
      </c>
      <c r="F443" t="s">
        <v>3</v>
      </c>
      <c r="G443" t="s">
        <v>109</v>
      </c>
      <c r="H443" s="62">
        <v>2042</v>
      </c>
      <c r="I443">
        <v>0</v>
      </c>
    </row>
    <row r="444" spans="1:9">
      <c r="A444" t="s">
        <v>104</v>
      </c>
      <c r="B444" t="s">
        <v>105</v>
      </c>
      <c r="C444" t="s">
        <v>80</v>
      </c>
      <c r="D444" t="s">
        <v>100</v>
      </c>
      <c r="E444" t="s">
        <v>111</v>
      </c>
      <c r="F444" t="s">
        <v>3</v>
      </c>
      <c r="G444" t="s">
        <v>109</v>
      </c>
      <c r="H444" s="62">
        <v>2042</v>
      </c>
      <c r="I444">
        <v>0</v>
      </c>
    </row>
    <row r="445" spans="1:9">
      <c r="A445" t="s">
        <v>104</v>
      </c>
      <c r="B445" t="s">
        <v>105</v>
      </c>
      <c r="C445" t="s">
        <v>80</v>
      </c>
      <c r="D445" t="s">
        <v>100</v>
      </c>
      <c r="E445" t="s">
        <v>112</v>
      </c>
      <c r="F445" t="s">
        <v>3</v>
      </c>
      <c r="G445" t="s">
        <v>109</v>
      </c>
      <c r="H445" s="62">
        <v>2042</v>
      </c>
      <c r="I445">
        <v>0</v>
      </c>
    </row>
    <row r="446" spans="1:9">
      <c r="A446" t="s">
        <v>104</v>
      </c>
      <c r="B446" t="s">
        <v>105</v>
      </c>
      <c r="C446" t="s">
        <v>80</v>
      </c>
      <c r="D446" t="s">
        <v>83</v>
      </c>
      <c r="E446" t="s">
        <v>84</v>
      </c>
      <c r="F446" t="s">
        <v>3</v>
      </c>
      <c r="G446" t="s">
        <v>109</v>
      </c>
      <c r="H446" s="62">
        <v>2042</v>
      </c>
      <c r="I446">
        <v>2.1046999999999998</v>
      </c>
    </row>
    <row r="447" spans="1:9">
      <c r="A447" t="s">
        <v>104</v>
      </c>
      <c r="B447" t="s">
        <v>105</v>
      </c>
      <c r="C447" t="s">
        <v>80</v>
      </c>
      <c r="D447" t="s">
        <v>83</v>
      </c>
      <c r="E447" t="s">
        <v>85</v>
      </c>
      <c r="F447" t="s">
        <v>3</v>
      </c>
      <c r="G447" t="s">
        <v>109</v>
      </c>
      <c r="H447" s="62">
        <v>2042</v>
      </c>
      <c r="I447">
        <v>1.9651000000000001</v>
      </c>
    </row>
    <row r="448" spans="1:9">
      <c r="A448" t="s">
        <v>104</v>
      </c>
      <c r="B448" t="s">
        <v>105</v>
      </c>
      <c r="C448" t="s">
        <v>80</v>
      </c>
      <c r="D448" t="s">
        <v>86</v>
      </c>
      <c r="E448" t="s">
        <v>106</v>
      </c>
      <c r="F448" t="s">
        <v>3</v>
      </c>
      <c r="G448" t="s">
        <v>109</v>
      </c>
      <c r="H448" s="62">
        <v>2042</v>
      </c>
      <c r="I448">
        <v>1.1626000000000001</v>
      </c>
    </row>
    <row r="449" spans="1:9">
      <c r="A449" t="s">
        <v>104</v>
      </c>
      <c r="B449" t="s">
        <v>105</v>
      </c>
      <c r="C449" t="s">
        <v>80</v>
      </c>
      <c r="D449" t="s">
        <v>86</v>
      </c>
      <c r="E449" t="s">
        <v>87</v>
      </c>
      <c r="F449" t="s">
        <v>3</v>
      </c>
      <c r="G449" t="s">
        <v>109</v>
      </c>
      <c r="H449" s="62">
        <v>2042</v>
      </c>
      <c r="I449">
        <v>4.5425000000000004</v>
      </c>
    </row>
    <row r="450" spans="1:9">
      <c r="A450" t="s">
        <v>104</v>
      </c>
      <c r="B450" t="s">
        <v>105</v>
      </c>
      <c r="C450" t="s">
        <v>80</v>
      </c>
      <c r="D450" t="s">
        <v>103</v>
      </c>
      <c r="E450" t="s">
        <v>92</v>
      </c>
      <c r="F450" t="s">
        <v>3</v>
      </c>
      <c r="G450" t="s">
        <v>109</v>
      </c>
      <c r="H450" s="62">
        <v>2042</v>
      </c>
      <c r="I450">
        <v>4.1749000000000001</v>
      </c>
    </row>
    <row r="451" spans="1:9">
      <c r="A451" t="s">
        <v>104</v>
      </c>
      <c r="B451" t="s">
        <v>105</v>
      </c>
      <c r="C451" t="s">
        <v>80</v>
      </c>
      <c r="D451" t="s">
        <v>103</v>
      </c>
      <c r="E451" t="s">
        <v>89</v>
      </c>
      <c r="F451" t="s">
        <v>3</v>
      </c>
      <c r="G451" t="s">
        <v>109</v>
      </c>
      <c r="H451" s="62">
        <v>2042</v>
      </c>
      <c r="I451">
        <v>21.2437</v>
      </c>
    </row>
    <row r="452" spans="1:9">
      <c r="A452" t="s">
        <v>104</v>
      </c>
      <c r="B452" t="s">
        <v>105</v>
      </c>
      <c r="C452" t="s">
        <v>107</v>
      </c>
      <c r="D452" t="s">
        <v>107</v>
      </c>
      <c r="E452" t="s">
        <v>107</v>
      </c>
      <c r="F452" t="s">
        <v>3</v>
      </c>
      <c r="G452" t="s">
        <v>109</v>
      </c>
      <c r="H452" s="62">
        <v>2043</v>
      </c>
      <c r="I452">
        <v>77.942999999999998</v>
      </c>
    </row>
    <row r="453" spans="1:9">
      <c r="A453" t="s">
        <v>104</v>
      </c>
      <c r="B453" t="s">
        <v>105</v>
      </c>
      <c r="C453" t="s">
        <v>107</v>
      </c>
      <c r="D453" t="s">
        <v>108</v>
      </c>
      <c r="E453" t="s">
        <v>108</v>
      </c>
      <c r="F453" t="s">
        <v>3</v>
      </c>
      <c r="G453" t="s">
        <v>109</v>
      </c>
      <c r="H453" s="62">
        <v>2043</v>
      </c>
      <c r="I453">
        <v>0.30330000000000001</v>
      </c>
    </row>
    <row r="454" spans="1:9">
      <c r="A454" t="s">
        <v>104</v>
      </c>
      <c r="B454" t="s">
        <v>105</v>
      </c>
      <c r="C454" t="s">
        <v>80</v>
      </c>
      <c r="D454" t="s">
        <v>80</v>
      </c>
      <c r="E454" t="s">
        <v>80</v>
      </c>
      <c r="F454" t="s">
        <v>3</v>
      </c>
      <c r="G454" t="s">
        <v>109</v>
      </c>
      <c r="H454" s="62">
        <v>2043</v>
      </c>
      <c r="I454">
        <v>77.639600000000002</v>
      </c>
    </row>
    <row r="455" spans="1:9">
      <c r="A455" t="s">
        <v>104</v>
      </c>
      <c r="B455" t="s">
        <v>105</v>
      </c>
      <c r="C455" t="s">
        <v>80</v>
      </c>
      <c r="D455" t="s">
        <v>89</v>
      </c>
      <c r="E455" t="s">
        <v>90</v>
      </c>
      <c r="F455" t="s">
        <v>3</v>
      </c>
      <c r="G455" t="s">
        <v>109</v>
      </c>
      <c r="H455" s="62">
        <v>2043</v>
      </c>
      <c r="I455">
        <v>-2.6200000000000001E-2</v>
      </c>
    </row>
    <row r="456" spans="1:9">
      <c r="A456" t="s">
        <v>104</v>
      </c>
      <c r="B456" t="s">
        <v>105</v>
      </c>
      <c r="C456" t="s">
        <v>80</v>
      </c>
      <c r="D456" t="s">
        <v>89</v>
      </c>
      <c r="E456" t="s">
        <v>91</v>
      </c>
      <c r="F456" t="s">
        <v>3</v>
      </c>
      <c r="G456" t="s">
        <v>109</v>
      </c>
      <c r="H456" s="62">
        <v>2043</v>
      </c>
      <c r="I456">
        <v>3.3E-3</v>
      </c>
    </row>
    <row r="457" spans="1:9">
      <c r="A457" t="s">
        <v>104</v>
      </c>
      <c r="B457" t="s">
        <v>105</v>
      </c>
      <c r="C457" t="s">
        <v>80</v>
      </c>
      <c r="D457" t="s">
        <v>92</v>
      </c>
      <c r="E457" t="s">
        <v>93</v>
      </c>
      <c r="F457" t="s">
        <v>3</v>
      </c>
      <c r="G457" t="s">
        <v>109</v>
      </c>
      <c r="H457" s="62">
        <v>2043</v>
      </c>
      <c r="I457">
        <v>-6.1159999999999997</v>
      </c>
    </row>
    <row r="458" spans="1:9">
      <c r="A458" t="s">
        <v>104</v>
      </c>
      <c r="B458" t="s">
        <v>105</v>
      </c>
      <c r="C458" t="s">
        <v>80</v>
      </c>
      <c r="D458" t="s">
        <v>92</v>
      </c>
      <c r="E458" t="s">
        <v>94</v>
      </c>
      <c r="F458" t="s">
        <v>3</v>
      </c>
      <c r="G458" t="s">
        <v>109</v>
      </c>
      <c r="H458" s="62">
        <v>2043</v>
      </c>
      <c r="I458">
        <v>30.3294</v>
      </c>
    </row>
    <row r="459" spans="1:9">
      <c r="A459" t="s">
        <v>104</v>
      </c>
      <c r="B459" t="s">
        <v>105</v>
      </c>
      <c r="C459" t="s">
        <v>80</v>
      </c>
      <c r="D459" t="s">
        <v>92</v>
      </c>
      <c r="E459" t="s">
        <v>110</v>
      </c>
      <c r="F459" t="s">
        <v>3</v>
      </c>
      <c r="G459" t="s">
        <v>109</v>
      </c>
      <c r="H459" s="62">
        <v>2043</v>
      </c>
      <c r="I459">
        <v>0</v>
      </c>
    </row>
    <row r="460" spans="1:9">
      <c r="A460" t="s">
        <v>104</v>
      </c>
      <c r="B460" t="s">
        <v>105</v>
      </c>
      <c r="C460" t="s">
        <v>80</v>
      </c>
      <c r="D460" t="s">
        <v>92</v>
      </c>
      <c r="E460" t="s">
        <v>95</v>
      </c>
      <c r="F460" t="s">
        <v>3</v>
      </c>
      <c r="G460" t="s">
        <v>109</v>
      </c>
      <c r="H460" s="62">
        <v>2043</v>
      </c>
      <c r="I460">
        <v>18.0855</v>
      </c>
    </row>
    <row r="461" spans="1:9">
      <c r="A461" t="s">
        <v>104</v>
      </c>
      <c r="B461" t="s">
        <v>105</v>
      </c>
      <c r="C461" t="s">
        <v>80</v>
      </c>
      <c r="D461" t="s">
        <v>96</v>
      </c>
      <c r="E461" t="s">
        <v>92</v>
      </c>
      <c r="F461" t="s">
        <v>3</v>
      </c>
      <c r="G461" t="s">
        <v>109</v>
      </c>
      <c r="H461" s="62">
        <v>2043</v>
      </c>
      <c r="I461">
        <v>5.0933000000000002</v>
      </c>
    </row>
    <row r="462" spans="1:9">
      <c r="A462" t="s">
        <v>104</v>
      </c>
      <c r="B462" t="s">
        <v>105</v>
      </c>
      <c r="C462" t="s">
        <v>80</v>
      </c>
      <c r="D462" t="s">
        <v>96</v>
      </c>
      <c r="E462" t="s">
        <v>89</v>
      </c>
      <c r="F462" t="s">
        <v>3</v>
      </c>
      <c r="G462" t="s">
        <v>109</v>
      </c>
      <c r="H462" s="62">
        <v>2043</v>
      </c>
      <c r="I462">
        <v>2.3039999999999998</v>
      </c>
    </row>
    <row r="463" spans="1:9">
      <c r="A463" t="s">
        <v>104</v>
      </c>
      <c r="B463" t="s">
        <v>105</v>
      </c>
      <c r="C463" t="s">
        <v>80</v>
      </c>
      <c r="D463" t="s">
        <v>97</v>
      </c>
      <c r="E463" t="s">
        <v>98</v>
      </c>
      <c r="F463" t="s">
        <v>3</v>
      </c>
      <c r="G463" t="s">
        <v>109</v>
      </c>
      <c r="H463" s="62">
        <v>2043</v>
      </c>
      <c r="I463">
        <v>14.5558</v>
      </c>
    </row>
    <row r="464" spans="1:9">
      <c r="A464" t="s">
        <v>104</v>
      </c>
      <c r="B464" t="s">
        <v>105</v>
      </c>
      <c r="C464" t="s">
        <v>80</v>
      </c>
      <c r="D464" t="s">
        <v>97</v>
      </c>
      <c r="E464" t="s">
        <v>99</v>
      </c>
      <c r="F464" t="s">
        <v>3</v>
      </c>
      <c r="G464" t="s">
        <v>109</v>
      </c>
      <c r="H464" s="62">
        <v>2043</v>
      </c>
      <c r="I464">
        <v>0.1472</v>
      </c>
    </row>
    <row r="465" spans="1:9">
      <c r="A465" t="s">
        <v>104</v>
      </c>
      <c r="B465" t="s">
        <v>105</v>
      </c>
      <c r="C465" t="s">
        <v>80</v>
      </c>
      <c r="D465" t="s">
        <v>100</v>
      </c>
      <c r="E465" t="s">
        <v>101</v>
      </c>
      <c r="F465" t="s">
        <v>3</v>
      </c>
      <c r="G465" t="s">
        <v>109</v>
      </c>
      <c r="H465" s="62">
        <v>2043</v>
      </c>
      <c r="I465">
        <v>9.1427999999999994</v>
      </c>
    </row>
    <row r="466" spans="1:9">
      <c r="A466" t="s">
        <v>104</v>
      </c>
      <c r="B466" t="s">
        <v>105</v>
      </c>
      <c r="C466" t="s">
        <v>80</v>
      </c>
      <c r="D466" t="s">
        <v>100</v>
      </c>
      <c r="E466" t="s">
        <v>102</v>
      </c>
      <c r="F466" t="s">
        <v>3</v>
      </c>
      <c r="G466" t="s">
        <v>109</v>
      </c>
      <c r="H466" s="62">
        <v>2043</v>
      </c>
      <c r="I466">
        <v>0</v>
      </c>
    </row>
    <row r="467" spans="1:9">
      <c r="A467" t="s">
        <v>104</v>
      </c>
      <c r="B467" t="s">
        <v>105</v>
      </c>
      <c r="C467" t="s">
        <v>80</v>
      </c>
      <c r="D467" t="s">
        <v>100</v>
      </c>
      <c r="E467" t="s">
        <v>111</v>
      </c>
      <c r="F467" t="s">
        <v>3</v>
      </c>
      <c r="G467" t="s">
        <v>109</v>
      </c>
      <c r="H467" s="62">
        <v>2043</v>
      </c>
      <c r="I467">
        <v>0</v>
      </c>
    </row>
    <row r="468" spans="1:9">
      <c r="A468" t="s">
        <v>104</v>
      </c>
      <c r="B468" t="s">
        <v>105</v>
      </c>
      <c r="C468" t="s">
        <v>80</v>
      </c>
      <c r="D468" t="s">
        <v>100</v>
      </c>
      <c r="E468" t="s">
        <v>112</v>
      </c>
      <c r="F468" t="s">
        <v>3</v>
      </c>
      <c r="G468" t="s">
        <v>109</v>
      </c>
      <c r="H468" s="62">
        <v>2043</v>
      </c>
      <c r="I468">
        <v>0</v>
      </c>
    </row>
    <row r="469" spans="1:9">
      <c r="A469" t="s">
        <v>104</v>
      </c>
      <c r="B469" t="s">
        <v>105</v>
      </c>
      <c r="C469" t="s">
        <v>80</v>
      </c>
      <c r="D469" t="s">
        <v>83</v>
      </c>
      <c r="E469" t="s">
        <v>84</v>
      </c>
      <c r="F469" t="s">
        <v>3</v>
      </c>
      <c r="G469" t="s">
        <v>109</v>
      </c>
      <c r="H469" s="62">
        <v>2043</v>
      </c>
      <c r="I469">
        <v>2.1328</v>
      </c>
    </row>
    <row r="470" spans="1:9">
      <c r="A470" t="s">
        <v>104</v>
      </c>
      <c r="B470" t="s">
        <v>105</v>
      </c>
      <c r="C470" t="s">
        <v>80</v>
      </c>
      <c r="D470" t="s">
        <v>83</v>
      </c>
      <c r="E470" t="s">
        <v>85</v>
      </c>
      <c r="F470" t="s">
        <v>3</v>
      </c>
      <c r="G470" t="s">
        <v>109</v>
      </c>
      <c r="H470" s="62">
        <v>2043</v>
      </c>
      <c r="I470">
        <v>1.9878</v>
      </c>
    </row>
    <row r="471" spans="1:9">
      <c r="A471" t="s">
        <v>104</v>
      </c>
      <c r="B471" t="s">
        <v>105</v>
      </c>
      <c r="C471" t="s">
        <v>80</v>
      </c>
      <c r="D471" t="s">
        <v>86</v>
      </c>
      <c r="E471" t="s">
        <v>106</v>
      </c>
      <c r="F471" t="s">
        <v>3</v>
      </c>
      <c r="G471" t="s">
        <v>109</v>
      </c>
      <c r="H471" s="62">
        <v>2043</v>
      </c>
      <c r="I471">
        <v>1.1680999999999999</v>
      </c>
    </row>
    <row r="472" spans="1:9">
      <c r="A472" t="s">
        <v>104</v>
      </c>
      <c r="B472" t="s">
        <v>105</v>
      </c>
      <c r="C472" t="s">
        <v>80</v>
      </c>
      <c r="D472" t="s">
        <v>86</v>
      </c>
      <c r="E472" t="s">
        <v>87</v>
      </c>
      <c r="F472" t="s">
        <v>3</v>
      </c>
      <c r="G472" t="s">
        <v>109</v>
      </c>
      <c r="H472" s="62">
        <v>2043</v>
      </c>
      <c r="I472">
        <v>4.9446000000000003</v>
      </c>
    </row>
    <row r="473" spans="1:9">
      <c r="A473" t="s">
        <v>104</v>
      </c>
      <c r="B473" t="s">
        <v>105</v>
      </c>
      <c r="C473" t="s">
        <v>80</v>
      </c>
      <c r="D473" t="s">
        <v>103</v>
      </c>
      <c r="E473" t="s">
        <v>92</v>
      </c>
      <c r="F473" t="s">
        <v>3</v>
      </c>
      <c r="G473" t="s">
        <v>109</v>
      </c>
      <c r="H473" s="62">
        <v>2043</v>
      </c>
      <c r="I473">
        <v>4.3304</v>
      </c>
    </row>
    <row r="474" spans="1:9">
      <c r="A474" t="s">
        <v>104</v>
      </c>
      <c r="B474" t="s">
        <v>105</v>
      </c>
      <c r="C474" t="s">
        <v>80</v>
      </c>
      <c r="D474" t="s">
        <v>103</v>
      </c>
      <c r="E474" t="s">
        <v>89</v>
      </c>
      <c r="F474" t="s">
        <v>3</v>
      </c>
      <c r="G474" t="s">
        <v>109</v>
      </c>
      <c r="H474" s="62">
        <v>2043</v>
      </c>
      <c r="I474">
        <v>22.0779</v>
      </c>
    </row>
    <row r="475" spans="1:9">
      <c r="A475" t="s">
        <v>104</v>
      </c>
      <c r="B475" t="s">
        <v>105</v>
      </c>
      <c r="C475" t="s">
        <v>107</v>
      </c>
      <c r="D475" t="s">
        <v>107</v>
      </c>
      <c r="E475" t="s">
        <v>107</v>
      </c>
      <c r="F475" t="s">
        <v>3</v>
      </c>
      <c r="G475" t="s">
        <v>109</v>
      </c>
      <c r="H475" s="62">
        <v>2044</v>
      </c>
      <c r="I475">
        <v>78.722999999999999</v>
      </c>
    </row>
    <row r="476" spans="1:9">
      <c r="A476" t="s">
        <v>104</v>
      </c>
      <c r="B476" t="s">
        <v>105</v>
      </c>
      <c r="C476" t="s">
        <v>107</v>
      </c>
      <c r="D476" t="s">
        <v>108</v>
      </c>
      <c r="E476" t="s">
        <v>108</v>
      </c>
      <c r="F476" t="s">
        <v>3</v>
      </c>
      <c r="G476" t="s">
        <v>109</v>
      </c>
      <c r="H476" s="62">
        <v>2044</v>
      </c>
      <c r="I476">
        <v>0.27400000000000002</v>
      </c>
    </row>
    <row r="477" spans="1:9">
      <c r="A477" t="s">
        <v>104</v>
      </c>
      <c r="B477" t="s">
        <v>105</v>
      </c>
      <c r="C477" t="s">
        <v>80</v>
      </c>
      <c r="D477" t="s">
        <v>80</v>
      </c>
      <c r="E477" t="s">
        <v>80</v>
      </c>
      <c r="F477" t="s">
        <v>3</v>
      </c>
      <c r="G477" t="s">
        <v>109</v>
      </c>
      <c r="H477" s="62">
        <v>2044</v>
      </c>
      <c r="I477">
        <v>78.448999999999998</v>
      </c>
    </row>
    <row r="478" spans="1:9">
      <c r="A478" t="s">
        <v>104</v>
      </c>
      <c r="B478" t="s">
        <v>105</v>
      </c>
      <c r="C478" t="s">
        <v>80</v>
      </c>
      <c r="D478" t="s">
        <v>89</v>
      </c>
      <c r="E478" t="s">
        <v>90</v>
      </c>
      <c r="F478" t="s">
        <v>3</v>
      </c>
      <c r="G478" t="s">
        <v>109</v>
      </c>
      <c r="H478" s="62">
        <v>2044</v>
      </c>
      <c r="I478">
        <v>-0.8821</v>
      </c>
    </row>
    <row r="479" spans="1:9">
      <c r="A479" t="s">
        <v>104</v>
      </c>
      <c r="B479" t="s">
        <v>105</v>
      </c>
      <c r="C479" t="s">
        <v>80</v>
      </c>
      <c r="D479" t="s">
        <v>89</v>
      </c>
      <c r="E479" t="s">
        <v>91</v>
      </c>
      <c r="F479" t="s">
        <v>3</v>
      </c>
      <c r="G479" t="s">
        <v>109</v>
      </c>
      <c r="H479" s="62">
        <v>2044</v>
      </c>
      <c r="I479">
        <v>0.12089999999999999</v>
      </c>
    </row>
    <row r="480" spans="1:9">
      <c r="A480" t="s">
        <v>104</v>
      </c>
      <c r="B480" t="s">
        <v>105</v>
      </c>
      <c r="C480" t="s">
        <v>80</v>
      </c>
      <c r="D480" t="s">
        <v>92</v>
      </c>
      <c r="E480" t="s">
        <v>93</v>
      </c>
      <c r="F480" t="s">
        <v>3</v>
      </c>
      <c r="G480" t="s">
        <v>109</v>
      </c>
      <c r="H480" s="62">
        <v>2044</v>
      </c>
      <c r="I480">
        <v>-6.6637000000000004</v>
      </c>
    </row>
    <row r="481" spans="1:9">
      <c r="A481" t="s">
        <v>104</v>
      </c>
      <c r="B481" t="s">
        <v>105</v>
      </c>
      <c r="C481" t="s">
        <v>80</v>
      </c>
      <c r="D481" t="s">
        <v>92</v>
      </c>
      <c r="E481" t="s">
        <v>94</v>
      </c>
      <c r="F481" t="s">
        <v>3</v>
      </c>
      <c r="G481" t="s">
        <v>109</v>
      </c>
      <c r="H481" s="62">
        <v>2044</v>
      </c>
      <c r="I481">
        <v>30.4222</v>
      </c>
    </row>
    <row r="482" spans="1:9">
      <c r="A482" t="s">
        <v>104</v>
      </c>
      <c r="B482" t="s">
        <v>105</v>
      </c>
      <c r="C482" t="s">
        <v>80</v>
      </c>
      <c r="D482" t="s">
        <v>92</v>
      </c>
      <c r="E482" t="s">
        <v>110</v>
      </c>
      <c r="F482" t="s">
        <v>3</v>
      </c>
      <c r="G482" t="s">
        <v>109</v>
      </c>
      <c r="H482" s="62">
        <v>2044</v>
      </c>
      <c r="I482">
        <v>0</v>
      </c>
    </row>
    <row r="483" spans="1:9">
      <c r="A483" t="s">
        <v>104</v>
      </c>
      <c r="B483" t="s">
        <v>105</v>
      </c>
      <c r="C483" t="s">
        <v>80</v>
      </c>
      <c r="D483" t="s">
        <v>92</v>
      </c>
      <c r="E483" t="s">
        <v>95</v>
      </c>
      <c r="F483" t="s">
        <v>3</v>
      </c>
      <c r="G483" t="s">
        <v>109</v>
      </c>
      <c r="H483" s="62">
        <v>2044</v>
      </c>
      <c r="I483">
        <v>18.207799999999999</v>
      </c>
    </row>
    <row r="484" spans="1:9">
      <c r="A484" t="s">
        <v>104</v>
      </c>
      <c r="B484" t="s">
        <v>105</v>
      </c>
      <c r="C484" t="s">
        <v>80</v>
      </c>
      <c r="D484" t="s">
        <v>96</v>
      </c>
      <c r="E484" t="s">
        <v>92</v>
      </c>
      <c r="F484" t="s">
        <v>3</v>
      </c>
      <c r="G484" t="s">
        <v>109</v>
      </c>
      <c r="H484" s="62">
        <v>2044</v>
      </c>
      <c r="I484">
        <v>5.0217999999999998</v>
      </c>
    </row>
    <row r="485" spans="1:9">
      <c r="A485" t="s">
        <v>104</v>
      </c>
      <c r="B485" t="s">
        <v>105</v>
      </c>
      <c r="C485" t="s">
        <v>80</v>
      </c>
      <c r="D485" t="s">
        <v>96</v>
      </c>
      <c r="E485" t="s">
        <v>89</v>
      </c>
      <c r="F485" t="s">
        <v>3</v>
      </c>
      <c r="G485" t="s">
        <v>109</v>
      </c>
      <c r="H485" s="62">
        <v>2044</v>
      </c>
      <c r="I485">
        <v>2.4209999999999998</v>
      </c>
    </row>
    <row r="486" spans="1:9">
      <c r="A486" t="s">
        <v>104</v>
      </c>
      <c r="B486" t="s">
        <v>105</v>
      </c>
      <c r="C486" t="s">
        <v>80</v>
      </c>
      <c r="D486" t="s">
        <v>97</v>
      </c>
      <c r="E486" t="s">
        <v>98</v>
      </c>
      <c r="F486" t="s">
        <v>3</v>
      </c>
      <c r="G486" t="s">
        <v>109</v>
      </c>
      <c r="H486" s="62">
        <v>2044</v>
      </c>
      <c r="I486">
        <v>15.8339</v>
      </c>
    </row>
    <row r="487" spans="1:9">
      <c r="A487" t="s">
        <v>104</v>
      </c>
      <c r="B487" t="s">
        <v>105</v>
      </c>
      <c r="C487" t="s">
        <v>80</v>
      </c>
      <c r="D487" t="s">
        <v>97</v>
      </c>
      <c r="E487" t="s">
        <v>99</v>
      </c>
      <c r="F487" t="s">
        <v>3</v>
      </c>
      <c r="G487" t="s">
        <v>109</v>
      </c>
      <c r="H487" s="62">
        <v>2044</v>
      </c>
      <c r="I487">
        <v>0.16950000000000001</v>
      </c>
    </row>
    <row r="488" spans="1:9">
      <c r="A488" t="s">
        <v>104</v>
      </c>
      <c r="B488" t="s">
        <v>105</v>
      </c>
      <c r="C488" t="s">
        <v>80</v>
      </c>
      <c r="D488" t="s">
        <v>100</v>
      </c>
      <c r="E488" t="s">
        <v>101</v>
      </c>
      <c r="F488" t="s">
        <v>3</v>
      </c>
      <c r="G488" t="s">
        <v>109</v>
      </c>
      <c r="H488" s="62">
        <v>2044</v>
      </c>
      <c r="I488">
        <v>9.6334</v>
      </c>
    </row>
    <row r="489" spans="1:9">
      <c r="A489" t="s">
        <v>104</v>
      </c>
      <c r="B489" t="s">
        <v>105</v>
      </c>
      <c r="C489" t="s">
        <v>80</v>
      </c>
      <c r="D489" t="s">
        <v>100</v>
      </c>
      <c r="E489" t="s">
        <v>102</v>
      </c>
      <c r="F489" t="s">
        <v>3</v>
      </c>
      <c r="G489" t="s">
        <v>109</v>
      </c>
      <c r="H489" s="62">
        <v>2044</v>
      </c>
      <c r="I489">
        <v>0</v>
      </c>
    </row>
    <row r="490" spans="1:9">
      <c r="A490" t="s">
        <v>104</v>
      </c>
      <c r="B490" t="s">
        <v>105</v>
      </c>
      <c r="C490" t="s">
        <v>80</v>
      </c>
      <c r="D490" t="s">
        <v>100</v>
      </c>
      <c r="E490" t="s">
        <v>111</v>
      </c>
      <c r="F490" t="s">
        <v>3</v>
      </c>
      <c r="G490" t="s">
        <v>109</v>
      </c>
      <c r="H490" s="62">
        <v>2044</v>
      </c>
      <c r="I490">
        <v>0</v>
      </c>
    </row>
    <row r="491" spans="1:9">
      <c r="A491" t="s">
        <v>104</v>
      </c>
      <c r="B491" t="s">
        <v>105</v>
      </c>
      <c r="C491" t="s">
        <v>80</v>
      </c>
      <c r="D491" t="s">
        <v>100</v>
      </c>
      <c r="E491" t="s">
        <v>112</v>
      </c>
      <c r="F491" t="s">
        <v>3</v>
      </c>
      <c r="G491" t="s">
        <v>109</v>
      </c>
      <c r="H491" s="62">
        <v>2044</v>
      </c>
      <c r="I491">
        <v>0</v>
      </c>
    </row>
    <row r="492" spans="1:9">
      <c r="A492" t="s">
        <v>104</v>
      </c>
      <c r="B492" t="s">
        <v>105</v>
      </c>
      <c r="C492" t="s">
        <v>80</v>
      </c>
      <c r="D492" t="s">
        <v>83</v>
      </c>
      <c r="E492" t="s">
        <v>84</v>
      </c>
      <c r="F492" t="s">
        <v>3</v>
      </c>
      <c r="G492" t="s">
        <v>109</v>
      </c>
      <c r="H492" s="62">
        <v>2044</v>
      </c>
      <c r="I492">
        <v>2.1564999999999999</v>
      </c>
    </row>
    <row r="493" spans="1:9">
      <c r="A493" t="s">
        <v>104</v>
      </c>
      <c r="B493" t="s">
        <v>105</v>
      </c>
      <c r="C493" t="s">
        <v>80</v>
      </c>
      <c r="D493" t="s">
        <v>83</v>
      </c>
      <c r="E493" t="s">
        <v>85</v>
      </c>
      <c r="F493" t="s">
        <v>3</v>
      </c>
      <c r="G493" t="s">
        <v>109</v>
      </c>
      <c r="H493" s="62">
        <v>2044</v>
      </c>
      <c r="I493">
        <v>2.0076999999999998</v>
      </c>
    </row>
    <row r="494" spans="1:9">
      <c r="A494" t="s">
        <v>104</v>
      </c>
      <c r="B494" t="s">
        <v>105</v>
      </c>
      <c r="C494" t="s">
        <v>80</v>
      </c>
      <c r="D494" t="s">
        <v>86</v>
      </c>
      <c r="E494" t="s">
        <v>106</v>
      </c>
      <c r="F494" t="s">
        <v>3</v>
      </c>
      <c r="G494" t="s">
        <v>109</v>
      </c>
      <c r="H494" s="62">
        <v>2044</v>
      </c>
      <c r="I494">
        <v>1.1768000000000001</v>
      </c>
    </row>
    <row r="495" spans="1:9">
      <c r="A495" t="s">
        <v>104</v>
      </c>
      <c r="B495" t="s">
        <v>105</v>
      </c>
      <c r="C495" t="s">
        <v>80</v>
      </c>
      <c r="D495" t="s">
        <v>86</v>
      </c>
      <c r="E495" t="s">
        <v>87</v>
      </c>
      <c r="F495" t="s">
        <v>3</v>
      </c>
      <c r="G495" t="s">
        <v>109</v>
      </c>
      <c r="H495" s="62">
        <v>2044</v>
      </c>
      <c r="I495">
        <v>5.3659999999999997</v>
      </c>
    </row>
    <row r="496" spans="1:9">
      <c r="A496" t="s">
        <v>104</v>
      </c>
      <c r="B496" t="s">
        <v>105</v>
      </c>
      <c r="C496" t="s">
        <v>80</v>
      </c>
      <c r="D496" t="s">
        <v>103</v>
      </c>
      <c r="E496" t="s">
        <v>92</v>
      </c>
      <c r="F496" t="s">
        <v>3</v>
      </c>
      <c r="G496" t="s">
        <v>109</v>
      </c>
      <c r="H496" s="62">
        <v>2044</v>
      </c>
      <c r="I496">
        <v>4.4847999999999999</v>
      </c>
    </row>
    <row r="497" spans="1:9">
      <c r="A497" t="s">
        <v>104</v>
      </c>
      <c r="B497" t="s">
        <v>105</v>
      </c>
      <c r="C497" t="s">
        <v>80</v>
      </c>
      <c r="D497" t="s">
        <v>103</v>
      </c>
      <c r="E497" t="s">
        <v>89</v>
      </c>
      <c r="F497" t="s">
        <v>3</v>
      </c>
      <c r="G497" t="s">
        <v>109</v>
      </c>
      <c r="H497" s="62">
        <v>2044</v>
      </c>
      <c r="I497">
        <v>22.961200000000002</v>
      </c>
    </row>
    <row r="498" spans="1:9">
      <c r="A498" t="s">
        <v>104</v>
      </c>
      <c r="B498" t="s">
        <v>105</v>
      </c>
      <c r="C498" t="s">
        <v>107</v>
      </c>
      <c r="D498" t="s">
        <v>107</v>
      </c>
      <c r="E498" t="s">
        <v>107</v>
      </c>
      <c r="F498" t="s">
        <v>3</v>
      </c>
      <c r="G498" t="s">
        <v>109</v>
      </c>
      <c r="H498" s="62">
        <v>2045</v>
      </c>
      <c r="I498">
        <v>80.044600000000003</v>
      </c>
    </row>
    <row r="499" spans="1:9">
      <c r="A499" t="s">
        <v>104</v>
      </c>
      <c r="B499" t="s">
        <v>105</v>
      </c>
      <c r="C499" t="s">
        <v>107</v>
      </c>
      <c r="D499" t="s">
        <v>108</v>
      </c>
      <c r="E499" t="s">
        <v>108</v>
      </c>
      <c r="F499" t="s">
        <v>3</v>
      </c>
      <c r="G499" t="s">
        <v>109</v>
      </c>
      <c r="H499" s="62">
        <v>2045</v>
      </c>
      <c r="I499">
        <v>0.27560000000000001</v>
      </c>
    </row>
    <row r="500" spans="1:9">
      <c r="A500" t="s">
        <v>104</v>
      </c>
      <c r="B500" t="s">
        <v>105</v>
      </c>
      <c r="C500" t="s">
        <v>80</v>
      </c>
      <c r="D500" t="s">
        <v>80</v>
      </c>
      <c r="E500" t="s">
        <v>80</v>
      </c>
      <c r="F500" t="s">
        <v>3</v>
      </c>
      <c r="G500" t="s">
        <v>109</v>
      </c>
      <c r="H500" s="62">
        <v>2045</v>
      </c>
      <c r="I500">
        <v>79.769099999999995</v>
      </c>
    </row>
    <row r="501" spans="1:9">
      <c r="A501" t="s">
        <v>104</v>
      </c>
      <c r="B501" t="s">
        <v>105</v>
      </c>
      <c r="C501" t="s">
        <v>80</v>
      </c>
      <c r="D501" t="s">
        <v>89</v>
      </c>
      <c r="E501" t="s">
        <v>90</v>
      </c>
      <c r="F501" t="s">
        <v>3</v>
      </c>
      <c r="G501" t="s">
        <v>109</v>
      </c>
      <c r="H501" s="62">
        <v>2045</v>
      </c>
      <c r="I501">
        <v>-1.7155</v>
      </c>
    </row>
    <row r="502" spans="1:9">
      <c r="A502" t="s">
        <v>104</v>
      </c>
      <c r="B502" t="s">
        <v>105</v>
      </c>
      <c r="C502" t="s">
        <v>80</v>
      </c>
      <c r="D502" t="s">
        <v>89</v>
      </c>
      <c r="E502" t="s">
        <v>91</v>
      </c>
      <c r="F502" t="s">
        <v>3</v>
      </c>
      <c r="G502" t="s">
        <v>109</v>
      </c>
      <c r="H502" s="62">
        <v>2045</v>
      </c>
      <c r="I502">
        <v>0.24790000000000001</v>
      </c>
    </row>
    <row r="503" spans="1:9">
      <c r="A503" t="s">
        <v>104</v>
      </c>
      <c r="B503" t="s">
        <v>105</v>
      </c>
      <c r="C503" t="s">
        <v>80</v>
      </c>
      <c r="D503" t="s">
        <v>92</v>
      </c>
      <c r="E503" t="s">
        <v>93</v>
      </c>
      <c r="F503" t="s">
        <v>3</v>
      </c>
      <c r="G503" t="s">
        <v>109</v>
      </c>
      <c r="H503" s="62">
        <v>2045</v>
      </c>
      <c r="I503">
        <v>-7.0656999999999996</v>
      </c>
    </row>
    <row r="504" spans="1:9">
      <c r="A504" t="s">
        <v>104</v>
      </c>
      <c r="B504" t="s">
        <v>105</v>
      </c>
      <c r="C504" t="s">
        <v>80</v>
      </c>
      <c r="D504" t="s">
        <v>92</v>
      </c>
      <c r="E504" t="s">
        <v>94</v>
      </c>
      <c r="F504" t="s">
        <v>3</v>
      </c>
      <c r="G504" t="s">
        <v>109</v>
      </c>
      <c r="H504" s="62">
        <v>2045</v>
      </c>
      <c r="I504">
        <v>30.552900000000001</v>
      </c>
    </row>
    <row r="505" spans="1:9">
      <c r="A505" t="s">
        <v>104</v>
      </c>
      <c r="B505" t="s">
        <v>105</v>
      </c>
      <c r="C505" t="s">
        <v>80</v>
      </c>
      <c r="D505" t="s">
        <v>92</v>
      </c>
      <c r="E505" t="s">
        <v>110</v>
      </c>
      <c r="F505" t="s">
        <v>3</v>
      </c>
      <c r="G505" t="s">
        <v>109</v>
      </c>
      <c r="H505" s="62">
        <v>2045</v>
      </c>
      <c r="I505">
        <v>0</v>
      </c>
    </row>
    <row r="506" spans="1:9">
      <c r="A506" t="s">
        <v>104</v>
      </c>
      <c r="B506" t="s">
        <v>105</v>
      </c>
      <c r="C506" t="s">
        <v>80</v>
      </c>
      <c r="D506" t="s">
        <v>92</v>
      </c>
      <c r="E506" t="s">
        <v>95</v>
      </c>
      <c r="F506" t="s">
        <v>3</v>
      </c>
      <c r="G506" t="s">
        <v>109</v>
      </c>
      <c r="H506" s="62">
        <v>2045</v>
      </c>
      <c r="I506">
        <v>18.340199999999999</v>
      </c>
    </row>
    <row r="507" spans="1:9">
      <c r="A507" t="s">
        <v>104</v>
      </c>
      <c r="B507" t="s">
        <v>105</v>
      </c>
      <c r="C507" t="s">
        <v>80</v>
      </c>
      <c r="D507" t="s">
        <v>96</v>
      </c>
      <c r="E507" t="s">
        <v>92</v>
      </c>
      <c r="F507" t="s">
        <v>3</v>
      </c>
      <c r="G507" t="s">
        <v>109</v>
      </c>
      <c r="H507" s="62">
        <v>2045</v>
      </c>
      <c r="I507">
        <v>4.8760000000000003</v>
      </c>
    </row>
    <row r="508" spans="1:9">
      <c r="A508" t="s">
        <v>104</v>
      </c>
      <c r="B508" t="s">
        <v>105</v>
      </c>
      <c r="C508" t="s">
        <v>80</v>
      </c>
      <c r="D508" t="s">
        <v>96</v>
      </c>
      <c r="E508" t="s">
        <v>89</v>
      </c>
      <c r="F508" t="s">
        <v>3</v>
      </c>
      <c r="G508" t="s">
        <v>109</v>
      </c>
      <c r="H508" s="62">
        <v>2045</v>
      </c>
      <c r="I508">
        <v>2.5424000000000002</v>
      </c>
    </row>
    <row r="509" spans="1:9">
      <c r="A509" t="s">
        <v>104</v>
      </c>
      <c r="B509" t="s">
        <v>105</v>
      </c>
      <c r="C509" t="s">
        <v>80</v>
      </c>
      <c r="D509" t="s">
        <v>97</v>
      </c>
      <c r="E509" t="s">
        <v>98</v>
      </c>
      <c r="F509" t="s">
        <v>3</v>
      </c>
      <c r="G509" t="s">
        <v>109</v>
      </c>
      <c r="H509" s="62">
        <v>2045</v>
      </c>
      <c r="I509">
        <v>17.029599999999999</v>
      </c>
    </row>
    <row r="510" spans="1:9">
      <c r="A510" t="s">
        <v>104</v>
      </c>
      <c r="B510" t="s">
        <v>105</v>
      </c>
      <c r="C510" t="s">
        <v>80</v>
      </c>
      <c r="D510" t="s">
        <v>97</v>
      </c>
      <c r="E510" t="s">
        <v>99</v>
      </c>
      <c r="F510" t="s">
        <v>3</v>
      </c>
      <c r="G510" t="s">
        <v>109</v>
      </c>
      <c r="H510" s="62">
        <v>2045</v>
      </c>
      <c r="I510">
        <v>0.19239999999999999</v>
      </c>
    </row>
    <row r="511" spans="1:9">
      <c r="A511" t="s">
        <v>104</v>
      </c>
      <c r="B511" t="s">
        <v>105</v>
      </c>
      <c r="C511" t="s">
        <v>80</v>
      </c>
      <c r="D511" t="s">
        <v>100</v>
      </c>
      <c r="E511" t="s">
        <v>101</v>
      </c>
      <c r="F511" t="s">
        <v>3</v>
      </c>
      <c r="G511" t="s">
        <v>109</v>
      </c>
      <c r="H511" s="62">
        <v>2045</v>
      </c>
      <c r="I511">
        <v>10.567</v>
      </c>
    </row>
    <row r="512" spans="1:9">
      <c r="A512" t="s">
        <v>104</v>
      </c>
      <c r="B512" t="s">
        <v>105</v>
      </c>
      <c r="C512" t="s">
        <v>80</v>
      </c>
      <c r="D512" t="s">
        <v>100</v>
      </c>
      <c r="E512" t="s">
        <v>102</v>
      </c>
      <c r="F512" t="s">
        <v>3</v>
      </c>
      <c r="G512" t="s">
        <v>109</v>
      </c>
      <c r="H512" s="62">
        <v>2045</v>
      </c>
      <c r="I512">
        <v>0</v>
      </c>
    </row>
    <row r="513" spans="1:9">
      <c r="A513" t="s">
        <v>104</v>
      </c>
      <c r="B513" t="s">
        <v>105</v>
      </c>
      <c r="C513" t="s">
        <v>80</v>
      </c>
      <c r="D513" t="s">
        <v>100</v>
      </c>
      <c r="E513" t="s">
        <v>111</v>
      </c>
      <c r="F513" t="s">
        <v>3</v>
      </c>
      <c r="G513" t="s">
        <v>109</v>
      </c>
      <c r="H513" s="62">
        <v>2045</v>
      </c>
      <c r="I513">
        <v>0</v>
      </c>
    </row>
    <row r="514" spans="1:9">
      <c r="A514" t="s">
        <v>104</v>
      </c>
      <c r="B514" t="s">
        <v>105</v>
      </c>
      <c r="C514" t="s">
        <v>80</v>
      </c>
      <c r="D514" t="s">
        <v>100</v>
      </c>
      <c r="E514" t="s">
        <v>112</v>
      </c>
      <c r="F514" t="s">
        <v>3</v>
      </c>
      <c r="G514" t="s">
        <v>109</v>
      </c>
      <c r="H514" s="62">
        <v>2045</v>
      </c>
      <c r="I514">
        <v>0</v>
      </c>
    </row>
    <row r="515" spans="1:9">
      <c r="A515" t="s">
        <v>104</v>
      </c>
      <c r="B515" t="s">
        <v>105</v>
      </c>
      <c r="C515" t="s">
        <v>80</v>
      </c>
      <c r="D515" t="s">
        <v>83</v>
      </c>
      <c r="E515" t="s">
        <v>84</v>
      </c>
      <c r="F515" t="s">
        <v>3</v>
      </c>
      <c r="G515" t="s">
        <v>109</v>
      </c>
      <c r="H515" s="62">
        <v>2045</v>
      </c>
      <c r="I515">
        <v>2.1764999999999999</v>
      </c>
    </row>
    <row r="516" spans="1:9">
      <c r="A516" t="s">
        <v>104</v>
      </c>
      <c r="B516" t="s">
        <v>105</v>
      </c>
      <c r="C516" t="s">
        <v>80</v>
      </c>
      <c r="D516" t="s">
        <v>83</v>
      </c>
      <c r="E516" t="s">
        <v>85</v>
      </c>
      <c r="F516" t="s">
        <v>3</v>
      </c>
      <c r="G516" t="s">
        <v>109</v>
      </c>
      <c r="H516" s="62">
        <v>2045</v>
      </c>
      <c r="I516">
        <v>2.0253000000000001</v>
      </c>
    </row>
    <row r="517" spans="1:9">
      <c r="A517" t="s">
        <v>104</v>
      </c>
      <c r="B517" t="s">
        <v>105</v>
      </c>
      <c r="C517" t="s">
        <v>80</v>
      </c>
      <c r="D517" t="s">
        <v>86</v>
      </c>
      <c r="E517" t="s">
        <v>106</v>
      </c>
      <c r="F517" t="s">
        <v>3</v>
      </c>
      <c r="G517" t="s">
        <v>109</v>
      </c>
      <c r="H517" s="62">
        <v>2045</v>
      </c>
      <c r="I517">
        <v>1.1791</v>
      </c>
    </row>
    <row r="518" spans="1:9">
      <c r="A518" t="s">
        <v>104</v>
      </c>
      <c r="B518" t="s">
        <v>105</v>
      </c>
      <c r="C518" t="s">
        <v>80</v>
      </c>
      <c r="D518" t="s">
        <v>86</v>
      </c>
      <c r="E518" t="s">
        <v>87</v>
      </c>
      <c r="F518" t="s">
        <v>3</v>
      </c>
      <c r="G518" t="s">
        <v>109</v>
      </c>
      <c r="H518" s="62">
        <v>2045</v>
      </c>
      <c r="I518">
        <v>5.6387</v>
      </c>
    </row>
    <row r="519" spans="1:9">
      <c r="A519" t="s">
        <v>104</v>
      </c>
      <c r="B519" t="s">
        <v>105</v>
      </c>
      <c r="C519" t="s">
        <v>80</v>
      </c>
      <c r="D519" t="s">
        <v>103</v>
      </c>
      <c r="E519" t="s">
        <v>92</v>
      </c>
      <c r="F519" t="s">
        <v>3</v>
      </c>
      <c r="G519" t="s">
        <v>109</v>
      </c>
      <c r="H519" s="62">
        <v>2045</v>
      </c>
      <c r="I519">
        <v>4.6322000000000001</v>
      </c>
    </row>
    <row r="520" spans="1:9">
      <c r="A520" t="s">
        <v>104</v>
      </c>
      <c r="B520" t="s">
        <v>105</v>
      </c>
      <c r="C520" t="s">
        <v>80</v>
      </c>
      <c r="D520" t="s">
        <v>103</v>
      </c>
      <c r="E520" t="s">
        <v>89</v>
      </c>
      <c r="F520" t="s">
        <v>3</v>
      </c>
      <c r="G520" t="s">
        <v>109</v>
      </c>
      <c r="H520" s="62">
        <v>2045</v>
      </c>
      <c r="I520">
        <v>23.805099999999999</v>
      </c>
    </row>
    <row r="521" spans="1:9">
      <c r="A521" t="s">
        <v>104</v>
      </c>
      <c r="B521" t="s">
        <v>105</v>
      </c>
      <c r="C521" t="s">
        <v>107</v>
      </c>
      <c r="D521" t="s">
        <v>107</v>
      </c>
      <c r="E521" t="s">
        <v>107</v>
      </c>
      <c r="F521" t="s">
        <v>3</v>
      </c>
      <c r="G521" t="s">
        <v>109</v>
      </c>
      <c r="H521" s="62">
        <v>2046</v>
      </c>
      <c r="I521">
        <v>80.3249</v>
      </c>
    </row>
    <row r="522" spans="1:9">
      <c r="A522" t="s">
        <v>104</v>
      </c>
      <c r="B522" t="s">
        <v>105</v>
      </c>
      <c r="C522" t="s">
        <v>107</v>
      </c>
      <c r="D522" t="s">
        <v>108</v>
      </c>
      <c r="E522" t="s">
        <v>108</v>
      </c>
      <c r="F522" t="s">
        <v>3</v>
      </c>
      <c r="G522" t="s">
        <v>109</v>
      </c>
      <c r="H522" s="62">
        <v>2046</v>
      </c>
      <c r="I522">
        <v>0.27539999999999998</v>
      </c>
    </row>
    <row r="523" spans="1:9">
      <c r="A523" t="s">
        <v>104</v>
      </c>
      <c r="B523" t="s">
        <v>105</v>
      </c>
      <c r="C523" t="s">
        <v>80</v>
      </c>
      <c r="D523" t="s">
        <v>80</v>
      </c>
      <c r="E523" t="s">
        <v>80</v>
      </c>
      <c r="F523" t="s">
        <v>3</v>
      </c>
      <c r="G523" t="s">
        <v>109</v>
      </c>
      <c r="H523" s="62">
        <v>2046</v>
      </c>
      <c r="I523">
        <v>80.049499999999995</v>
      </c>
    </row>
    <row r="524" spans="1:9">
      <c r="A524" t="s">
        <v>104</v>
      </c>
      <c r="B524" t="s">
        <v>105</v>
      </c>
      <c r="C524" t="s">
        <v>80</v>
      </c>
      <c r="D524" t="s">
        <v>89</v>
      </c>
      <c r="E524" t="s">
        <v>90</v>
      </c>
      <c r="F524" t="s">
        <v>3</v>
      </c>
      <c r="G524" t="s">
        <v>109</v>
      </c>
      <c r="H524" s="62">
        <v>2046</v>
      </c>
      <c r="I524">
        <v>-2.8426</v>
      </c>
    </row>
    <row r="525" spans="1:9">
      <c r="A525" t="s">
        <v>104</v>
      </c>
      <c r="B525" t="s">
        <v>105</v>
      </c>
      <c r="C525" t="s">
        <v>80</v>
      </c>
      <c r="D525" t="s">
        <v>89</v>
      </c>
      <c r="E525" t="s">
        <v>91</v>
      </c>
      <c r="F525" t="s">
        <v>3</v>
      </c>
      <c r="G525" t="s">
        <v>109</v>
      </c>
      <c r="H525" s="62">
        <v>2046</v>
      </c>
      <c r="I525">
        <v>0.43740000000000001</v>
      </c>
    </row>
    <row r="526" spans="1:9">
      <c r="A526" t="s">
        <v>104</v>
      </c>
      <c r="B526" t="s">
        <v>105</v>
      </c>
      <c r="C526" t="s">
        <v>80</v>
      </c>
      <c r="D526" t="s">
        <v>92</v>
      </c>
      <c r="E526" t="s">
        <v>93</v>
      </c>
      <c r="F526" t="s">
        <v>3</v>
      </c>
      <c r="G526" t="s">
        <v>109</v>
      </c>
      <c r="H526" s="62">
        <v>2046</v>
      </c>
      <c r="I526">
        <v>-7.5320999999999998</v>
      </c>
    </row>
    <row r="527" spans="1:9">
      <c r="A527" t="s">
        <v>104</v>
      </c>
      <c r="B527" t="s">
        <v>105</v>
      </c>
      <c r="C527" t="s">
        <v>80</v>
      </c>
      <c r="D527" t="s">
        <v>92</v>
      </c>
      <c r="E527" t="s">
        <v>94</v>
      </c>
      <c r="F527" t="s">
        <v>3</v>
      </c>
      <c r="G527" t="s">
        <v>109</v>
      </c>
      <c r="H527" s="62">
        <v>2046</v>
      </c>
      <c r="I527">
        <v>30.470400000000001</v>
      </c>
    </row>
    <row r="528" spans="1:9">
      <c r="A528" t="s">
        <v>104</v>
      </c>
      <c r="B528" t="s">
        <v>105</v>
      </c>
      <c r="C528" t="s">
        <v>80</v>
      </c>
      <c r="D528" t="s">
        <v>92</v>
      </c>
      <c r="E528" t="s">
        <v>110</v>
      </c>
      <c r="F528" t="s">
        <v>3</v>
      </c>
      <c r="G528" t="s">
        <v>109</v>
      </c>
      <c r="H528" s="62">
        <v>2046</v>
      </c>
      <c r="I528">
        <v>0</v>
      </c>
    </row>
    <row r="529" spans="1:9">
      <c r="A529" t="s">
        <v>104</v>
      </c>
      <c r="B529" t="s">
        <v>105</v>
      </c>
      <c r="C529" t="s">
        <v>80</v>
      </c>
      <c r="D529" t="s">
        <v>92</v>
      </c>
      <c r="E529" t="s">
        <v>95</v>
      </c>
      <c r="F529" t="s">
        <v>3</v>
      </c>
      <c r="G529" t="s">
        <v>109</v>
      </c>
      <c r="H529" s="62">
        <v>2046</v>
      </c>
      <c r="I529">
        <v>18.481400000000001</v>
      </c>
    </row>
    <row r="530" spans="1:9">
      <c r="A530" t="s">
        <v>104</v>
      </c>
      <c r="B530" t="s">
        <v>105</v>
      </c>
      <c r="C530" t="s">
        <v>80</v>
      </c>
      <c r="D530" t="s">
        <v>96</v>
      </c>
      <c r="E530" t="s">
        <v>92</v>
      </c>
      <c r="F530" t="s">
        <v>3</v>
      </c>
      <c r="G530" t="s">
        <v>109</v>
      </c>
      <c r="H530" s="62">
        <v>2046</v>
      </c>
      <c r="I530">
        <v>4.7823000000000002</v>
      </c>
    </row>
    <row r="531" spans="1:9">
      <c r="A531" t="s">
        <v>104</v>
      </c>
      <c r="B531" t="s">
        <v>105</v>
      </c>
      <c r="C531" t="s">
        <v>80</v>
      </c>
      <c r="D531" t="s">
        <v>96</v>
      </c>
      <c r="E531" t="s">
        <v>89</v>
      </c>
      <c r="F531" t="s">
        <v>3</v>
      </c>
      <c r="G531" t="s">
        <v>109</v>
      </c>
      <c r="H531" s="62">
        <v>2046</v>
      </c>
      <c r="I531">
        <v>2.6562999999999999</v>
      </c>
    </row>
    <row r="532" spans="1:9">
      <c r="A532" t="s">
        <v>104</v>
      </c>
      <c r="B532" t="s">
        <v>105</v>
      </c>
      <c r="C532" t="s">
        <v>80</v>
      </c>
      <c r="D532" t="s">
        <v>97</v>
      </c>
      <c r="E532" t="s">
        <v>98</v>
      </c>
      <c r="F532" t="s">
        <v>3</v>
      </c>
      <c r="G532" t="s">
        <v>109</v>
      </c>
      <c r="H532" s="62">
        <v>2046</v>
      </c>
      <c r="I532">
        <v>18.2746</v>
      </c>
    </row>
    <row r="533" spans="1:9">
      <c r="A533" t="s">
        <v>104</v>
      </c>
      <c r="B533" t="s">
        <v>105</v>
      </c>
      <c r="C533" t="s">
        <v>80</v>
      </c>
      <c r="D533" t="s">
        <v>97</v>
      </c>
      <c r="E533" t="s">
        <v>99</v>
      </c>
      <c r="F533" t="s">
        <v>3</v>
      </c>
      <c r="G533" t="s">
        <v>109</v>
      </c>
      <c r="H533" s="62">
        <v>2046</v>
      </c>
      <c r="I533">
        <v>0.21729999999999999</v>
      </c>
    </row>
    <row r="534" spans="1:9">
      <c r="A534" t="s">
        <v>104</v>
      </c>
      <c r="B534" t="s">
        <v>105</v>
      </c>
      <c r="C534" t="s">
        <v>80</v>
      </c>
      <c r="D534" t="s">
        <v>100</v>
      </c>
      <c r="E534" t="s">
        <v>101</v>
      </c>
      <c r="F534" t="s">
        <v>3</v>
      </c>
      <c r="G534" t="s">
        <v>109</v>
      </c>
      <c r="H534" s="62">
        <v>2046</v>
      </c>
      <c r="I534">
        <v>10.8932</v>
      </c>
    </row>
    <row r="535" spans="1:9">
      <c r="A535" t="s">
        <v>104</v>
      </c>
      <c r="B535" t="s">
        <v>105</v>
      </c>
      <c r="C535" t="s">
        <v>80</v>
      </c>
      <c r="D535" t="s">
        <v>100</v>
      </c>
      <c r="E535" t="s">
        <v>102</v>
      </c>
      <c r="F535" t="s">
        <v>3</v>
      </c>
      <c r="G535" t="s">
        <v>109</v>
      </c>
      <c r="H535" s="62">
        <v>2046</v>
      </c>
      <c r="I535">
        <v>0</v>
      </c>
    </row>
    <row r="536" spans="1:9">
      <c r="A536" t="s">
        <v>104</v>
      </c>
      <c r="B536" t="s">
        <v>105</v>
      </c>
      <c r="C536" t="s">
        <v>80</v>
      </c>
      <c r="D536" t="s">
        <v>100</v>
      </c>
      <c r="E536" t="s">
        <v>111</v>
      </c>
      <c r="F536" t="s">
        <v>3</v>
      </c>
      <c r="G536" t="s">
        <v>109</v>
      </c>
      <c r="H536" s="62">
        <v>2046</v>
      </c>
      <c r="I536">
        <v>0</v>
      </c>
    </row>
    <row r="537" spans="1:9">
      <c r="A537" t="s">
        <v>104</v>
      </c>
      <c r="B537" t="s">
        <v>105</v>
      </c>
      <c r="C537" t="s">
        <v>80</v>
      </c>
      <c r="D537" t="s">
        <v>100</v>
      </c>
      <c r="E537" t="s">
        <v>112</v>
      </c>
      <c r="F537" t="s">
        <v>3</v>
      </c>
      <c r="G537" t="s">
        <v>109</v>
      </c>
      <c r="H537" s="62">
        <v>2046</v>
      </c>
      <c r="I537">
        <v>0</v>
      </c>
    </row>
    <row r="538" spans="1:9">
      <c r="A538" t="s">
        <v>104</v>
      </c>
      <c r="B538" t="s">
        <v>105</v>
      </c>
      <c r="C538" t="s">
        <v>80</v>
      </c>
      <c r="D538" t="s">
        <v>83</v>
      </c>
      <c r="E538" t="s">
        <v>84</v>
      </c>
      <c r="F538" t="s">
        <v>3</v>
      </c>
      <c r="G538" t="s">
        <v>109</v>
      </c>
      <c r="H538" s="62">
        <v>2046</v>
      </c>
      <c r="I538">
        <v>2.1798000000000002</v>
      </c>
    </row>
    <row r="539" spans="1:9">
      <c r="A539" t="s">
        <v>104</v>
      </c>
      <c r="B539" t="s">
        <v>105</v>
      </c>
      <c r="C539" t="s">
        <v>80</v>
      </c>
      <c r="D539" t="s">
        <v>83</v>
      </c>
      <c r="E539" t="s">
        <v>85</v>
      </c>
      <c r="F539" t="s">
        <v>3</v>
      </c>
      <c r="G539" t="s">
        <v>109</v>
      </c>
      <c r="H539" s="62">
        <v>2046</v>
      </c>
      <c r="I539">
        <v>2.0314999999999999</v>
      </c>
    </row>
    <row r="540" spans="1:9">
      <c r="A540" t="s">
        <v>104</v>
      </c>
      <c r="B540" t="s">
        <v>105</v>
      </c>
      <c r="C540" t="s">
        <v>80</v>
      </c>
      <c r="D540" t="s">
        <v>86</v>
      </c>
      <c r="E540" t="s">
        <v>106</v>
      </c>
      <c r="F540" t="s">
        <v>3</v>
      </c>
      <c r="G540" t="s">
        <v>109</v>
      </c>
      <c r="H540" s="62">
        <v>2046</v>
      </c>
      <c r="I540">
        <v>1.1846000000000001</v>
      </c>
    </row>
    <row r="541" spans="1:9">
      <c r="A541" t="s">
        <v>104</v>
      </c>
      <c r="B541" t="s">
        <v>105</v>
      </c>
      <c r="C541" t="s">
        <v>80</v>
      </c>
      <c r="D541" t="s">
        <v>86</v>
      </c>
      <c r="E541" t="s">
        <v>87</v>
      </c>
      <c r="F541" t="s">
        <v>3</v>
      </c>
      <c r="G541" t="s">
        <v>109</v>
      </c>
      <c r="H541" s="62">
        <v>2046</v>
      </c>
      <c r="I541">
        <v>5.9100999999999999</v>
      </c>
    </row>
    <row r="542" spans="1:9">
      <c r="A542" t="s">
        <v>104</v>
      </c>
      <c r="B542" t="s">
        <v>105</v>
      </c>
      <c r="C542" t="s">
        <v>80</v>
      </c>
      <c r="D542" t="s">
        <v>103</v>
      </c>
      <c r="E542" t="s">
        <v>92</v>
      </c>
      <c r="F542" t="s">
        <v>3</v>
      </c>
      <c r="G542" t="s">
        <v>109</v>
      </c>
      <c r="H542" s="62">
        <v>2046</v>
      </c>
      <c r="I542">
        <v>4.8023999999999996</v>
      </c>
    </row>
    <row r="543" spans="1:9">
      <c r="A543" t="s">
        <v>104</v>
      </c>
      <c r="B543" t="s">
        <v>105</v>
      </c>
      <c r="C543" t="s">
        <v>80</v>
      </c>
      <c r="D543" t="s">
        <v>103</v>
      </c>
      <c r="E543" t="s">
        <v>89</v>
      </c>
      <c r="F543" t="s">
        <v>3</v>
      </c>
      <c r="G543" t="s">
        <v>109</v>
      </c>
      <c r="H543" s="62">
        <v>2046</v>
      </c>
      <c r="I543">
        <v>24.6995</v>
      </c>
    </row>
    <row r="544" spans="1:9">
      <c r="A544" t="s">
        <v>104</v>
      </c>
      <c r="B544" t="s">
        <v>105</v>
      </c>
      <c r="C544" t="s">
        <v>107</v>
      </c>
      <c r="D544" t="s">
        <v>107</v>
      </c>
      <c r="E544" t="s">
        <v>107</v>
      </c>
      <c r="F544" t="s">
        <v>3</v>
      </c>
      <c r="G544" t="s">
        <v>109</v>
      </c>
      <c r="H544" s="62">
        <v>2047</v>
      </c>
      <c r="I544">
        <v>80.61</v>
      </c>
    </row>
    <row r="545" spans="1:9">
      <c r="A545" t="s">
        <v>104</v>
      </c>
      <c r="B545" t="s">
        <v>105</v>
      </c>
      <c r="C545" t="s">
        <v>107</v>
      </c>
      <c r="D545" t="s">
        <v>108</v>
      </c>
      <c r="E545" t="s">
        <v>108</v>
      </c>
      <c r="F545" t="s">
        <v>3</v>
      </c>
      <c r="G545" t="s">
        <v>109</v>
      </c>
      <c r="H545" s="62">
        <v>2047</v>
      </c>
      <c r="I545">
        <v>0.27479999999999999</v>
      </c>
    </row>
    <row r="546" spans="1:9">
      <c r="A546" t="s">
        <v>104</v>
      </c>
      <c r="B546" t="s">
        <v>105</v>
      </c>
      <c r="C546" t="s">
        <v>80</v>
      </c>
      <c r="D546" t="s">
        <v>80</v>
      </c>
      <c r="E546" t="s">
        <v>80</v>
      </c>
      <c r="F546" t="s">
        <v>3</v>
      </c>
      <c r="G546" t="s">
        <v>109</v>
      </c>
      <c r="H546" s="62">
        <v>2047</v>
      </c>
      <c r="I546">
        <v>80.3352</v>
      </c>
    </row>
    <row r="547" spans="1:9">
      <c r="A547" t="s">
        <v>104</v>
      </c>
      <c r="B547" t="s">
        <v>105</v>
      </c>
      <c r="C547" t="s">
        <v>80</v>
      </c>
      <c r="D547" t="s">
        <v>89</v>
      </c>
      <c r="E547" t="s">
        <v>90</v>
      </c>
      <c r="F547" t="s">
        <v>3</v>
      </c>
      <c r="G547" t="s">
        <v>109</v>
      </c>
      <c r="H547" s="62">
        <v>2047</v>
      </c>
      <c r="I547">
        <v>-4.0395000000000003</v>
      </c>
    </row>
    <row r="548" spans="1:9">
      <c r="A548" t="s">
        <v>104</v>
      </c>
      <c r="B548" t="s">
        <v>105</v>
      </c>
      <c r="C548" t="s">
        <v>80</v>
      </c>
      <c r="D548" t="s">
        <v>89</v>
      </c>
      <c r="E548" t="s">
        <v>91</v>
      </c>
      <c r="F548" t="s">
        <v>3</v>
      </c>
      <c r="G548" t="s">
        <v>109</v>
      </c>
      <c r="H548" s="62">
        <v>2047</v>
      </c>
      <c r="I548">
        <v>0.66569999999999996</v>
      </c>
    </row>
    <row r="549" spans="1:9">
      <c r="A549" t="s">
        <v>104</v>
      </c>
      <c r="B549" t="s">
        <v>105</v>
      </c>
      <c r="C549" t="s">
        <v>80</v>
      </c>
      <c r="D549" t="s">
        <v>92</v>
      </c>
      <c r="E549" t="s">
        <v>93</v>
      </c>
      <c r="F549" t="s">
        <v>3</v>
      </c>
      <c r="G549" t="s">
        <v>109</v>
      </c>
      <c r="H549" s="62">
        <v>2047</v>
      </c>
      <c r="I549">
        <v>-8.0736000000000008</v>
      </c>
    </row>
    <row r="550" spans="1:9">
      <c r="A550" t="s">
        <v>104</v>
      </c>
      <c r="B550" t="s">
        <v>105</v>
      </c>
      <c r="C550" t="s">
        <v>80</v>
      </c>
      <c r="D550" t="s">
        <v>92</v>
      </c>
      <c r="E550" t="s">
        <v>94</v>
      </c>
      <c r="F550" t="s">
        <v>3</v>
      </c>
      <c r="G550" t="s">
        <v>109</v>
      </c>
      <c r="H550" s="62">
        <v>2047</v>
      </c>
      <c r="I550">
        <v>30.355499999999999</v>
      </c>
    </row>
    <row r="551" spans="1:9">
      <c r="A551" t="s">
        <v>104</v>
      </c>
      <c r="B551" t="s">
        <v>105</v>
      </c>
      <c r="C551" t="s">
        <v>80</v>
      </c>
      <c r="D551" t="s">
        <v>92</v>
      </c>
      <c r="E551" t="s">
        <v>110</v>
      </c>
      <c r="F551" t="s">
        <v>3</v>
      </c>
      <c r="G551" t="s">
        <v>109</v>
      </c>
      <c r="H551" s="62">
        <v>2047</v>
      </c>
      <c r="I551">
        <v>0</v>
      </c>
    </row>
    <row r="552" spans="1:9">
      <c r="A552" t="s">
        <v>104</v>
      </c>
      <c r="B552" t="s">
        <v>105</v>
      </c>
      <c r="C552" t="s">
        <v>80</v>
      </c>
      <c r="D552" t="s">
        <v>92</v>
      </c>
      <c r="E552" t="s">
        <v>95</v>
      </c>
      <c r="F552" t="s">
        <v>3</v>
      </c>
      <c r="G552" t="s">
        <v>109</v>
      </c>
      <c r="H552" s="62">
        <v>2047</v>
      </c>
      <c r="I552">
        <v>18.635999999999999</v>
      </c>
    </row>
    <row r="553" spans="1:9">
      <c r="A553" t="s">
        <v>104</v>
      </c>
      <c r="B553" t="s">
        <v>105</v>
      </c>
      <c r="C553" t="s">
        <v>80</v>
      </c>
      <c r="D553" t="s">
        <v>96</v>
      </c>
      <c r="E553" t="s">
        <v>92</v>
      </c>
      <c r="F553" t="s">
        <v>3</v>
      </c>
      <c r="G553" t="s">
        <v>109</v>
      </c>
      <c r="H553" s="62">
        <v>2047</v>
      </c>
      <c r="I553">
        <v>4.7381000000000002</v>
      </c>
    </row>
    <row r="554" spans="1:9">
      <c r="A554" t="s">
        <v>104</v>
      </c>
      <c r="B554" t="s">
        <v>105</v>
      </c>
      <c r="C554" t="s">
        <v>80</v>
      </c>
      <c r="D554" t="s">
        <v>96</v>
      </c>
      <c r="E554" t="s">
        <v>89</v>
      </c>
      <c r="F554" t="s">
        <v>3</v>
      </c>
      <c r="G554" t="s">
        <v>109</v>
      </c>
      <c r="H554" s="62">
        <v>2047</v>
      </c>
      <c r="I554">
        <v>2.7597</v>
      </c>
    </row>
    <row r="555" spans="1:9">
      <c r="A555" t="s">
        <v>104</v>
      </c>
      <c r="B555" t="s">
        <v>105</v>
      </c>
      <c r="C555" t="s">
        <v>80</v>
      </c>
      <c r="D555" t="s">
        <v>97</v>
      </c>
      <c r="E555" t="s">
        <v>98</v>
      </c>
      <c r="F555" t="s">
        <v>3</v>
      </c>
      <c r="G555" t="s">
        <v>109</v>
      </c>
      <c r="H555" s="62">
        <v>2047</v>
      </c>
      <c r="I555">
        <v>19.513200000000001</v>
      </c>
    </row>
    <row r="556" spans="1:9">
      <c r="A556" t="s">
        <v>104</v>
      </c>
      <c r="B556" t="s">
        <v>105</v>
      </c>
      <c r="C556" t="s">
        <v>80</v>
      </c>
      <c r="D556" t="s">
        <v>97</v>
      </c>
      <c r="E556" t="s">
        <v>99</v>
      </c>
      <c r="F556" t="s">
        <v>3</v>
      </c>
      <c r="G556" t="s">
        <v>109</v>
      </c>
      <c r="H556" s="62">
        <v>2047</v>
      </c>
      <c r="I556">
        <v>0.2437</v>
      </c>
    </row>
    <row r="557" spans="1:9">
      <c r="A557" t="s">
        <v>104</v>
      </c>
      <c r="B557" t="s">
        <v>105</v>
      </c>
      <c r="C557" t="s">
        <v>80</v>
      </c>
      <c r="D557" t="s">
        <v>100</v>
      </c>
      <c r="E557" t="s">
        <v>101</v>
      </c>
      <c r="F557" t="s">
        <v>3</v>
      </c>
      <c r="G557" t="s">
        <v>109</v>
      </c>
      <c r="H557" s="62">
        <v>2047</v>
      </c>
      <c r="I557">
        <v>11.319900000000001</v>
      </c>
    </row>
    <row r="558" spans="1:9">
      <c r="A558" t="s">
        <v>104</v>
      </c>
      <c r="B558" t="s">
        <v>105</v>
      </c>
      <c r="C558" t="s">
        <v>80</v>
      </c>
      <c r="D558" t="s">
        <v>100</v>
      </c>
      <c r="E558" t="s">
        <v>102</v>
      </c>
      <c r="F558" t="s">
        <v>3</v>
      </c>
      <c r="G558" t="s">
        <v>109</v>
      </c>
      <c r="H558" s="62">
        <v>2047</v>
      </c>
      <c r="I558">
        <v>0</v>
      </c>
    </row>
    <row r="559" spans="1:9">
      <c r="A559" t="s">
        <v>104</v>
      </c>
      <c r="B559" t="s">
        <v>105</v>
      </c>
      <c r="C559" t="s">
        <v>80</v>
      </c>
      <c r="D559" t="s">
        <v>100</v>
      </c>
      <c r="E559" t="s">
        <v>111</v>
      </c>
      <c r="F559" t="s">
        <v>3</v>
      </c>
      <c r="G559" t="s">
        <v>109</v>
      </c>
      <c r="H559" s="62">
        <v>2047</v>
      </c>
      <c r="I559">
        <v>0</v>
      </c>
    </row>
    <row r="560" spans="1:9">
      <c r="A560" t="s">
        <v>104</v>
      </c>
      <c r="B560" t="s">
        <v>105</v>
      </c>
      <c r="C560" t="s">
        <v>80</v>
      </c>
      <c r="D560" t="s">
        <v>100</v>
      </c>
      <c r="E560" t="s">
        <v>112</v>
      </c>
      <c r="F560" t="s">
        <v>3</v>
      </c>
      <c r="G560" t="s">
        <v>109</v>
      </c>
      <c r="H560" s="62">
        <v>2047</v>
      </c>
      <c r="I560">
        <v>0</v>
      </c>
    </row>
    <row r="561" spans="1:9">
      <c r="A561" t="s">
        <v>104</v>
      </c>
      <c r="B561" t="s">
        <v>105</v>
      </c>
      <c r="C561" t="s">
        <v>80</v>
      </c>
      <c r="D561" t="s">
        <v>83</v>
      </c>
      <c r="E561" t="s">
        <v>84</v>
      </c>
      <c r="F561" t="s">
        <v>3</v>
      </c>
      <c r="G561" t="s">
        <v>109</v>
      </c>
      <c r="H561" s="62">
        <v>2047</v>
      </c>
      <c r="I561">
        <v>2.1802999999999999</v>
      </c>
    </row>
    <row r="562" spans="1:9">
      <c r="A562" t="s">
        <v>104</v>
      </c>
      <c r="B562" t="s">
        <v>105</v>
      </c>
      <c r="C562" t="s">
        <v>80</v>
      </c>
      <c r="D562" t="s">
        <v>83</v>
      </c>
      <c r="E562" t="s">
        <v>85</v>
      </c>
      <c r="F562" t="s">
        <v>3</v>
      </c>
      <c r="G562" t="s">
        <v>109</v>
      </c>
      <c r="H562" s="62">
        <v>2047</v>
      </c>
      <c r="I562">
        <v>2.0362</v>
      </c>
    </row>
    <row r="563" spans="1:9">
      <c r="A563" t="s">
        <v>104</v>
      </c>
      <c r="B563" t="s">
        <v>105</v>
      </c>
      <c r="C563" t="s">
        <v>80</v>
      </c>
      <c r="D563" t="s">
        <v>86</v>
      </c>
      <c r="E563" t="s">
        <v>106</v>
      </c>
      <c r="F563" t="s">
        <v>3</v>
      </c>
      <c r="G563" t="s">
        <v>109</v>
      </c>
      <c r="H563" s="62">
        <v>2047</v>
      </c>
      <c r="I563">
        <v>1.1900999999999999</v>
      </c>
    </row>
    <row r="564" spans="1:9">
      <c r="A564" t="s">
        <v>104</v>
      </c>
      <c r="B564" t="s">
        <v>105</v>
      </c>
      <c r="C564" t="s">
        <v>80</v>
      </c>
      <c r="D564" t="s">
        <v>86</v>
      </c>
      <c r="E564" t="s">
        <v>87</v>
      </c>
      <c r="F564" t="s">
        <v>3</v>
      </c>
      <c r="G564" t="s">
        <v>109</v>
      </c>
      <c r="H564" s="62">
        <v>2047</v>
      </c>
      <c r="I564">
        <v>6.2179000000000002</v>
      </c>
    </row>
    <row r="565" spans="1:9">
      <c r="A565" t="s">
        <v>104</v>
      </c>
      <c r="B565" t="s">
        <v>105</v>
      </c>
      <c r="C565" t="s">
        <v>80</v>
      </c>
      <c r="D565" t="s">
        <v>103</v>
      </c>
      <c r="E565" t="s">
        <v>92</v>
      </c>
      <c r="F565" t="s">
        <v>3</v>
      </c>
      <c r="G565" t="s">
        <v>109</v>
      </c>
      <c r="H565" s="62">
        <v>2047</v>
      </c>
      <c r="I565">
        <v>4.9977999999999998</v>
      </c>
    </row>
    <row r="566" spans="1:9">
      <c r="A566" t="s">
        <v>104</v>
      </c>
      <c r="B566" t="s">
        <v>105</v>
      </c>
      <c r="C566" t="s">
        <v>80</v>
      </c>
      <c r="D566" t="s">
        <v>103</v>
      </c>
      <c r="E566" t="s">
        <v>89</v>
      </c>
      <c r="F566" t="s">
        <v>3</v>
      </c>
      <c r="G566" t="s">
        <v>109</v>
      </c>
      <c r="H566" s="62">
        <v>2047</v>
      </c>
      <c r="I566">
        <v>25.677499999999998</v>
      </c>
    </row>
    <row r="567" spans="1:9">
      <c r="A567" t="s">
        <v>104</v>
      </c>
      <c r="B567" t="s">
        <v>105</v>
      </c>
      <c r="C567" t="s">
        <v>107</v>
      </c>
      <c r="D567" t="s">
        <v>107</v>
      </c>
      <c r="E567" t="s">
        <v>107</v>
      </c>
      <c r="F567" t="s">
        <v>3</v>
      </c>
      <c r="G567" t="s">
        <v>109</v>
      </c>
      <c r="H567" s="62">
        <v>2048</v>
      </c>
      <c r="I567">
        <v>81.075500000000005</v>
      </c>
    </row>
    <row r="568" spans="1:9">
      <c r="A568" t="s">
        <v>104</v>
      </c>
      <c r="B568" t="s">
        <v>105</v>
      </c>
      <c r="C568" t="s">
        <v>107</v>
      </c>
      <c r="D568" t="s">
        <v>108</v>
      </c>
      <c r="E568" t="s">
        <v>108</v>
      </c>
      <c r="F568" t="s">
        <v>3</v>
      </c>
      <c r="G568" t="s">
        <v>109</v>
      </c>
      <c r="H568" s="62">
        <v>2048</v>
      </c>
      <c r="I568">
        <v>0.27439999999999998</v>
      </c>
    </row>
    <row r="569" spans="1:9">
      <c r="A569" t="s">
        <v>104</v>
      </c>
      <c r="B569" t="s">
        <v>105</v>
      </c>
      <c r="C569" t="s">
        <v>80</v>
      </c>
      <c r="D569" t="s">
        <v>80</v>
      </c>
      <c r="E569" t="s">
        <v>80</v>
      </c>
      <c r="F569" t="s">
        <v>3</v>
      </c>
      <c r="G569" t="s">
        <v>109</v>
      </c>
      <c r="H569" s="62">
        <v>2048</v>
      </c>
      <c r="I569">
        <v>80.801100000000005</v>
      </c>
    </row>
    <row r="570" spans="1:9">
      <c r="A570" t="s">
        <v>104</v>
      </c>
      <c r="B570" t="s">
        <v>105</v>
      </c>
      <c r="C570" t="s">
        <v>80</v>
      </c>
      <c r="D570" t="s">
        <v>89</v>
      </c>
      <c r="E570" t="s">
        <v>90</v>
      </c>
      <c r="F570" t="s">
        <v>3</v>
      </c>
      <c r="G570" t="s">
        <v>109</v>
      </c>
      <c r="H570" s="62">
        <v>2048</v>
      </c>
      <c r="I570">
        <v>-5.2901999999999996</v>
      </c>
    </row>
    <row r="571" spans="1:9">
      <c r="A571" t="s">
        <v>104</v>
      </c>
      <c r="B571" t="s">
        <v>105</v>
      </c>
      <c r="C571" t="s">
        <v>80</v>
      </c>
      <c r="D571" t="s">
        <v>89</v>
      </c>
      <c r="E571" t="s">
        <v>91</v>
      </c>
      <c r="F571" t="s">
        <v>3</v>
      </c>
      <c r="G571" t="s">
        <v>109</v>
      </c>
      <c r="H571" s="62">
        <v>2048</v>
      </c>
      <c r="I571">
        <v>0.93430000000000002</v>
      </c>
    </row>
    <row r="572" spans="1:9">
      <c r="A572" t="s">
        <v>104</v>
      </c>
      <c r="B572" t="s">
        <v>105</v>
      </c>
      <c r="C572" t="s">
        <v>80</v>
      </c>
      <c r="D572" t="s">
        <v>92</v>
      </c>
      <c r="E572" t="s">
        <v>93</v>
      </c>
      <c r="F572" t="s">
        <v>3</v>
      </c>
      <c r="G572" t="s">
        <v>109</v>
      </c>
      <c r="H572" s="62">
        <v>2048</v>
      </c>
      <c r="I572">
        <v>-8.6588999999999992</v>
      </c>
    </row>
    <row r="573" spans="1:9">
      <c r="A573" t="s">
        <v>104</v>
      </c>
      <c r="B573" t="s">
        <v>105</v>
      </c>
      <c r="C573" t="s">
        <v>80</v>
      </c>
      <c r="D573" t="s">
        <v>92</v>
      </c>
      <c r="E573" t="s">
        <v>94</v>
      </c>
      <c r="F573" t="s">
        <v>3</v>
      </c>
      <c r="G573" t="s">
        <v>109</v>
      </c>
      <c r="H573" s="62">
        <v>2048</v>
      </c>
      <c r="I573">
        <v>30.2239</v>
      </c>
    </row>
    <row r="574" spans="1:9">
      <c r="A574" t="s">
        <v>104</v>
      </c>
      <c r="B574" t="s">
        <v>105</v>
      </c>
      <c r="C574" t="s">
        <v>80</v>
      </c>
      <c r="D574" t="s">
        <v>92</v>
      </c>
      <c r="E574" t="s">
        <v>110</v>
      </c>
      <c r="F574" t="s">
        <v>3</v>
      </c>
      <c r="G574" t="s">
        <v>109</v>
      </c>
      <c r="H574" s="62">
        <v>2048</v>
      </c>
      <c r="I574">
        <v>0</v>
      </c>
    </row>
    <row r="575" spans="1:9">
      <c r="A575" t="s">
        <v>104</v>
      </c>
      <c r="B575" t="s">
        <v>105</v>
      </c>
      <c r="C575" t="s">
        <v>80</v>
      </c>
      <c r="D575" t="s">
        <v>92</v>
      </c>
      <c r="E575" t="s">
        <v>95</v>
      </c>
      <c r="F575" t="s">
        <v>3</v>
      </c>
      <c r="G575" t="s">
        <v>109</v>
      </c>
      <c r="H575" s="62">
        <v>2048</v>
      </c>
      <c r="I575">
        <v>18.802399999999999</v>
      </c>
    </row>
    <row r="576" spans="1:9">
      <c r="A576" t="s">
        <v>104</v>
      </c>
      <c r="B576" t="s">
        <v>105</v>
      </c>
      <c r="C576" t="s">
        <v>80</v>
      </c>
      <c r="D576" t="s">
        <v>96</v>
      </c>
      <c r="E576" t="s">
        <v>92</v>
      </c>
      <c r="F576" t="s">
        <v>3</v>
      </c>
      <c r="G576" t="s">
        <v>109</v>
      </c>
      <c r="H576" s="62">
        <v>2048</v>
      </c>
      <c r="I576">
        <v>4.7389000000000001</v>
      </c>
    </row>
    <row r="577" spans="1:9">
      <c r="A577" t="s">
        <v>104</v>
      </c>
      <c r="B577" t="s">
        <v>105</v>
      </c>
      <c r="C577" t="s">
        <v>80</v>
      </c>
      <c r="D577" t="s">
        <v>96</v>
      </c>
      <c r="E577" t="s">
        <v>89</v>
      </c>
      <c r="F577" t="s">
        <v>3</v>
      </c>
      <c r="G577" t="s">
        <v>109</v>
      </c>
      <c r="H577" s="62">
        <v>2048</v>
      </c>
      <c r="I577">
        <v>2.8557000000000001</v>
      </c>
    </row>
    <row r="578" spans="1:9">
      <c r="A578" t="s">
        <v>104</v>
      </c>
      <c r="B578" t="s">
        <v>105</v>
      </c>
      <c r="C578" t="s">
        <v>80</v>
      </c>
      <c r="D578" t="s">
        <v>97</v>
      </c>
      <c r="E578" t="s">
        <v>98</v>
      </c>
      <c r="F578" t="s">
        <v>3</v>
      </c>
      <c r="G578" t="s">
        <v>109</v>
      </c>
      <c r="H578" s="62">
        <v>2048</v>
      </c>
      <c r="I578">
        <v>20.802099999999999</v>
      </c>
    </row>
    <row r="579" spans="1:9">
      <c r="A579" t="s">
        <v>104</v>
      </c>
      <c r="B579" t="s">
        <v>105</v>
      </c>
      <c r="C579" t="s">
        <v>80</v>
      </c>
      <c r="D579" t="s">
        <v>97</v>
      </c>
      <c r="E579" t="s">
        <v>99</v>
      </c>
      <c r="F579" t="s">
        <v>3</v>
      </c>
      <c r="G579" t="s">
        <v>109</v>
      </c>
      <c r="H579" s="62">
        <v>2048</v>
      </c>
      <c r="I579">
        <v>0.27239999999999998</v>
      </c>
    </row>
    <row r="580" spans="1:9">
      <c r="A580" t="s">
        <v>104</v>
      </c>
      <c r="B580" t="s">
        <v>105</v>
      </c>
      <c r="C580" t="s">
        <v>80</v>
      </c>
      <c r="D580" t="s">
        <v>100</v>
      </c>
      <c r="E580" t="s">
        <v>101</v>
      </c>
      <c r="F580" t="s">
        <v>3</v>
      </c>
      <c r="G580" t="s">
        <v>109</v>
      </c>
      <c r="H580" s="62">
        <v>2048</v>
      </c>
      <c r="I580">
        <v>11.8969</v>
      </c>
    </row>
    <row r="581" spans="1:9">
      <c r="A581" t="s">
        <v>104</v>
      </c>
      <c r="B581" t="s">
        <v>105</v>
      </c>
      <c r="C581" t="s">
        <v>80</v>
      </c>
      <c r="D581" t="s">
        <v>100</v>
      </c>
      <c r="E581" t="s">
        <v>102</v>
      </c>
      <c r="F581" t="s">
        <v>3</v>
      </c>
      <c r="G581" t="s">
        <v>109</v>
      </c>
      <c r="H581" s="62">
        <v>2048</v>
      </c>
      <c r="I581">
        <v>0</v>
      </c>
    </row>
    <row r="582" spans="1:9">
      <c r="A582" t="s">
        <v>104</v>
      </c>
      <c r="B582" t="s">
        <v>105</v>
      </c>
      <c r="C582" t="s">
        <v>80</v>
      </c>
      <c r="D582" t="s">
        <v>100</v>
      </c>
      <c r="E582" t="s">
        <v>111</v>
      </c>
      <c r="F582" t="s">
        <v>3</v>
      </c>
      <c r="G582" t="s">
        <v>109</v>
      </c>
      <c r="H582" s="62">
        <v>2048</v>
      </c>
      <c r="I582">
        <v>0</v>
      </c>
    </row>
    <row r="583" spans="1:9">
      <c r="A583" t="s">
        <v>104</v>
      </c>
      <c r="B583" t="s">
        <v>105</v>
      </c>
      <c r="C583" t="s">
        <v>80</v>
      </c>
      <c r="D583" t="s">
        <v>100</v>
      </c>
      <c r="E583" t="s">
        <v>112</v>
      </c>
      <c r="F583" t="s">
        <v>3</v>
      </c>
      <c r="G583" t="s">
        <v>109</v>
      </c>
      <c r="H583" s="62">
        <v>2048</v>
      </c>
      <c r="I583">
        <v>0</v>
      </c>
    </row>
    <row r="584" spans="1:9">
      <c r="A584" t="s">
        <v>104</v>
      </c>
      <c r="B584" t="s">
        <v>105</v>
      </c>
      <c r="C584" t="s">
        <v>80</v>
      </c>
      <c r="D584" t="s">
        <v>83</v>
      </c>
      <c r="E584" t="s">
        <v>84</v>
      </c>
      <c r="F584" t="s">
        <v>3</v>
      </c>
      <c r="G584" t="s">
        <v>109</v>
      </c>
      <c r="H584" s="62">
        <v>2048</v>
      </c>
      <c r="I584">
        <v>2.1816</v>
      </c>
    </row>
    <row r="585" spans="1:9">
      <c r="A585" t="s">
        <v>104</v>
      </c>
      <c r="B585" t="s">
        <v>105</v>
      </c>
      <c r="C585" t="s">
        <v>80</v>
      </c>
      <c r="D585" t="s">
        <v>83</v>
      </c>
      <c r="E585" t="s">
        <v>85</v>
      </c>
      <c r="F585" t="s">
        <v>3</v>
      </c>
      <c r="G585" t="s">
        <v>109</v>
      </c>
      <c r="H585" s="62">
        <v>2048</v>
      </c>
      <c r="I585">
        <v>2.0417999999999998</v>
      </c>
    </row>
    <row r="586" spans="1:9">
      <c r="A586" t="s">
        <v>104</v>
      </c>
      <c r="B586" t="s">
        <v>105</v>
      </c>
      <c r="C586" t="s">
        <v>80</v>
      </c>
      <c r="D586" t="s">
        <v>86</v>
      </c>
      <c r="E586" t="s">
        <v>106</v>
      </c>
      <c r="F586" t="s">
        <v>3</v>
      </c>
      <c r="G586" t="s">
        <v>109</v>
      </c>
      <c r="H586" s="62">
        <v>2048</v>
      </c>
      <c r="I586">
        <v>1.1988000000000001</v>
      </c>
    </row>
    <row r="587" spans="1:9">
      <c r="A587" t="s">
        <v>104</v>
      </c>
      <c r="B587" t="s">
        <v>105</v>
      </c>
      <c r="C587" t="s">
        <v>80</v>
      </c>
      <c r="D587" t="s">
        <v>86</v>
      </c>
      <c r="E587" t="s">
        <v>87</v>
      </c>
      <c r="F587" t="s">
        <v>3</v>
      </c>
      <c r="G587" t="s">
        <v>109</v>
      </c>
      <c r="H587" s="62">
        <v>2048</v>
      </c>
      <c r="I587">
        <v>6.5256999999999996</v>
      </c>
    </row>
    <row r="588" spans="1:9">
      <c r="A588" t="s">
        <v>104</v>
      </c>
      <c r="B588" t="s">
        <v>105</v>
      </c>
      <c r="C588" t="s">
        <v>80</v>
      </c>
      <c r="D588" t="s">
        <v>103</v>
      </c>
      <c r="E588" t="s">
        <v>92</v>
      </c>
      <c r="F588" t="s">
        <v>3</v>
      </c>
      <c r="G588" t="s">
        <v>109</v>
      </c>
      <c r="H588" s="62">
        <v>2048</v>
      </c>
      <c r="I588">
        <v>5.2149000000000001</v>
      </c>
    </row>
    <row r="589" spans="1:9">
      <c r="A589" t="s">
        <v>104</v>
      </c>
      <c r="B589" t="s">
        <v>105</v>
      </c>
      <c r="C589" t="s">
        <v>80</v>
      </c>
      <c r="D589" t="s">
        <v>103</v>
      </c>
      <c r="E589" t="s">
        <v>89</v>
      </c>
      <c r="F589" t="s">
        <v>3</v>
      </c>
      <c r="G589" t="s">
        <v>109</v>
      </c>
      <c r="H589" s="62">
        <v>2048</v>
      </c>
      <c r="I589">
        <v>26.7439</v>
      </c>
    </row>
    <row r="590" spans="1:9">
      <c r="A590" t="s">
        <v>104</v>
      </c>
      <c r="B590" t="s">
        <v>105</v>
      </c>
      <c r="C590" t="s">
        <v>107</v>
      </c>
      <c r="D590" t="s">
        <v>107</v>
      </c>
      <c r="E590" t="s">
        <v>107</v>
      </c>
      <c r="F590" t="s">
        <v>3</v>
      </c>
      <c r="G590" t="s">
        <v>109</v>
      </c>
      <c r="H590" s="62">
        <v>2049</v>
      </c>
      <c r="I590">
        <v>82.457700000000003</v>
      </c>
    </row>
    <row r="591" spans="1:9">
      <c r="A591" t="s">
        <v>104</v>
      </c>
      <c r="B591" t="s">
        <v>105</v>
      </c>
      <c r="C591" t="s">
        <v>107</v>
      </c>
      <c r="D591" t="s">
        <v>108</v>
      </c>
      <c r="E591" t="s">
        <v>108</v>
      </c>
      <c r="F591" t="s">
        <v>3</v>
      </c>
      <c r="G591" t="s">
        <v>109</v>
      </c>
      <c r="H591" s="62">
        <v>2049</v>
      </c>
      <c r="I591">
        <v>0.27400000000000002</v>
      </c>
    </row>
    <row r="592" spans="1:9">
      <c r="A592" t="s">
        <v>104</v>
      </c>
      <c r="B592" t="s">
        <v>105</v>
      </c>
      <c r="C592" t="s">
        <v>80</v>
      </c>
      <c r="D592" t="s">
        <v>80</v>
      </c>
      <c r="E592" t="s">
        <v>80</v>
      </c>
      <c r="F592" t="s">
        <v>3</v>
      </c>
      <c r="G592" t="s">
        <v>109</v>
      </c>
      <c r="H592" s="62">
        <v>2049</v>
      </c>
      <c r="I592">
        <v>82.183800000000005</v>
      </c>
    </row>
    <row r="593" spans="1:9">
      <c r="A593" t="s">
        <v>104</v>
      </c>
      <c r="B593" t="s">
        <v>105</v>
      </c>
      <c r="C593" t="s">
        <v>80</v>
      </c>
      <c r="D593" t="s">
        <v>89</v>
      </c>
      <c r="E593" t="s">
        <v>90</v>
      </c>
      <c r="F593" t="s">
        <v>3</v>
      </c>
      <c r="G593" t="s">
        <v>109</v>
      </c>
      <c r="H593" s="62">
        <v>2049</v>
      </c>
      <c r="I593">
        <v>-6.4741</v>
      </c>
    </row>
    <row r="594" spans="1:9">
      <c r="A594" t="s">
        <v>104</v>
      </c>
      <c r="B594" t="s">
        <v>105</v>
      </c>
      <c r="C594" t="s">
        <v>80</v>
      </c>
      <c r="D594" t="s">
        <v>89</v>
      </c>
      <c r="E594" t="s">
        <v>91</v>
      </c>
      <c r="F594" t="s">
        <v>3</v>
      </c>
      <c r="G594" t="s">
        <v>109</v>
      </c>
      <c r="H594" s="62">
        <v>2049</v>
      </c>
      <c r="I594">
        <v>1.2293000000000001</v>
      </c>
    </row>
    <row r="595" spans="1:9">
      <c r="A595" t="s">
        <v>104</v>
      </c>
      <c r="B595" t="s">
        <v>105</v>
      </c>
      <c r="C595" t="s">
        <v>80</v>
      </c>
      <c r="D595" t="s">
        <v>92</v>
      </c>
      <c r="E595" t="s">
        <v>93</v>
      </c>
      <c r="F595" t="s">
        <v>3</v>
      </c>
      <c r="G595" t="s">
        <v>109</v>
      </c>
      <c r="H595" s="62">
        <v>2049</v>
      </c>
      <c r="I595">
        <v>-9.3544</v>
      </c>
    </row>
    <row r="596" spans="1:9">
      <c r="A596" t="s">
        <v>104</v>
      </c>
      <c r="B596" t="s">
        <v>105</v>
      </c>
      <c r="C596" t="s">
        <v>80</v>
      </c>
      <c r="D596" t="s">
        <v>92</v>
      </c>
      <c r="E596" t="s">
        <v>94</v>
      </c>
      <c r="F596" t="s">
        <v>3</v>
      </c>
      <c r="G596" t="s">
        <v>109</v>
      </c>
      <c r="H596" s="62">
        <v>2049</v>
      </c>
      <c r="I596">
        <v>30.2834</v>
      </c>
    </row>
    <row r="597" spans="1:9">
      <c r="A597" t="s">
        <v>104</v>
      </c>
      <c r="B597" t="s">
        <v>105</v>
      </c>
      <c r="C597" t="s">
        <v>80</v>
      </c>
      <c r="D597" t="s">
        <v>92</v>
      </c>
      <c r="E597" t="s">
        <v>110</v>
      </c>
      <c r="F597" t="s">
        <v>3</v>
      </c>
      <c r="G597" t="s">
        <v>109</v>
      </c>
      <c r="H597" s="62">
        <v>2049</v>
      </c>
      <c r="I597">
        <v>0</v>
      </c>
    </row>
    <row r="598" spans="1:9">
      <c r="A598" t="s">
        <v>104</v>
      </c>
      <c r="B598" t="s">
        <v>105</v>
      </c>
      <c r="C598" t="s">
        <v>80</v>
      </c>
      <c r="D598" t="s">
        <v>92</v>
      </c>
      <c r="E598" t="s">
        <v>95</v>
      </c>
      <c r="F598" t="s">
        <v>3</v>
      </c>
      <c r="G598" t="s">
        <v>109</v>
      </c>
      <c r="H598" s="62">
        <v>2049</v>
      </c>
      <c r="I598">
        <v>18.979800000000001</v>
      </c>
    </row>
    <row r="599" spans="1:9">
      <c r="A599" t="s">
        <v>104</v>
      </c>
      <c r="B599" t="s">
        <v>105</v>
      </c>
      <c r="C599" t="s">
        <v>80</v>
      </c>
      <c r="D599" t="s">
        <v>96</v>
      </c>
      <c r="E599" t="s">
        <v>92</v>
      </c>
      <c r="F599" t="s">
        <v>3</v>
      </c>
      <c r="G599" t="s">
        <v>109</v>
      </c>
      <c r="H599" s="62">
        <v>2049</v>
      </c>
      <c r="I599">
        <v>4.6801000000000004</v>
      </c>
    </row>
    <row r="600" spans="1:9">
      <c r="A600" t="s">
        <v>104</v>
      </c>
      <c r="B600" t="s">
        <v>105</v>
      </c>
      <c r="C600" t="s">
        <v>80</v>
      </c>
      <c r="D600" t="s">
        <v>96</v>
      </c>
      <c r="E600" t="s">
        <v>89</v>
      </c>
      <c r="F600" t="s">
        <v>3</v>
      </c>
      <c r="G600" t="s">
        <v>109</v>
      </c>
      <c r="H600" s="62">
        <v>2049</v>
      </c>
      <c r="I600">
        <v>2.9346000000000001</v>
      </c>
    </row>
    <row r="601" spans="1:9">
      <c r="A601" t="s">
        <v>104</v>
      </c>
      <c r="B601" t="s">
        <v>105</v>
      </c>
      <c r="C601" t="s">
        <v>80</v>
      </c>
      <c r="D601" t="s">
        <v>97</v>
      </c>
      <c r="E601" t="s">
        <v>98</v>
      </c>
      <c r="F601" t="s">
        <v>3</v>
      </c>
      <c r="G601" t="s">
        <v>109</v>
      </c>
      <c r="H601" s="62">
        <v>2049</v>
      </c>
      <c r="I601">
        <v>21.985299999999999</v>
      </c>
    </row>
    <row r="602" spans="1:9">
      <c r="A602" t="s">
        <v>104</v>
      </c>
      <c r="B602" t="s">
        <v>105</v>
      </c>
      <c r="C602" t="s">
        <v>80</v>
      </c>
      <c r="D602" t="s">
        <v>97</v>
      </c>
      <c r="E602" t="s">
        <v>99</v>
      </c>
      <c r="F602" t="s">
        <v>3</v>
      </c>
      <c r="G602" t="s">
        <v>109</v>
      </c>
      <c r="H602" s="62">
        <v>2049</v>
      </c>
      <c r="I602">
        <v>0.30099999999999999</v>
      </c>
    </row>
    <row r="603" spans="1:9">
      <c r="A603" t="s">
        <v>104</v>
      </c>
      <c r="B603" t="s">
        <v>105</v>
      </c>
      <c r="C603" t="s">
        <v>80</v>
      </c>
      <c r="D603" t="s">
        <v>100</v>
      </c>
      <c r="E603" t="s">
        <v>101</v>
      </c>
      <c r="F603" t="s">
        <v>3</v>
      </c>
      <c r="G603" t="s">
        <v>109</v>
      </c>
      <c r="H603" s="62">
        <v>2049</v>
      </c>
      <c r="I603">
        <v>13.382899999999999</v>
      </c>
    </row>
    <row r="604" spans="1:9">
      <c r="A604" t="s">
        <v>104</v>
      </c>
      <c r="B604" t="s">
        <v>105</v>
      </c>
      <c r="C604" t="s">
        <v>80</v>
      </c>
      <c r="D604" t="s">
        <v>100</v>
      </c>
      <c r="E604" t="s">
        <v>102</v>
      </c>
      <c r="F604" t="s">
        <v>3</v>
      </c>
      <c r="G604" t="s">
        <v>109</v>
      </c>
      <c r="H604" s="62">
        <v>2049</v>
      </c>
      <c r="I604">
        <v>0</v>
      </c>
    </row>
    <row r="605" spans="1:9">
      <c r="A605" t="s">
        <v>104</v>
      </c>
      <c r="B605" t="s">
        <v>105</v>
      </c>
      <c r="C605" t="s">
        <v>80</v>
      </c>
      <c r="D605" t="s">
        <v>100</v>
      </c>
      <c r="E605" t="s">
        <v>111</v>
      </c>
      <c r="F605" t="s">
        <v>3</v>
      </c>
      <c r="G605" t="s">
        <v>109</v>
      </c>
      <c r="H605" s="62">
        <v>2049</v>
      </c>
      <c r="I605">
        <v>0</v>
      </c>
    </row>
    <row r="606" spans="1:9">
      <c r="A606" t="s">
        <v>104</v>
      </c>
      <c r="B606" t="s">
        <v>105</v>
      </c>
      <c r="C606" t="s">
        <v>80</v>
      </c>
      <c r="D606" t="s">
        <v>100</v>
      </c>
      <c r="E606" t="s">
        <v>112</v>
      </c>
      <c r="F606" t="s">
        <v>3</v>
      </c>
      <c r="G606" t="s">
        <v>109</v>
      </c>
      <c r="H606" s="62">
        <v>2049</v>
      </c>
      <c r="I606">
        <v>0</v>
      </c>
    </row>
    <row r="607" spans="1:9">
      <c r="A607" t="s">
        <v>104</v>
      </c>
      <c r="B607" t="s">
        <v>105</v>
      </c>
      <c r="C607" t="s">
        <v>80</v>
      </c>
      <c r="D607" t="s">
        <v>83</v>
      </c>
      <c r="E607" t="s">
        <v>84</v>
      </c>
      <c r="F607" t="s">
        <v>3</v>
      </c>
      <c r="G607" t="s">
        <v>109</v>
      </c>
      <c r="H607" s="62">
        <v>2049</v>
      </c>
      <c r="I607">
        <v>2.1859999999999999</v>
      </c>
    </row>
    <row r="608" spans="1:9">
      <c r="A608" t="s">
        <v>104</v>
      </c>
      <c r="B608" t="s">
        <v>105</v>
      </c>
      <c r="C608" t="s">
        <v>80</v>
      </c>
      <c r="D608" t="s">
        <v>83</v>
      </c>
      <c r="E608" t="s">
        <v>85</v>
      </c>
      <c r="F608" t="s">
        <v>3</v>
      </c>
      <c r="G608" t="s">
        <v>109</v>
      </c>
      <c r="H608" s="62">
        <v>2049</v>
      </c>
      <c r="I608">
        <v>2.0499000000000001</v>
      </c>
    </row>
    <row r="609" spans="1:9">
      <c r="A609" t="s">
        <v>104</v>
      </c>
      <c r="B609" t="s">
        <v>105</v>
      </c>
      <c r="C609" t="s">
        <v>80</v>
      </c>
      <c r="D609" t="s">
        <v>86</v>
      </c>
      <c r="E609" t="s">
        <v>106</v>
      </c>
      <c r="F609" t="s">
        <v>3</v>
      </c>
      <c r="G609" t="s">
        <v>109</v>
      </c>
      <c r="H609" s="62">
        <v>2049</v>
      </c>
      <c r="I609">
        <v>1.2011000000000001</v>
      </c>
    </row>
    <row r="610" spans="1:9">
      <c r="A610" t="s">
        <v>104</v>
      </c>
      <c r="B610" t="s">
        <v>105</v>
      </c>
      <c r="C610" t="s">
        <v>80</v>
      </c>
      <c r="D610" t="s">
        <v>86</v>
      </c>
      <c r="E610" t="s">
        <v>87</v>
      </c>
      <c r="F610" t="s">
        <v>3</v>
      </c>
      <c r="G610" t="s">
        <v>109</v>
      </c>
      <c r="H610" s="62">
        <v>2049</v>
      </c>
      <c r="I610">
        <v>6.9240000000000004</v>
      </c>
    </row>
    <row r="611" spans="1:9">
      <c r="A611" t="s">
        <v>104</v>
      </c>
      <c r="B611" t="s">
        <v>105</v>
      </c>
      <c r="C611" t="s">
        <v>80</v>
      </c>
      <c r="D611" t="s">
        <v>103</v>
      </c>
      <c r="E611" t="s">
        <v>92</v>
      </c>
      <c r="F611" t="s">
        <v>3</v>
      </c>
      <c r="G611" t="s">
        <v>109</v>
      </c>
      <c r="H611" s="62">
        <v>2049</v>
      </c>
      <c r="I611">
        <v>5.4180000000000001</v>
      </c>
    </row>
    <row r="612" spans="1:9">
      <c r="A612" t="s">
        <v>104</v>
      </c>
      <c r="B612" t="s">
        <v>105</v>
      </c>
      <c r="C612" t="s">
        <v>80</v>
      </c>
      <c r="D612" t="s">
        <v>103</v>
      </c>
      <c r="E612" t="s">
        <v>89</v>
      </c>
      <c r="F612" t="s">
        <v>3</v>
      </c>
      <c r="G612" t="s">
        <v>109</v>
      </c>
      <c r="H612" s="62">
        <v>2049</v>
      </c>
      <c r="I612">
        <v>27.700500000000002</v>
      </c>
    </row>
    <row r="613" spans="1:9">
      <c r="A613" t="s">
        <v>104</v>
      </c>
      <c r="B613" t="s">
        <v>105</v>
      </c>
      <c r="C613" t="s">
        <v>107</v>
      </c>
      <c r="D613" t="s">
        <v>107</v>
      </c>
      <c r="E613" t="s">
        <v>107</v>
      </c>
      <c r="F613" t="s">
        <v>3</v>
      </c>
      <c r="G613" t="s">
        <v>109</v>
      </c>
      <c r="H613" s="62">
        <v>2050</v>
      </c>
      <c r="I613">
        <v>83.143500000000003</v>
      </c>
    </row>
    <row r="614" spans="1:9">
      <c r="A614" t="s">
        <v>104</v>
      </c>
      <c r="B614" t="s">
        <v>105</v>
      </c>
      <c r="C614" t="s">
        <v>107</v>
      </c>
      <c r="D614" t="s">
        <v>108</v>
      </c>
      <c r="E614" t="s">
        <v>108</v>
      </c>
      <c r="F614" t="s">
        <v>3</v>
      </c>
      <c r="G614" t="s">
        <v>109</v>
      </c>
      <c r="H614" s="62">
        <v>2050</v>
      </c>
      <c r="I614">
        <v>0.2747</v>
      </c>
    </row>
    <row r="615" spans="1:9">
      <c r="A615" t="s">
        <v>104</v>
      </c>
      <c r="B615" t="s">
        <v>105</v>
      </c>
      <c r="C615" t="s">
        <v>80</v>
      </c>
      <c r="D615" t="s">
        <v>80</v>
      </c>
      <c r="E615" t="s">
        <v>80</v>
      </c>
      <c r="F615" t="s">
        <v>3</v>
      </c>
      <c r="G615" t="s">
        <v>109</v>
      </c>
      <c r="H615" s="62">
        <v>2050</v>
      </c>
      <c r="I615">
        <v>82.868799999999993</v>
      </c>
    </row>
    <row r="616" spans="1:9">
      <c r="A616" t="s">
        <v>104</v>
      </c>
      <c r="B616" t="s">
        <v>105</v>
      </c>
      <c r="C616" t="s">
        <v>80</v>
      </c>
      <c r="D616" t="s">
        <v>89</v>
      </c>
      <c r="E616" t="s">
        <v>90</v>
      </c>
      <c r="F616" t="s">
        <v>3</v>
      </c>
      <c r="G616" t="s">
        <v>109</v>
      </c>
      <c r="H616" s="62">
        <v>2050</v>
      </c>
      <c r="I616">
        <v>-7.3455000000000004</v>
      </c>
    </row>
    <row r="617" spans="1:9">
      <c r="A617" t="s">
        <v>104</v>
      </c>
      <c r="B617" t="s">
        <v>105</v>
      </c>
      <c r="C617" t="s">
        <v>80</v>
      </c>
      <c r="D617" t="s">
        <v>89</v>
      </c>
      <c r="E617" t="s">
        <v>91</v>
      </c>
      <c r="F617" t="s">
        <v>3</v>
      </c>
      <c r="G617" t="s">
        <v>109</v>
      </c>
      <c r="H617" s="62">
        <v>2050</v>
      </c>
      <c r="I617">
        <v>1.5113000000000001</v>
      </c>
    </row>
    <row r="618" spans="1:9">
      <c r="A618" t="s">
        <v>104</v>
      </c>
      <c r="B618" t="s">
        <v>105</v>
      </c>
      <c r="C618" t="s">
        <v>80</v>
      </c>
      <c r="D618" t="s">
        <v>92</v>
      </c>
      <c r="E618" t="s">
        <v>93</v>
      </c>
      <c r="F618" t="s">
        <v>3</v>
      </c>
      <c r="G618" t="s">
        <v>109</v>
      </c>
      <c r="H618" s="62">
        <v>2050</v>
      </c>
      <c r="I618">
        <v>-10.1896</v>
      </c>
    </row>
    <row r="619" spans="1:9">
      <c r="A619" t="s">
        <v>104</v>
      </c>
      <c r="B619" t="s">
        <v>105</v>
      </c>
      <c r="C619" t="s">
        <v>80</v>
      </c>
      <c r="D619" t="s">
        <v>92</v>
      </c>
      <c r="E619" t="s">
        <v>94</v>
      </c>
      <c r="F619" t="s">
        <v>3</v>
      </c>
      <c r="G619" t="s">
        <v>109</v>
      </c>
      <c r="H619" s="62">
        <v>2050</v>
      </c>
      <c r="I619">
        <v>30.354299999999999</v>
      </c>
    </row>
    <row r="620" spans="1:9">
      <c r="A620" t="s">
        <v>104</v>
      </c>
      <c r="B620" t="s">
        <v>105</v>
      </c>
      <c r="C620" t="s">
        <v>80</v>
      </c>
      <c r="D620" t="s">
        <v>92</v>
      </c>
      <c r="E620" t="s">
        <v>110</v>
      </c>
      <c r="F620" t="s">
        <v>3</v>
      </c>
      <c r="G620" t="s">
        <v>109</v>
      </c>
      <c r="H620" s="62">
        <v>2050</v>
      </c>
      <c r="I620">
        <v>0</v>
      </c>
    </row>
    <row r="621" spans="1:9">
      <c r="A621" t="s">
        <v>104</v>
      </c>
      <c r="B621" t="s">
        <v>105</v>
      </c>
      <c r="C621" t="s">
        <v>80</v>
      </c>
      <c r="D621" t="s">
        <v>92</v>
      </c>
      <c r="E621" t="s">
        <v>95</v>
      </c>
      <c r="F621" t="s">
        <v>3</v>
      </c>
      <c r="G621" t="s">
        <v>109</v>
      </c>
      <c r="H621" s="62">
        <v>2050</v>
      </c>
      <c r="I621">
        <v>19.170300000000001</v>
      </c>
    </row>
    <row r="622" spans="1:9">
      <c r="A622" t="s">
        <v>104</v>
      </c>
      <c r="B622" t="s">
        <v>105</v>
      </c>
      <c r="C622" t="s">
        <v>80</v>
      </c>
      <c r="D622" t="s">
        <v>96</v>
      </c>
      <c r="E622" t="s">
        <v>92</v>
      </c>
      <c r="F622" t="s">
        <v>3</v>
      </c>
      <c r="G622" t="s">
        <v>109</v>
      </c>
      <c r="H622" s="62">
        <v>2050</v>
      </c>
      <c r="I622">
        <v>4.6692</v>
      </c>
    </row>
    <row r="623" spans="1:9">
      <c r="A623" t="s">
        <v>104</v>
      </c>
      <c r="B623" t="s">
        <v>105</v>
      </c>
      <c r="C623" t="s">
        <v>80</v>
      </c>
      <c r="D623" t="s">
        <v>96</v>
      </c>
      <c r="E623" t="s">
        <v>89</v>
      </c>
      <c r="F623" t="s">
        <v>3</v>
      </c>
      <c r="G623" t="s">
        <v>109</v>
      </c>
      <c r="H623" s="62">
        <v>2050</v>
      </c>
      <c r="I623">
        <v>2.9910999999999999</v>
      </c>
    </row>
    <row r="624" spans="1:9">
      <c r="A624" t="s">
        <v>104</v>
      </c>
      <c r="B624" t="s">
        <v>105</v>
      </c>
      <c r="C624" t="s">
        <v>80</v>
      </c>
      <c r="D624" t="s">
        <v>97</v>
      </c>
      <c r="E624" t="s">
        <v>98</v>
      </c>
      <c r="F624" t="s">
        <v>3</v>
      </c>
      <c r="G624" t="s">
        <v>109</v>
      </c>
      <c r="H624" s="62">
        <v>2050</v>
      </c>
      <c r="I624">
        <v>23.220600000000001</v>
      </c>
    </row>
    <row r="625" spans="1:9">
      <c r="A625" t="s">
        <v>104</v>
      </c>
      <c r="B625" t="s">
        <v>105</v>
      </c>
      <c r="C625" t="s">
        <v>80</v>
      </c>
      <c r="D625" t="s">
        <v>97</v>
      </c>
      <c r="E625" t="s">
        <v>99</v>
      </c>
      <c r="F625" t="s">
        <v>3</v>
      </c>
      <c r="G625" t="s">
        <v>109</v>
      </c>
      <c r="H625" s="62">
        <v>2050</v>
      </c>
      <c r="I625">
        <v>0.33189999999999997</v>
      </c>
    </row>
    <row r="626" spans="1:9">
      <c r="A626" t="s">
        <v>104</v>
      </c>
      <c r="B626" t="s">
        <v>105</v>
      </c>
      <c r="C626" t="s">
        <v>80</v>
      </c>
      <c r="D626" t="s">
        <v>100</v>
      </c>
      <c r="E626" t="s">
        <v>101</v>
      </c>
      <c r="F626" t="s">
        <v>3</v>
      </c>
      <c r="G626" t="s">
        <v>109</v>
      </c>
      <c r="H626" s="62">
        <v>2050</v>
      </c>
      <c r="I626">
        <v>13.8788</v>
      </c>
    </row>
    <row r="627" spans="1:9">
      <c r="A627" t="s">
        <v>104</v>
      </c>
      <c r="B627" t="s">
        <v>105</v>
      </c>
      <c r="C627" t="s">
        <v>80</v>
      </c>
      <c r="D627" t="s">
        <v>100</v>
      </c>
      <c r="E627" t="s">
        <v>102</v>
      </c>
      <c r="F627" t="s">
        <v>3</v>
      </c>
      <c r="G627" t="s">
        <v>109</v>
      </c>
      <c r="H627" s="62">
        <v>2050</v>
      </c>
      <c r="I627">
        <v>0</v>
      </c>
    </row>
    <row r="628" spans="1:9">
      <c r="A628" t="s">
        <v>104</v>
      </c>
      <c r="B628" t="s">
        <v>105</v>
      </c>
      <c r="C628" t="s">
        <v>80</v>
      </c>
      <c r="D628" t="s">
        <v>100</v>
      </c>
      <c r="E628" t="s">
        <v>111</v>
      </c>
      <c r="F628" t="s">
        <v>3</v>
      </c>
      <c r="G628" t="s">
        <v>109</v>
      </c>
      <c r="H628" s="62">
        <v>2050</v>
      </c>
      <c r="I628">
        <v>0</v>
      </c>
    </row>
    <row r="629" spans="1:9">
      <c r="A629" t="s">
        <v>104</v>
      </c>
      <c r="B629" t="s">
        <v>105</v>
      </c>
      <c r="C629" t="s">
        <v>80</v>
      </c>
      <c r="D629" t="s">
        <v>100</v>
      </c>
      <c r="E629" t="s">
        <v>112</v>
      </c>
      <c r="F629" t="s">
        <v>3</v>
      </c>
      <c r="G629" t="s">
        <v>109</v>
      </c>
      <c r="H629" s="62">
        <v>2050</v>
      </c>
      <c r="I629">
        <v>0</v>
      </c>
    </row>
    <row r="630" spans="1:9">
      <c r="A630" t="s">
        <v>104</v>
      </c>
      <c r="B630" t="s">
        <v>105</v>
      </c>
      <c r="C630" t="s">
        <v>80</v>
      </c>
      <c r="D630" t="s">
        <v>83</v>
      </c>
      <c r="E630" t="s">
        <v>84</v>
      </c>
      <c r="F630" t="s">
        <v>3</v>
      </c>
      <c r="G630" t="s">
        <v>109</v>
      </c>
      <c r="H630" s="62">
        <v>2050</v>
      </c>
      <c r="I630">
        <v>2.2067999999999999</v>
      </c>
    </row>
    <row r="631" spans="1:9">
      <c r="A631" t="s">
        <v>104</v>
      </c>
      <c r="B631" t="s">
        <v>105</v>
      </c>
      <c r="C631" t="s">
        <v>80</v>
      </c>
      <c r="D631" t="s">
        <v>83</v>
      </c>
      <c r="E631" t="s">
        <v>85</v>
      </c>
      <c r="F631" t="s">
        <v>3</v>
      </c>
      <c r="G631" t="s">
        <v>109</v>
      </c>
      <c r="H631" s="62">
        <v>2050</v>
      </c>
      <c r="I631">
        <v>2.0697000000000001</v>
      </c>
    </row>
    <row r="632" spans="1:9">
      <c r="A632" t="s">
        <v>104</v>
      </c>
      <c r="B632" t="s">
        <v>105</v>
      </c>
      <c r="C632" t="s">
        <v>80</v>
      </c>
      <c r="D632" t="s">
        <v>86</v>
      </c>
      <c r="E632" t="s">
        <v>106</v>
      </c>
      <c r="F632" t="s">
        <v>3</v>
      </c>
      <c r="G632" t="s">
        <v>109</v>
      </c>
      <c r="H632" s="62">
        <v>2050</v>
      </c>
      <c r="I632">
        <v>1.2065999999999999</v>
      </c>
    </row>
    <row r="633" spans="1:9">
      <c r="A633" t="s">
        <v>104</v>
      </c>
      <c r="B633" t="s">
        <v>105</v>
      </c>
      <c r="C633" t="s">
        <v>80</v>
      </c>
      <c r="D633" t="s">
        <v>86</v>
      </c>
      <c r="E633" t="s">
        <v>87</v>
      </c>
      <c r="F633" t="s">
        <v>3</v>
      </c>
      <c r="G633" t="s">
        <v>109</v>
      </c>
      <c r="H633" s="62">
        <v>2050</v>
      </c>
      <c r="I633">
        <v>7.4717000000000002</v>
      </c>
    </row>
    <row r="634" spans="1:9">
      <c r="A634" t="s">
        <v>104</v>
      </c>
      <c r="B634" t="s">
        <v>105</v>
      </c>
      <c r="C634" t="s">
        <v>80</v>
      </c>
      <c r="D634" t="s">
        <v>103</v>
      </c>
      <c r="E634" t="s">
        <v>92</v>
      </c>
      <c r="F634" t="s">
        <v>3</v>
      </c>
      <c r="G634" t="s">
        <v>109</v>
      </c>
      <c r="H634" s="62">
        <v>2050</v>
      </c>
      <c r="I634">
        <v>5.6249000000000002</v>
      </c>
    </row>
    <row r="635" spans="1:9">
      <c r="A635" t="s">
        <v>104</v>
      </c>
      <c r="B635" t="s">
        <v>105</v>
      </c>
      <c r="C635" t="s">
        <v>80</v>
      </c>
      <c r="D635" t="s">
        <v>103</v>
      </c>
      <c r="E635" t="s">
        <v>89</v>
      </c>
      <c r="F635" t="s">
        <v>3</v>
      </c>
      <c r="G635" t="s">
        <v>109</v>
      </c>
      <c r="H635" s="62">
        <v>2050</v>
      </c>
      <c r="I635">
        <v>28.6294</v>
      </c>
    </row>
    <row r="636" spans="1:9">
      <c r="A636" t="s">
        <v>104</v>
      </c>
      <c r="B636" t="s">
        <v>105</v>
      </c>
      <c r="C636" t="s">
        <v>107</v>
      </c>
      <c r="D636" t="s">
        <v>107</v>
      </c>
      <c r="E636" t="s">
        <v>107</v>
      </c>
      <c r="F636" t="s">
        <v>3</v>
      </c>
      <c r="G636" t="s">
        <v>109</v>
      </c>
      <c r="H636" s="62">
        <v>2051</v>
      </c>
      <c r="I636">
        <v>84.098100000000002</v>
      </c>
    </row>
    <row r="637" spans="1:9">
      <c r="A637" t="s">
        <v>104</v>
      </c>
      <c r="B637" t="s">
        <v>105</v>
      </c>
      <c r="C637" t="s">
        <v>107</v>
      </c>
      <c r="D637" t="s">
        <v>108</v>
      </c>
      <c r="E637" t="s">
        <v>108</v>
      </c>
      <c r="F637" t="s">
        <v>3</v>
      </c>
      <c r="G637" t="s">
        <v>109</v>
      </c>
      <c r="H637" s="62">
        <v>2051</v>
      </c>
      <c r="I637">
        <v>0.27800000000000002</v>
      </c>
    </row>
    <row r="638" spans="1:9">
      <c r="A638" t="s">
        <v>104</v>
      </c>
      <c r="B638" t="s">
        <v>105</v>
      </c>
      <c r="C638" t="s">
        <v>80</v>
      </c>
      <c r="D638" t="s">
        <v>80</v>
      </c>
      <c r="E638" t="s">
        <v>80</v>
      </c>
      <c r="F638" t="s">
        <v>3</v>
      </c>
      <c r="G638" t="s">
        <v>109</v>
      </c>
      <c r="H638" s="62">
        <v>2051</v>
      </c>
      <c r="I638">
        <v>83.820099999999996</v>
      </c>
    </row>
    <row r="639" spans="1:9">
      <c r="A639" t="s">
        <v>104</v>
      </c>
      <c r="B639" t="s">
        <v>105</v>
      </c>
      <c r="C639" t="s">
        <v>80</v>
      </c>
      <c r="D639" t="s">
        <v>89</v>
      </c>
      <c r="E639" t="s">
        <v>90</v>
      </c>
      <c r="F639" t="s">
        <v>3</v>
      </c>
      <c r="G639" t="s">
        <v>109</v>
      </c>
      <c r="H639" s="62">
        <v>2051</v>
      </c>
      <c r="I639">
        <v>-7.7442000000000002</v>
      </c>
    </row>
    <row r="640" spans="1:9">
      <c r="A640" t="s">
        <v>104</v>
      </c>
      <c r="B640" t="s">
        <v>105</v>
      </c>
      <c r="C640" t="s">
        <v>80</v>
      </c>
      <c r="D640" t="s">
        <v>89</v>
      </c>
      <c r="E640" t="s">
        <v>91</v>
      </c>
      <c r="F640" t="s">
        <v>3</v>
      </c>
      <c r="G640" t="s">
        <v>109</v>
      </c>
      <c r="H640" s="62">
        <v>2051</v>
      </c>
      <c r="I640">
        <v>1.6798</v>
      </c>
    </row>
    <row r="641" spans="1:9">
      <c r="A641" t="s">
        <v>104</v>
      </c>
      <c r="B641" t="s">
        <v>105</v>
      </c>
      <c r="C641" t="s">
        <v>80</v>
      </c>
      <c r="D641" t="s">
        <v>92</v>
      </c>
      <c r="E641" t="s">
        <v>93</v>
      </c>
      <c r="F641" t="s">
        <v>3</v>
      </c>
      <c r="G641" t="s">
        <v>109</v>
      </c>
      <c r="H641" s="62">
        <v>2051</v>
      </c>
      <c r="I641">
        <v>-10.826599999999999</v>
      </c>
    </row>
    <row r="642" spans="1:9">
      <c r="A642" t="s">
        <v>104</v>
      </c>
      <c r="B642" t="s">
        <v>105</v>
      </c>
      <c r="C642" t="s">
        <v>80</v>
      </c>
      <c r="D642" t="s">
        <v>92</v>
      </c>
      <c r="E642" t="s">
        <v>94</v>
      </c>
      <c r="F642" t="s">
        <v>3</v>
      </c>
      <c r="G642" t="s">
        <v>109</v>
      </c>
      <c r="H642" s="62">
        <v>2051</v>
      </c>
      <c r="I642">
        <v>30.5364</v>
      </c>
    </row>
    <row r="643" spans="1:9">
      <c r="A643" t="s">
        <v>104</v>
      </c>
      <c r="B643" t="s">
        <v>105</v>
      </c>
      <c r="C643" t="s">
        <v>80</v>
      </c>
      <c r="D643" t="s">
        <v>92</v>
      </c>
      <c r="E643" t="s">
        <v>110</v>
      </c>
      <c r="F643" t="s">
        <v>3</v>
      </c>
      <c r="G643" t="s">
        <v>109</v>
      </c>
      <c r="H643" s="62">
        <v>2051</v>
      </c>
      <c r="I643">
        <v>0</v>
      </c>
    </row>
    <row r="644" spans="1:9">
      <c r="A644" t="s">
        <v>104</v>
      </c>
      <c r="B644" t="s">
        <v>105</v>
      </c>
      <c r="C644" t="s">
        <v>80</v>
      </c>
      <c r="D644" t="s">
        <v>92</v>
      </c>
      <c r="E644" t="s">
        <v>95</v>
      </c>
      <c r="F644" t="s">
        <v>3</v>
      </c>
      <c r="G644" t="s">
        <v>109</v>
      </c>
      <c r="H644" s="62">
        <v>2051</v>
      </c>
      <c r="I644">
        <v>19.377400000000002</v>
      </c>
    </row>
    <row r="645" spans="1:9">
      <c r="A645" t="s">
        <v>104</v>
      </c>
      <c r="B645" t="s">
        <v>105</v>
      </c>
      <c r="C645" t="s">
        <v>80</v>
      </c>
      <c r="D645" t="s">
        <v>96</v>
      </c>
      <c r="E645" t="s">
        <v>92</v>
      </c>
      <c r="F645" t="s">
        <v>3</v>
      </c>
      <c r="G645" t="s">
        <v>109</v>
      </c>
      <c r="H645" s="62">
        <v>2051</v>
      </c>
      <c r="I645">
        <v>4.6304999999999996</v>
      </c>
    </row>
    <row r="646" spans="1:9">
      <c r="A646" t="s">
        <v>104</v>
      </c>
      <c r="B646" t="s">
        <v>105</v>
      </c>
      <c r="C646" t="s">
        <v>80</v>
      </c>
      <c r="D646" t="s">
        <v>96</v>
      </c>
      <c r="E646" t="s">
        <v>89</v>
      </c>
      <c r="F646" t="s">
        <v>3</v>
      </c>
      <c r="G646" t="s">
        <v>109</v>
      </c>
      <c r="H646" s="62">
        <v>2051</v>
      </c>
      <c r="I646">
        <v>3.0139</v>
      </c>
    </row>
    <row r="647" spans="1:9">
      <c r="A647" t="s">
        <v>104</v>
      </c>
      <c r="B647" t="s">
        <v>105</v>
      </c>
      <c r="C647" t="s">
        <v>80</v>
      </c>
      <c r="D647" t="s">
        <v>97</v>
      </c>
      <c r="E647" t="s">
        <v>98</v>
      </c>
      <c r="F647" t="s">
        <v>3</v>
      </c>
      <c r="G647" t="s">
        <v>109</v>
      </c>
      <c r="H647" s="62">
        <v>2051</v>
      </c>
      <c r="I647">
        <v>24.457699999999999</v>
      </c>
    </row>
    <row r="648" spans="1:9">
      <c r="A648" t="s">
        <v>104</v>
      </c>
      <c r="B648" t="s">
        <v>105</v>
      </c>
      <c r="C648" t="s">
        <v>80</v>
      </c>
      <c r="D648" t="s">
        <v>97</v>
      </c>
      <c r="E648" t="s">
        <v>99</v>
      </c>
      <c r="F648" t="s">
        <v>3</v>
      </c>
      <c r="G648" t="s">
        <v>109</v>
      </c>
      <c r="H648" s="62">
        <v>2051</v>
      </c>
      <c r="I648">
        <v>0.34699999999999998</v>
      </c>
    </row>
    <row r="649" spans="1:9">
      <c r="A649" t="s">
        <v>104</v>
      </c>
      <c r="B649" t="s">
        <v>105</v>
      </c>
      <c r="C649" t="s">
        <v>80</v>
      </c>
      <c r="D649" t="s">
        <v>100</v>
      </c>
      <c r="E649" t="s">
        <v>101</v>
      </c>
      <c r="F649" t="s">
        <v>3</v>
      </c>
      <c r="G649" t="s">
        <v>109</v>
      </c>
      <c r="H649" s="62">
        <v>2051</v>
      </c>
      <c r="I649">
        <v>13.9956</v>
      </c>
    </row>
    <row r="650" spans="1:9">
      <c r="A650" t="s">
        <v>104</v>
      </c>
      <c r="B650" t="s">
        <v>105</v>
      </c>
      <c r="C650" t="s">
        <v>80</v>
      </c>
      <c r="D650" t="s">
        <v>100</v>
      </c>
      <c r="E650" t="s">
        <v>102</v>
      </c>
      <c r="F650" t="s">
        <v>3</v>
      </c>
      <c r="G650" t="s">
        <v>109</v>
      </c>
      <c r="H650" s="62">
        <v>2051</v>
      </c>
      <c r="I650">
        <v>0</v>
      </c>
    </row>
    <row r="651" spans="1:9">
      <c r="A651" t="s">
        <v>104</v>
      </c>
      <c r="B651" t="s">
        <v>105</v>
      </c>
      <c r="C651" t="s">
        <v>80</v>
      </c>
      <c r="D651" t="s">
        <v>100</v>
      </c>
      <c r="E651" t="s">
        <v>111</v>
      </c>
      <c r="F651" t="s">
        <v>3</v>
      </c>
      <c r="G651" t="s">
        <v>109</v>
      </c>
      <c r="H651" s="62">
        <v>2051</v>
      </c>
      <c r="I651">
        <v>0</v>
      </c>
    </row>
    <row r="652" spans="1:9">
      <c r="A652" t="s">
        <v>104</v>
      </c>
      <c r="B652" t="s">
        <v>105</v>
      </c>
      <c r="C652" t="s">
        <v>80</v>
      </c>
      <c r="D652" t="s">
        <v>100</v>
      </c>
      <c r="E652" t="s">
        <v>112</v>
      </c>
      <c r="F652" t="s">
        <v>3</v>
      </c>
      <c r="G652" t="s">
        <v>109</v>
      </c>
      <c r="H652" s="62">
        <v>2051</v>
      </c>
      <c r="I652">
        <v>0</v>
      </c>
    </row>
    <row r="653" spans="1:9">
      <c r="A653" t="s">
        <v>104</v>
      </c>
      <c r="B653" t="s">
        <v>105</v>
      </c>
      <c r="C653" t="s">
        <v>80</v>
      </c>
      <c r="D653" t="s">
        <v>83</v>
      </c>
      <c r="E653" t="s">
        <v>84</v>
      </c>
      <c r="F653" t="s">
        <v>3</v>
      </c>
      <c r="G653" t="s">
        <v>109</v>
      </c>
      <c r="H653" s="62">
        <v>2051</v>
      </c>
      <c r="I653">
        <v>2.2483</v>
      </c>
    </row>
    <row r="654" spans="1:9">
      <c r="A654" t="s">
        <v>104</v>
      </c>
      <c r="B654" t="s">
        <v>105</v>
      </c>
      <c r="C654" t="s">
        <v>80</v>
      </c>
      <c r="D654" t="s">
        <v>83</v>
      </c>
      <c r="E654" t="s">
        <v>85</v>
      </c>
      <c r="F654" t="s">
        <v>3</v>
      </c>
      <c r="G654" t="s">
        <v>109</v>
      </c>
      <c r="H654" s="62">
        <v>2051</v>
      </c>
      <c r="I654">
        <v>2.1042000000000001</v>
      </c>
    </row>
    <row r="655" spans="1:9">
      <c r="A655" t="s">
        <v>104</v>
      </c>
      <c r="B655" t="s">
        <v>105</v>
      </c>
      <c r="C655" t="s">
        <v>80</v>
      </c>
      <c r="D655" t="s">
        <v>86</v>
      </c>
      <c r="E655" t="s">
        <v>106</v>
      </c>
      <c r="F655" t="s">
        <v>3</v>
      </c>
      <c r="G655" t="s">
        <v>109</v>
      </c>
      <c r="H655" s="62">
        <v>2051</v>
      </c>
      <c r="I655">
        <v>1.2121</v>
      </c>
    </row>
    <row r="656" spans="1:9">
      <c r="A656" t="s">
        <v>104</v>
      </c>
      <c r="B656" t="s">
        <v>105</v>
      </c>
      <c r="C656" t="s">
        <v>80</v>
      </c>
      <c r="D656" t="s">
        <v>86</v>
      </c>
      <c r="E656" t="s">
        <v>87</v>
      </c>
      <c r="F656" t="s">
        <v>3</v>
      </c>
      <c r="G656" t="s">
        <v>109</v>
      </c>
      <c r="H656" s="62">
        <v>2051</v>
      </c>
      <c r="I656">
        <v>7.9348000000000001</v>
      </c>
    </row>
    <row r="657" spans="1:9">
      <c r="A657" t="s">
        <v>104</v>
      </c>
      <c r="B657" t="s">
        <v>105</v>
      </c>
      <c r="C657" t="s">
        <v>80</v>
      </c>
      <c r="D657" t="s">
        <v>103</v>
      </c>
      <c r="E657" t="s">
        <v>92</v>
      </c>
      <c r="F657" t="s">
        <v>3</v>
      </c>
      <c r="G657" t="s">
        <v>109</v>
      </c>
      <c r="H657" s="62">
        <v>2051</v>
      </c>
      <c r="I657">
        <v>5.8392999999999997</v>
      </c>
    </row>
    <row r="658" spans="1:9">
      <c r="A658" t="s">
        <v>104</v>
      </c>
      <c r="B658" t="s">
        <v>105</v>
      </c>
      <c r="C658" t="s">
        <v>80</v>
      </c>
      <c r="D658" t="s">
        <v>103</v>
      </c>
      <c r="E658" t="s">
        <v>89</v>
      </c>
      <c r="F658" t="s">
        <v>3</v>
      </c>
      <c r="G658" t="s">
        <v>109</v>
      </c>
      <c r="H658" s="62">
        <v>2051</v>
      </c>
      <c r="I658">
        <v>29.5258</v>
      </c>
    </row>
    <row r="659" spans="1:9">
      <c r="A659" t="s">
        <v>104</v>
      </c>
      <c r="B659" t="s">
        <v>105</v>
      </c>
      <c r="C659" t="s">
        <v>107</v>
      </c>
      <c r="D659" t="s">
        <v>107</v>
      </c>
      <c r="E659" t="s">
        <v>107</v>
      </c>
      <c r="F659" t="s">
        <v>3</v>
      </c>
      <c r="G659" t="s">
        <v>109</v>
      </c>
      <c r="H659" s="62">
        <v>2052</v>
      </c>
      <c r="I659">
        <v>85.193100000000001</v>
      </c>
    </row>
    <row r="660" spans="1:9">
      <c r="A660" t="s">
        <v>104</v>
      </c>
      <c r="B660" t="s">
        <v>105</v>
      </c>
      <c r="C660" t="s">
        <v>107</v>
      </c>
      <c r="D660" t="s">
        <v>108</v>
      </c>
      <c r="E660" t="s">
        <v>108</v>
      </c>
      <c r="F660" t="s">
        <v>3</v>
      </c>
      <c r="G660" t="s">
        <v>109</v>
      </c>
      <c r="H660" s="62">
        <v>2052</v>
      </c>
      <c r="I660">
        <v>0.28239999999999998</v>
      </c>
    </row>
    <row r="661" spans="1:9">
      <c r="A661" t="s">
        <v>104</v>
      </c>
      <c r="B661" t="s">
        <v>105</v>
      </c>
      <c r="C661" t="s">
        <v>80</v>
      </c>
      <c r="D661" t="s">
        <v>80</v>
      </c>
      <c r="E661" t="s">
        <v>80</v>
      </c>
      <c r="F661" t="s">
        <v>3</v>
      </c>
      <c r="G661" t="s">
        <v>109</v>
      </c>
      <c r="H661" s="62">
        <v>2052</v>
      </c>
      <c r="I661">
        <v>84.910700000000006</v>
      </c>
    </row>
    <row r="662" spans="1:9">
      <c r="A662" t="s">
        <v>104</v>
      </c>
      <c r="B662" t="s">
        <v>105</v>
      </c>
      <c r="C662" t="s">
        <v>80</v>
      </c>
      <c r="D662" t="s">
        <v>89</v>
      </c>
      <c r="E662" t="s">
        <v>90</v>
      </c>
      <c r="F662" t="s">
        <v>3</v>
      </c>
      <c r="G662" t="s">
        <v>109</v>
      </c>
      <c r="H662" s="62">
        <v>2052</v>
      </c>
      <c r="I662">
        <v>-8.1415000000000006</v>
      </c>
    </row>
    <row r="663" spans="1:9">
      <c r="A663" t="s">
        <v>104</v>
      </c>
      <c r="B663" t="s">
        <v>105</v>
      </c>
      <c r="C663" t="s">
        <v>80</v>
      </c>
      <c r="D663" t="s">
        <v>89</v>
      </c>
      <c r="E663" t="s">
        <v>91</v>
      </c>
      <c r="F663" t="s">
        <v>3</v>
      </c>
      <c r="G663" t="s">
        <v>109</v>
      </c>
      <c r="H663" s="62">
        <v>2052</v>
      </c>
      <c r="I663">
        <v>1.8424</v>
      </c>
    </row>
    <row r="664" spans="1:9">
      <c r="A664" t="s">
        <v>104</v>
      </c>
      <c r="B664" t="s">
        <v>105</v>
      </c>
      <c r="C664" t="s">
        <v>80</v>
      </c>
      <c r="D664" t="s">
        <v>92</v>
      </c>
      <c r="E664" t="s">
        <v>93</v>
      </c>
      <c r="F664" t="s">
        <v>3</v>
      </c>
      <c r="G664" t="s">
        <v>109</v>
      </c>
      <c r="H664" s="62">
        <v>2052</v>
      </c>
      <c r="I664">
        <v>-11.389099999999999</v>
      </c>
    </row>
    <row r="665" spans="1:9">
      <c r="A665" t="s">
        <v>104</v>
      </c>
      <c r="B665" t="s">
        <v>105</v>
      </c>
      <c r="C665" t="s">
        <v>80</v>
      </c>
      <c r="D665" t="s">
        <v>92</v>
      </c>
      <c r="E665" t="s">
        <v>94</v>
      </c>
      <c r="F665" t="s">
        <v>3</v>
      </c>
      <c r="G665" t="s">
        <v>109</v>
      </c>
      <c r="H665" s="62">
        <v>2052</v>
      </c>
      <c r="I665">
        <v>30.728899999999999</v>
      </c>
    </row>
    <row r="666" spans="1:9">
      <c r="A666" t="s">
        <v>104</v>
      </c>
      <c r="B666" t="s">
        <v>105</v>
      </c>
      <c r="C666" t="s">
        <v>80</v>
      </c>
      <c r="D666" t="s">
        <v>92</v>
      </c>
      <c r="E666" t="s">
        <v>110</v>
      </c>
      <c r="F666" t="s">
        <v>3</v>
      </c>
      <c r="G666" t="s">
        <v>109</v>
      </c>
      <c r="H666" s="62">
        <v>2052</v>
      </c>
      <c r="I666">
        <v>0</v>
      </c>
    </row>
    <row r="667" spans="1:9">
      <c r="A667" t="s">
        <v>104</v>
      </c>
      <c r="B667" t="s">
        <v>105</v>
      </c>
      <c r="C667" t="s">
        <v>80</v>
      </c>
      <c r="D667" t="s">
        <v>92</v>
      </c>
      <c r="E667" t="s">
        <v>95</v>
      </c>
      <c r="F667" t="s">
        <v>3</v>
      </c>
      <c r="G667" t="s">
        <v>109</v>
      </c>
      <c r="H667" s="62">
        <v>2052</v>
      </c>
      <c r="I667">
        <v>19.599299999999999</v>
      </c>
    </row>
    <row r="668" spans="1:9">
      <c r="A668" t="s">
        <v>104</v>
      </c>
      <c r="B668" t="s">
        <v>105</v>
      </c>
      <c r="C668" t="s">
        <v>80</v>
      </c>
      <c r="D668" t="s">
        <v>96</v>
      </c>
      <c r="E668" t="s">
        <v>92</v>
      </c>
      <c r="F668" t="s">
        <v>3</v>
      </c>
      <c r="G668" t="s">
        <v>109</v>
      </c>
      <c r="H668" s="62">
        <v>2052</v>
      </c>
      <c r="I668">
        <v>4.6779000000000002</v>
      </c>
    </row>
    <row r="669" spans="1:9">
      <c r="A669" t="s">
        <v>104</v>
      </c>
      <c r="B669" t="s">
        <v>105</v>
      </c>
      <c r="C669" t="s">
        <v>80</v>
      </c>
      <c r="D669" t="s">
        <v>96</v>
      </c>
      <c r="E669" t="s">
        <v>89</v>
      </c>
      <c r="F669" t="s">
        <v>3</v>
      </c>
      <c r="G669" t="s">
        <v>109</v>
      </c>
      <c r="H669" s="62">
        <v>2052</v>
      </c>
      <c r="I669">
        <v>3.0238</v>
      </c>
    </row>
    <row r="670" spans="1:9">
      <c r="A670" t="s">
        <v>104</v>
      </c>
      <c r="B670" t="s">
        <v>105</v>
      </c>
      <c r="C670" t="s">
        <v>80</v>
      </c>
      <c r="D670" t="s">
        <v>97</v>
      </c>
      <c r="E670" t="s">
        <v>98</v>
      </c>
      <c r="F670" t="s">
        <v>3</v>
      </c>
      <c r="G670" t="s">
        <v>109</v>
      </c>
      <c r="H670" s="62">
        <v>2052</v>
      </c>
      <c r="I670">
        <v>25.780899999999999</v>
      </c>
    </row>
    <row r="671" spans="1:9">
      <c r="A671" t="s">
        <v>104</v>
      </c>
      <c r="B671" t="s">
        <v>105</v>
      </c>
      <c r="C671" t="s">
        <v>80</v>
      </c>
      <c r="D671" t="s">
        <v>97</v>
      </c>
      <c r="E671" t="s">
        <v>99</v>
      </c>
      <c r="F671" t="s">
        <v>3</v>
      </c>
      <c r="G671" t="s">
        <v>109</v>
      </c>
      <c r="H671" s="62">
        <v>2052</v>
      </c>
      <c r="I671">
        <v>0.36309999999999998</v>
      </c>
    </row>
    <row r="672" spans="1:9">
      <c r="A672" t="s">
        <v>104</v>
      </c>
      <c r="B672" t="s">
        <v>105</v>
      </c>
      <c r="C672" t="s">
        <v>80</v>
      </c>
      <c r="D672" t="s">
        <v>100</v>
      </c>
      <c r="E672" t="s">
        <v>101</v>
      </c>
      <c r="F672" t="s">
        <v>3</v>
      </c>
      <c r="G672" t="s">
        <v>109</v>
      </c>
      <c r="H672" s="62">
        <v>2052</v>
      </c>
      <c r="I672">
        <v>13.9841</v>
      </c>
    </row>
    <row r="673" spans="1:9">
      <c r="A673" t="s">
        <v>104</v>
      </c>
      <c r="B673" t="s">
        <v>105</v>
      </c>
      <c r="C673" t="s">
        <v>80</v>
      </c>
      <c r="D673" t="s">
        <v>100</v>
      </c>
      <c r="E673" t="s">
        <v>102</v>
      </c>
      <c r="F673" t="s">
        <v>3</v>
      </c>
      <c r="G673" t="s">
        <v>109</v>
      </c>
      <c r="H673" s="62">
        <v>2052</v>
      </c>
      <c r="I673">
        <v>0</v>
      </c>
    </row>
    <row r="674" spans="1:9">
      <c r="A674" t="s">
        <v>104</v>
      </c>
      <c r="B674" t="s">
        <v>105</v>
      </c>
      <c r="C674" t="s">
        <v>80</v>
      </c>
      <c r="D674" t="s">
        <v>100</v>
      </c>
      <c r="E674" t="s">
        <v>111</v>
      </c>
      <c r="F674" t="s">
        <v>3</v>
      </c>
      <c r="G674" t="s">
        <v>109</v>
      </c>
      <c r="H674" s="62">
        <v>2052</v>
      </c>
      <c r="I674">
        <v>0</v>
      </c>
    </row>
    <row r="675" spans="1:9">
      <c r="A675" t="s">
        <v>104</v>
      </c>
      <c r="B675" t="s">
        <v>105</v>
      </c>
      <c r="C675" t="s">
        <v>80</v>
      </c>
      <c r="D675" t="s">
        <v>100</v>
      </c>
      <c r="E675" t="s">
        <v>112</v>
      </c>
      <c r="F675" t="s">
        <v>3</v>
      </c>
      <c r="G675" t="s">
        <v>109</v>
      </c>
      <c r="H675" s="62">
        <v>2052</v>
      </c>
      <c r="I675">
        <v>0</v>
      </c>
    </row>
    <row r="676" spans="1:9">
      <c r="A676" t="s">
        <v>104</v>
      </c>
      <c r="B676" t="s">
        <v>105</v>
      </c>
      <c r="C676" t="s">
        <v>80</v>
      </c>
      <c r="D676" t="s">
        <v>83</v>
      </c>
      <c r="E676" t="s">
        <v>84</v>
      </c>
      <c r="F676" t="s">
        <v>3</v>
      </c>
      <c r="G676" t="s">
        <v>109</v>
      </c>
      <c r="H676" s="62">
        <v>2052</v>
      </c>
      <c r="I676">
        <v>2.2968000000000002</v>
      </c>
    </row>
    <row r="677" spans="1:9">
      <c r="A677" t="s">
        <v>104</v>
      </c>
      <c r="B677" t="s">
        <v>105</v>
      </c>
      <c r="C677" t="s">
        <v>80</v>
      </c>
      <c r="D677" t="s">
        <v>83</v>
      </c>
      <c r="E677" t="s">
        <v>85</v>
      </c>
      <c r="F677" t="s">
        <v>3</v>
      </c>
      <c r="G677" t="s">
        <v>109</v>
      </c>
      <c r="H677" s="62">
        <v>2052</v>
      </c>
      <c r="I677">
        <v>2.1440999999999999</v>
      </c>
    </row>
    <row r="678" spans="1:9">
      <c r="A678" t="s">
        <v>104</v>
      </c>
      <c r="B678" t="s">
        <v>105</v>
      </c>
      <c r="C678" t="s">
        <v>80</v>
      </c>
      <c r="D678" t="s">
        <v>86</v>
      </c>
      <c r="E678" t="s">
        <v>106</v>
      </c>
      <c r="F678" t="s">
        <v>3</v>
      </c>
      <c r="G678" t="s">
        <v>109</v>
      </c>
      <c r="H678" s="62">
        <v>2052</v>
      </c>
      <c r="I678">
        <v>1.2209000000000001</v>
      </c>
    </row>
    <row r="679" spans="1:9">
      <c r="A679" t="s">
        <v>104</v>
      </c>
      <c r="B679" t="s">
        <v>105</v>
      </c>
      <c r="C679" t="s">
        <v>80</v>
      </c>
      <c r="D679" t="s">
        <v>86</v>
      </c>
      <c r="E679" t="s">
        <v>87</v>
      </c>
      <c r="F679" t="s">
        <v>3</v>
      </c>
      <c r="G679" t="s">
        <v>109</v>
      </c>
      <c r="H679" s="62">
        <v>2052</v>
      </c>
      <c r="I679">
        <v>8.3257999999999992</v>
      </c>
    </row>
    <row r="680" spans="1:9">
      <c r="A680" t="s">
        <v>104</v>
      </c>
      <c r="B680" t="s">
        <v>105</v>
      </c>
      <c r="C680" t="s">
        <v>80</v>
      </c>
      <c r="D680" t="s">
        <v>103</v>
      </c>
      <c r="E680" t="s">
        <v>92</v>
      </c>
      <c r="F680" t="s">
        <v>3</v>
      </c>
      <c r="G680" t="s">
        <v>109</v>
      </c>
      <c r="H680" s="62">
        <v>2052</v>
      </c>
      <c r="I680">
        <v>6.0666000000000002</v>
      </c>
    </row>
    <row r="681" spans="1:9">
      <c r="A681" t="s">
        <v>104</v>
      </c>
      <c r="B681" t="s">
        <v>105</v>
      </c>
      <c r="C681" t="s">
        <v>80</v>
      </c>
      <c r="D681" t="s">
        <v>103</v>
      </c>
      <c r="E681" t="s">
        <v>89</v>
      </c>
      <c r="F681" t="s">
        <v>3</v>
      </c>
      <c r="G681" t="s">
        <v>109</v>
      </c>
      <c r="H681" s="62">
        <v>2052</v>
      </c>
      <c r="I681">
        <v>30.4453</v>
      </c>
    </row>
    <row r="682" spans="1:9">
      <c r="A682" t="s">
        <v>104</v>
      </c>
      <c r="B682" t="s">
        <v>105</v>
      </c>
      <c r="C682" t="s">
        <v>107</v>
      </c>
      <c r="D682" t="s">
        <v>107</v>
      </c>
      <c r="E682" t="s">
        <v>107</v>
      </c>
      <c r="F682" t="s">
        <v>3</v>
      </c>
      <c r="G682" t="s">
        <v>109</v>
      </c>
      <c r="H682" s="62">
        <v>2053</v>
      </c>
      <c r="I682">
        <v>89.029700000000005</v>
      </c>
    </row>
    <row r="683" spans="1:9">
      <c r="A683" t="s">
        <v>104</v>
      </c>
      <c r="B683" t="s">
        <v>105</v>
      </c>
      <c r="C683" t="s">
        <v>107</v>
      </c>
      <c r="D683" t="s">
        <v>108</v>
      </c>
      <c r="E683" t="s">
        <v>108</v>
      </c>
      <c r="F683" t="s">
        <v>3</v>
      </c>
      <c r="G683" t="s">
        <v>109</v>
      </c>
      <c r="H683" s="62">
        <v>2053</v>
      </c>
      <c r="I683">
        <v>0.28649999999999998</v>
      </c>
    </row>
    <row r="684" spans="1:9">
      <c r="A684" t="s">
        <v>104</v>
      </c>
      <c r="B684" t="s">
        <v>105</v>
      </c>
      <c r="C684" t="s">
        <v>80</v>
      </c>
      <c r="D684" t="s">
        <v>80</v>
      </c>
      <c r="E684" t="s">
        <v>80</v>
      </c>
      <c r="F684" t="s">
        <v>3</v>
      </c>
      <c r="G684" t="s">
        <v>109</v>
      </c>
      <c r="H684" s="62">
        <v>2053</v>
      </c>
      <c r="I684">
        <v>88.743200000000002</v>
      </c>
    </row>
    <row r="685" spans="1:9">
      <c r="A685" t="s">
        <v>104</v>
      </c>
      <c r="B685" t="s">
        <v>105</v>
      </c>
      <c r="C685" t="s">
        <v>80</v>
      </c>
      <c r="D685" t="s">
        <v>89</v>
      </c>
      <c r="E685" t="s">
        <v>90</v>
      </c>
      <c r="F685" t="s">
        <v>3</v>
      </c>
      <c r="G685" t="s">
        <v>109</v>
      </c>
      <c r="H685" s="62">
        <v>2053</v>
      </c>
      <c r="I685">
        <v>-8.4794999999999998</v>
      </c>
    </row>
    <row r="686" spans="1:9">
      <c r="A686" t="s">
        <v>104</v>
      </c>
      <c r="B686" t="s">
        <v>105</v>
      </c>
      <c r="C686" t="s">
        <v>80</v>
      </c>
      <c r="D686" t="s">
        <v>89</v>
      </c>
      <c r="E686" t="s">
        <v>91</v>
      </c>
      <c r="F686" t="s">
        <v>3</v>
      </c>
      <c r="G686" t="s">
        <v>109</v>
      </c>
      <c r="H686" s="62">
        <v>2053</v>
      </c>
      <c r="I686">
        <v>1.9843</v>
      </c>
    </row>
    <row r="687" spans="1:9">
      <c r="A687" t="s">
        <v>104</v>
      </c>
      <c r="B687" t="s">
        <v>105</v>
      </c>
      <c r="C687" t="s">
        <v>80</v>
      </c>
      <c r="D687" t="s">
        <v>92</v>
      </c>
      <c r="E687" t="s">
        <v>93</v>
      </c>
      <c r="F687" t="s">
        <v>3</v>
      </c>
      <c r="G687" t="s">
        <v>109</v>
      </c>
      <c r="H687" s="62">
        <v>2053</v>
      </c>
      <c r="I687">
        <v>-11.8796</v>
      </c>
    </row>
    <row r="688" spans="1:9">
      <c r="A688" t="s">
        <v>104</v>
      </c>
      <c r="B688" t="s">
        <v>105</v>
      </c>
      <c r="C688" t="s">
        <v>80</v>
      </c>
      <c r="D688" t="s">
        <v>92</v>
      </c>
      <c r="E688" t="s">
        <v>94</v>
      </c>
      <c r="F688" t="s">
        <v>3</v>
      </c>
      <c r="G688" t="s">
        <v>109</v>
      </c>
      <c r="H688" s="62">
        <v>2053</v>
      </c>
      <c r="I688">
        <v>30.930299999999999</v>
      </c>
    </row>
    <row r="689" spans="1:9">
      <c r="A689" t="s">
        <v>104</v>
      </c>
      <c r="B689" t="s">
        <v>105</v>
      </c>
      <c r="C689" t="s">
        <v>80</v>
      </c>
      <c r="D689" t="s">
        <v>92</v>
      </c>
      <c r="E689" t="s">
        <v>110</v>
      </c>
      <c r="F689" t="s">
        <v>3</v>
      </c>
      <c r="G689" t="s">
        <v>109</v>
      </c>
      <c r="H689" s="62">
        <v>2053</v>
      </c>
      <c r="I689">
        <v>0</v>
      </c>
    </row>
    <row r="690" spans="1:9">
      <c r="A690" t="s">
        <v>104</v>
      </c>
      <c r="B690" t="s">
        <v>105</v>
      </c>
      <c r="C690" t="s">
        <v>80</v>
      </c>
      <c r="D690" t="s">
        <v>92</v>
      </c>
      <c r="E690" t="s">
        <v>95</v>
      </c>
      <c r="F690" t="s">
        <v>3</v>
      </c>
      <c r="G690" t="s">
        <v>109</v>
      </c>
      <c r="H690" s="62">
        <v>2053</v>
      </c>
      <c r="I690">
        <v>19.8353</v>
      </c>
    </row>
    <row r="691" spans="1:9">
      <c r="A691" t="s">
        <v>104</v>
      </c>
      <c r="B691" t="s">
        <v>105</v>
      </c>
      <c r="C691" t="s">
        <v>80</v>
      </c>
      <c r="D691" t="s">
        <v>96</v>
      </c>
      <c r="E691" t="s">
        <v>92</v>
      </c>
      <c r="F691" t="s">
        <v>3</v>
      </c>
      <c r="G691" t="s">
        <v>109</v>
      </c>
      <c r="H691" s="62">
        <v>2053</v>
      </c>
      <c r="I691">
        <v>4.694</v>
      </c>
    </row>
    <row r="692" spans="1:9">
      <c r="A692" t="s">
        <v>104</v>
      </c>
      <c r="B692" t="s">
        <v>105</v>
      </c>
      <c r="C692" t="s">
        <v>80</v>
      </c>
      <c r="D692" t="s">
        <v>96</v>
      </c>
      <c r="E692" t="s">
        <v>89</v>
      </c>
      <c r="F692" t="s">
        <v>3</v>
      </c>
      <c r="G692" t="s">
        <v>109</v>
      </c>
      <c r="H692" s="62">
        <v>2053</v>
      </c>
      <c r="I692">
        <v>3.0346000000000002</v>
      </c>
    </row>
    <row r="693" spans="1:9">
      <c r="A693" t="s">
        <v>104</v>
      </c>
      <c r="B693" t="s">
        <v>105</v>
      </c>
      <c r="C693" t="s">
        <v>80</v>
      </c>
      <c r="D693" t="s">
        <v>97</v>
      </c>
      <c r="E693" t="s">
        <v>98</v>
      </c>
      <c r="F693" t="s">
        <v>3</v>
      </c>
      <c r="G693" t="s">
        <v>109</v>
      </c>
      <c r="H693" s="62">
        <v>2053</v>
      </c>
      <c r="I693">
        <v>26.935099999999998</v>
      </c>
    </row>
    <row r="694" spans="1:9">
      <c r="A694" t="s">
        <v>104</v>
      </c>
      <c r="B694" t="s">
        <v>105</v>
      </c>
      <c r="C694" t="s">
        <v>80</v>
      </c>
      <c r="D694" t="s">
        <v>97</v>
      </c>
      <c r="E694" t="s">
        <v>99</v>
      </c>
      <c r="F694" t="s">
        <v>3</v>
      </c>
      <c r="G694" t="s">
        <v>109</v>
      </c>
      <c r="H694" s="62">
        <v>2053</v>
      </c>
      <c r="I694">
        <v>0.37719999999999998</v>
      </c>
    </row>
    <row r="695" spans="1:9">
      <c r="A695" t="s">
        <v>104</v>
      </c>
      <c r="B695" t="s">
        <v>105</v>
      </c>
      <c r="C695" t="s">
        <v>80</v>
      </c>
      <c r="D695" t="s">
        <v>100</v>
      </c>
      <c r="E695" t="s">
        <v>101</v>
      </c>
      <c r="F695" t="s">
        <v>3</v>
      </c>
      <c r="G695" t="s">
        <v>109</v>
      </c>
      <c r="H695" s="62">
        <v>2053</v>
      </c>
      <c r="I695">
        <v>16.7911</v>
      </c>
    </row>
    <row r="696" spans="1:9">
      <c r="A696" t="s">
        <v>104</v>
      </c>
      <c r="B696" t="s">
        <v>105</v>
      </c>
      <c r="C696" t="s">
        <v>80</v>
      </c>
      <c r="D696" t="s">
        <v>100</v>
      </c>
      <c r="E696" t="s">
        <v>102</v>
      </c>
      <c r="F696" t="s">
        <v>3</v>
      </c>
      <c r="G696" t="s">
        <v>109</v>
      </c>
      <c r="H696" s="62">
        <v>2053</v>
      </c>
      <c r="I696">
        <v>0</v>
      </c>
    </row>
    <row r="697" spans="1:9">
      <c r="A697" t="s">
        <v>104</v>
      </c>
      <c r="B697" t="s">
        <v>105</v>
      </c>
      <c r="C697" t="s">
        <v>80</v>
      </c>
      <c r="D697" t="s">
        <v>100</v>
      </c>
      <c r="E697" t="s">
        <v>111</v>
      </c>
      <c r="F697" t="s">
        <v>3</v>
      </c>
      <c r="G697" t="s">
        <v>109</v>
      </c>
      <c r="H697" s="62">
        <v>2053</v>
      </c>
      <c r="I697">
        <v>0</v>
      </c>
    </row>
    <row r="698" spans="1:9">
      <c r="A698" t="s">
        <v>104</v>
      </c>
      <c r="B698" t="s">
        <v>105</v>
      </c>
      <c r="C698" t="s">
        <v>80</v>
      </c>
      <c r="D698" t="s">
        <v>100</v>
      </c>
      <c r="E698" t="s">
        <v>112</v>
      </c>
      <c r="F698" t="s">
        <v>3</v>
      </c>
      <c r="G698" t="s">
        <v>109</v>
      </c>
      <c r="H698" s="62">
        <v>2053</v>
      </c>
      <c r="I698">
        <v>0</v>
      </c>
    </row>
    <row r="699" spans="1:9">
      <c r="A699" t="s">
        <v>104</v>
      </c>
      <c r="B699" t="s">
        <v>105</v>
      </c>
      <c r="C699" t="s">
        <v>80</v>
      </c>
      <c r="D699" t="s">
        <v>83</v>
      </c>
      <c r="E699" t="s">
        <v>84</v>
      </c>
      <c r="F699" t="s">
        <v>3</v>
      </c>
      <c r="G699" t="s">
        <v>109</v>
      </c>
      <c r="H699" s="62">
        <v>2053</v>
      </c>
      <c r="I699">
        <v>2.3399000000000001</v>
      </c>
    </row>
    <row r="700" spans="1:9">
      <c r="A700" t="s">
        <v>104</v>
      </c>
      <c r="B700" t="s">
        <v>105</v>
      </c>
      <c r="C700" t="s">
        <v>80</v>
      </c>
      <c r="D700" t="s">
        <v>83</v>
      </c>
      <c r="E700" t="s">
        <v>85</v>
      </c>
      <c r="F700" t="s">
        <v>3</v>
      </c>
      <c r="G700" t="s">
        <v>109</v>
      </c>
      <c r="H700" s="62">
        <v>2053</v>
      </c>
      <c r="I700">
        <v>2.1806000000000001</v>
      </c>
    </row>
    <row r="701" spans="1:9">
      <c r="A701" t="s">
        <v>104</v>
      </c>
      <c r="B701" t="s">
        <v>105</v>
      </c>
      <c r="C701" t="s">
        <v>80</v>
      </c>
      <c r="D701" t="s">
        <v>86</v>
      </c>
      <c r="E701" t="s">
        <v>106</v>
      </c>
      <c r="F701" t="s">
        <v>3</v>
      </c>
      <c r="G701" t="s">
        <v>109</v>
      </c>
      <c r="H701" s="62">
        <v>2053</v>
      </c>
      <c r="I701">
        <v>1.2231000000000001</v>
      </c>
    </row>
    <row r="702" spans="1:9">
      <c r="A702" t="s">
        <v>104</v>
      </c>
      <c r="B702" t="s">
        <v>105</v>
      </c>
      <c r="C702" t="s">
        <v>80</v>
      </c>
      <c r="D702" t="s">
        <v>86</v>
      </c>
      <c r="E702" t="s">
        <v>87</v>
      </c>
      <c r="F702" t="s">
        <v>3</v>
      </c>
      <c r="G702" t="s">
        <v>109</v>
      </c>
      <c r="H702" s="62">
        <v>2053</v>
      </c>
      <c r="I702">
        <v>8.6722999999999999</v>
      </c>
    </row>
    <row r="703" spans="1:9">
      <c r="A703" t="s">
        <v>104</v>
      </c>
      <c r="B703" t="s">
        <v>105</v>
      </c>
      <c r="C703" t="s">
        <v>80</v>
      </c>
      <c r="D703" t="s">
        <v>103</v>
      </c>
      <c r="E703" t="s">
        <v>92</v>
      </c>
      <c r="F703" t="s">
        <v>3</v>
      </c>
      <c r="G703" t="s">
        <v>109</v>
      </c>
      <c r="H703" s="62">
        <v>2053</v>
      </c>
      <c r="I703">
        <v>6.2760999999999996</v>
      </c>
    </row>
    <row r="704" spans="1:9">
      <c r="A704" t="s">
        <v>104</v>
      </c>
      <c r="B704" t="s">
        <v>105</v>
      </c>
      <c r="C704" t="s">
        <v>80</v>
      </c>
      <c r="D704" t="s">
        <v>103</v>
      </c>
      <c r="E704" t="s">
        <v>89</v>
      </c>
      <c r="F704" t="s">
        <v>3</v>
      </c>
      <c r="G704" t="s">
        <v>109</v>
      </c>
      <c r="H704" s="62">
        <v>2053</v>
      </c>
      <c r="I704">
        <v>31.2729</v>
      </c>
    </row>
    <row r="705" spans="1:9">
      <c r="A705" t="s">
        <v>104</v>
      </c>
      <c r="B705" t="s">
        <v>105</v>
      </c>
      <c r="C705" t="s">
        <v>107</v>
      </c>
      <c r="D705" t="s">
        <v>107</v>
      </c>
      <c r="E705" t="s">
        <v>107</v>
      </c>
      <c r="F705" t="s">
        <v>3</v>
      </c>
      <c r="G705" t="s">
        <v>109</v>
      </c>
      <c r="H705" s="62">
        <v>2054</v>
      </c>
      <c r="I705">
        <v>90.156700000000001</v>
      </c>
    </row>
    <row r="706" spans="1:9">
      <c r="A706" t="s">
        <v>104</v>
      </c>
      <c r="B706" t="s">
        <v>105</v>
      </c>
      <c r="C706" t="s">
        <v>107</v>
      </c>
      <c r="D706" t="s">
        <v>108</v>
      </c>
      <c r="E706" t="s">
        <v>108</v>
      </c>
      <c r="F706" t="s">
        <v>3</v>
      </c>
      <c r="G706" t="s">
        <v>109</v>
      </c>
      <c r="H706" s="62">
        <v>2054</v>
      </c>
      <c r="I706">
        <v>0.29099999999999998</v>
      </c>
    </row>
    <row r="707" spans="1:9">
      <c r="A707" t="s">
        <v>104</v>
      </c>
      <c r="B707" t="s">
        <v>105</v>
      </c>
      <c r="C707" t="s">
        <v>80</v>
      </c>
      <c r="D707" t="s">
        <v>80</v>
      </c>
      <c r="E707" t="s">
        <v>80</v>
      </c>
      <c r="F707" t="s">
        <v>3</v>
      </c>
      <c r="G707" t="s">
        <v>109</v>
      </c>
      <c r="H707" s="62">
        <v>2054</v>
      </c>
      <c r="I707">
        <v>89.865700000000004</v>
      </c>
    </row>
    <row r="708" spans="1:9">
      <c r="A708" t="s">
        <v>104</v>
      </c>
      <c r="B708" t="s">
        <v>105</v>
      </c>
      <c r="C708" t="s">
        <v>80</v>
      </c>
      <c r="D708" t="s">
        <v>89</v>
      </c>
      <c r="E708" t="s">
        <v>90</v>
      </c>
      <c r="F708" t="s">
        <v>3</v>
      </c>
      <c r="G708" t="s">
        <v>109</v>
      </c>
      <c r="H708" s="62">
        <v>2054</v>
      </c>
      <c r="I708">
        <v>-8.8077000000000005</v>
      </c>
    </row>
    <row r="709" spans="1:9">
      <c r="A709" t="s">
        <v>104</v>
      </c>
      <c r="B709" t="s">
        <v>105</v>
      </c>
      <c r="C709" t="s">
        <v>80</v>
      </c>
      <c r="D709" t="s">
        <v>89</v>
      </c>
      <c r="E709" t="s">
        <v>91</v>
      </c>
      <c r="F709" t="s">
        <v>3</v>
      </c>
      <c r="G709" t="s">
        <v>109</v>
      </c>
      <c r="H709" s="62">
        <v>2054</v>
      </c>
      <c r="I709">
        <v>2.1337000000000002</v>
      </c>
    </row>
    <row r="710" spans="1:9">
      <c r="A710" t="s">
        <v>104</v>
      </c>
      <c r="B710" t="s">
        <v>105</v>
      </c>
      <c r="C710" t="s">
        <v>80</v>
      </c>
      <c r="D710" t="s">
        <v>92</v>
      </c>
      <c r="E710" t="s">
        <v>93</v>
      </c>
      <c r="F710" t="s">
        <v>3</v>
      </c>
      <c r="G710" t="s">
        <v>109</v>
      </c>
      <c r="H710" s="62">
        <v>2054</v>
      </c>
      <c r="I710">
        <v>-12.4079</v>
      </c>
    </row>
    <row r="711" spans="1:9">
      <c r="A711" t="s">
        <v>104</v>
      </c>
      <c r="B711" t="s">
        <v>105</v>
      </c>
      <c r="C711" t="s">
        <v>80</v>
      </c>
      <c r="D711" t="s">
        <v>92</v>
      </c>
      <c r="E711" t="s">
        <v>94</v>
      </c>
      <c r="F711" t="s">
        <v>3</v>
      </c>
      <c r="G711" t="s">
        <v>109</v>
      </c>
      <c r="H711" s="62">
        <v>2054</v>
      </c>
      <c r="I711">
        <v>31.138300000000001</v>
      </c>
    </row>
    <row r="712" spans="1:9">
      <c r="A712" t="s">
        <v>104</v>
      </c>
      <c r="B712" t="s">
        <v>105</v>
      </c>
      <c r="C712" t="s">
        <v>80</v>
      </c>
      <c r="D712" t="s">
        <v>92</v>
      </c>
      <c r="E712" t="s">
        <v>110</v>
      </c>
      <c r="F712" t="s">
        <v>3</v>
      </c>
      <c r="G712" t="s">
        <v>109</v>
      </c>
      <c r="H712" s="62">
        <v>2054</v>
      </c>
      <c r="I712">
        <v>0</v>
      </c>
    </row>
    <row r="713" spans="1:9">
      <c r="A713" t="s">
        <v>104</v>
      </c>
      <c r="B713" t="s">
        <v>105</v>
      </c>
      <c r="C713" t="s">
        <v>80</v>
      </c>
      <c r="D713" t="s">
        <v>92</v>
      </c>
      <c r="E713" t="s">
        <v>95</v>
      </c>
      <c r="F713" t="s">
        <v>3</v>
      </c>
      <c r="G713" t="s">
        <v>109</v>
      </c>
      <c r="H713" s="62">
        <v>2054</v>
      </c>
      <c r="I713">
        <v>20.0792</v>
      </c>
    </row>
    <row r="714" spans="1:9">
      <c r="A714" t="s">
        <v>104</v>
      </c>
      <c r="B714" t="s">
        <v>105</v>
      </c>
      <c r="C714" t="s">
        <v>80</v>
      </c>
      <c r="D714" t="s">
        <v>96</v>
      </c>
      <c r="E714" t="s">
        <v>92</v>
      </c>
      <c r="F714" t="s">
        <v>3</v>
      </c>
      <c r="G714" t="s">
        <v>109</v>
      </c>
      <c r="H714" s="62">
        <v>2054</v>
      </c>
      <c r="I714">
        <v>4.7206999999999999</v>
      </c>
    </row>
    <row r="715" spans="1:9">
      <c r="A715" t="s">
        <v>104</v>
      </c>
      <c r="B715" t="s">
        <v>105</v>
      </c>
      <c r="C715" t="s">
        <v>80</v>
      </c>
      <c r="D715" t="s">
        <v>96</v>
      </c>
      <c r="E715" t="s">
        <v>89</v>
      </c>
      <c r="F715" t="s">
        <v>3</v>
      </c>
      <c r="G715" t="s">
        <v>109</v>
      </c>
      <c r="H715" s="62">
        <v>2054</v>
      </c>
      <c r="I715">
        <v>3.0440999999999998</v>
      </c>
    </row>
    <row r="716" spans="1:9">
      <c r="A716" t="s">
        <v>104</v>
      </c>
      <c r="B716" t="s">
        <v>105</v>
      </c>
      <c r="C716" t="s">
        <v>80</v>
      </c>
      <c r="D716" t="s">
        <v>97</v>
      </c>
      <c r="E716" t="s">
        <v>98</v>
      </c>
      <c r="F716" t="s">
        <v>3</v>
      </c>
      <c r="G716" t="s">
        <v>109</v>
      </c>
      <c r="H716" s="62">
        <v>2054</v>
      </c>
      <c r="I716">
        <v>28.1739</v>
      </c>
    </row>
    <row r="717" spans="1:9">
      <c r="A717" t="s">
        <v>104</v>
      </c>
      <c r="B717" t="s">
        <v>105</v>
      </c>
      <c r="C717" t="s">
        <v>80</v>
      </c>
      <c r="D717" t="s">
        <v>97</v>
      </c>
      <c r="E717" t="s">
        <v>99</v>
      </c>
      <c r="F717" t="s">
        <v>3</v>
      </c>
      <c r="G717" t="s">
        <v>109</v>
      </c>
      <c r="H717" s="62">
        <v>2054</v>
      </c>
      <c r="I717">
        <v>0.39219999999999999</v>
      </c>
    </row>
    <row r="718" spans="1:9">
      <c r="A718" t="s">
        <v>104</v>
      </c>
      <c r="B718" t="s">
        <v>105</v>
      </c>
      <c r="C718" t="s">
        <v>80</v>
      </c>
      <c r="D718" t="s">
        <v>100</v>
      </c>
      <c r="E718" t="s">
        <v>101</v>
      </c>
      <c r="F718" t="s">
        <v>3</v>
      </c>
      <c r="G718" t="s">
        <v>109</v>
      </c>
      <c r="H718" s="62">
        <v>2054</v>
      </c>
      <c r="I718">
        <v>16.7911</v>
      </c>
    </row>
    <row r="719" spans="1:9">
      <c r="A719" t="s">
        <v>104</v>
      </c>
      <c r="B719" t="s">
        <v>105</v>
      </c>
      <c r="C719" t="s">
        <v>80</v>
      </c>
      <c r="D719" t="s">
        <v>100</v>
      </c>
      <c r="E719" t="s">
        <v>102</v>
      </c>
      <c r="F719" t="s">
        <v>3</v>
      </c>
      <c r="G719" t="s">
        <v>109</v>
      </c>
      <c r="H719" s="62">
        <v>2054</v>
      </c>
      <c r="I719">
        <v>0</v>
      </c>
    </row>
    <row r="720" spans="1:9">
      <c r="A720" t="s">
        <v>104</v>
      </c>
      <c r="B720" t="s">
        <v>105</v>
      </c>
      <c r="C720" t="s">
        <v>80</v>
      </c>
      <c r="D720" t="s">
        <v>100</v>
      </c>
      <c r="E720" t="s">
        <v>111</v>
      </c>
      <c r="F720" t="s">
        <v>3</v>
      </c>
      <c r="G720" t="s">
        <v>109</v>
      </c>
      <c r="H720" s="62">
        <v>2054</v>
      </c>
      <c r="I720">
        <v>0</v>
      </c>
    </row>
    <row r="721" spans="1:9">
      <c r="A721" t="s">
        <v>104</v>
      </c>
      <c r="B721" t="s">
        <v>105</v>
      </c>
      <c r="C721" t="s">
        <v>80</v>
      </c>
      <c r="D721" t="s">
        <v>100</v>
      </c>
      <c r="E721" t="s">
        <v>112</v>
      </c>
      <c r="F721" t="s">
        <v>3</v>
      </c>
      <c r="G721" t="s">
        <v>109</v>
      </c>
      <c r="H721" s="62">
        <v>2054</v>
      </c>
      <c r="I721">
        <v>0</v>
      </c>
    </row>
    <row r="722" spans="1:9">
      <c r="A722" t="s">
        <v>104</v>
      </c>
      <c r="B722" t="s">
        <v>105</v>
      </c>
      <c r="C722" t="s">
        <v>80</v>
      </c>
      <c r="D722" t="s">
        <v>83</v>
      </c>
      <c r="E722" t="s">
        <v>84</v>
      </c>
      <c r="F722" t="s">
        <v>3</v>
      </c>
      <c r="G722" t="s">
        <v>109</v>
      </c>
      <c r="H722" s="62">
        <v>2054</v>
      </c>
      <c r="I722">
        <v>2.3875000000000002</v>
      </c>
    </row>
    <row r="723" spans="1:9">
      <c r="A723" t="s">
        <v>104</v>
      </c>
      <c r="B723" t="s">
        <v>105</v>
      </c>
      <c r="C723" t="s">
        <v>80</v>
      </c>
      <c r="D723" t="s">
        <v>83</v>
      </c>
      <c r="E723" t="s">
        <v>85</v>
      </c>
      <c r="F723" t="s">
        <v>3</v>
      </c>
      <c r="G723" t="s">
        <v>109</v>
      </c>
      <c r="H723" s="62">
        <v>2054</v>
      </c>
      <c r="I723">
        <v>2.2204999999999999</v>
      </c>
    </row>
    <row r="724" spans="1:9">
      <c r="A724" t="s">
        <v>104</v>
      </c>
      <c r="B724" t="s">
        <v>105</v>
      </c>
      <c r="C724" t="s">
        <v>80</v>
      </c>
      <c r="D724" t="s">
        <v>86</v>
      </c>
      <c r="E724" t="s">
        <v>106</v>
      </c>
      <c r="F724" t="s">
        <v>3</v>
      </c>
      <c r="G724" t="s">
        <v>109</v>
      </c>
      <c r="H724" s="62">
        <v>2054</v>
      </c>
      <c r="I724">
        <v>1.2285999999999999</v>
      </c>
    </row>
    <row r="725" spans="1:9">
      <c r="A725" t="s">
        <v>104</v>
      </c>
      <c r="B725" t="s">
        <v>105</v>
      </c>
      <c r="C725" t="s">
        <v>80</v>
      </c>
      <c r="D725" t="s">
        <v>86</v>
      </c>
      <c r="E725" t="s">
        <v>87</v>
      </c>
      <c r="F725" t="s">
        <v>3</v>
      </c>
      <c r="G725" t="s">
        <v>109</v>
      </c>
      <c r="H725" s="62">
        <v>2054</v>
      </c>
      <c r="I725">
        <v>9.0456000000000003</v>
      </c>
    </row>
    <row r="726" spans="1:9">
      <c r="A726" t="s">
        <v>104</v>
      </c>
      <c r="B726" t="s">
        <v>105</v>
      </c>
      <c r="C726" t="s">
        <v>80</v>
      </c>
      <c r="D726" t="s">
        <v>103</v>
      </c>
      <c r="E726" t="s">
        <v>92</v>
      </c>
      <c r="F726" t="s">
        <v>3</v>
      </c>
      <c r="G726" t="s">
        <v>109</v>
      </c>
      <c r="H726" s="62">
        <v>2054</v>
      </c>
      <c r="I726">
        <v>6.4873000000000003</v>
      </c>
    </row>
    <row r="727" spans="1:9">
      <c r="A727" t="s">
        <v>104</v>
      </c>
      <c r="B727" t="s">
        <v>105</v>
      </c>
      <c r="C727" t="s">
        <v>80</v>
      </c>
      <c r="D727" t="s">
        <v>103</v>
      </c>
      <c r="E727" t="s">
        <v>89</v>
      </c>
      <c r="F727" t="s">
        <v>3</v>
      </c>
      <c r="G727" t="s">
        <v>109</v>
      </c>
      <c r="H727" s="62">
        <v>2054</v>
      </c>
      <c r="I727">
        <v>32.107900000000001</v>
      </c>
    </row>
    <row r="728" spans="1:9">
      <c r="A728" t="s">
        <v>104</v>
      </c>
      <c r="B728" t="s">
        <v>105</v>
      </c>
      <c r="C728" t="s">
        <v>107</v>
      </c>
      <c r="D728" t="s">
        <v>108</v>
      </c>
      <c r="E728" t="s">
        <v>108</v>
      </c>
      <c r="F728" t="s">
        <v>1</v>
      </c>
      <c r="G728" t="s">
        <v>82</v>
      </c>
      <c r="H728" s="62">
        <v>2019</v>
      </c>
      <c r="I728">
        <v>3.387</v>
      </c>
    </row>
    <row r="729" spans="1:9">
      <c r="A729" t="s">
        <v>104</v>
      </c>
      <c r="B729" t="s">
        <v>105</v>
      </c>
      <c r="C729" t="s">
        <v>80</v>
      </c>
      <c r="D729" t="s">
        <v>80</v>
      </c>
      <c r="E729" t="s">
        <v>80</v>
      </c>
      <c r="F729" t="s">
        <v>1</v>
      </c>
      <c r="G729" t="s">
        <v>82</v>
      </c>
      <c r="H729" s="62">
        <v>2019</v>
      </c>
      <c r="I729">
        <v>51.474499999999999</v>
      </c>
    </row>
    <row r="730" spans="1:9">
      <c r="A730" t="s">
        <v>104</v>
      </c>
      <c r="B730" t="s">
        <v>105</v>
      </c>
      <c r="C730" t="s">
        <v>80</v>
      </c>
      <c r="D730" t="s">
        <v>83</v>
      </c>
      <c r="E730" t="s">
        <v>84</v>
      </c>
      <c r="F730" t="s">
        <v>1</v>
      </c>
      <c r="G730" t="s">
        <v>82</v>
      </c>
      <c r="H730" s="62">
        <v>2019</v>
      </c>
      <c r="I730">
        <v>1.6257999999999999</v>
      </c>
    </row>
    <row r="731" spans="1:9">
      <c r="A731" t="s">
        <v>104</v>
      </c>
      <c r="B731" t="s">
        <v>105</v>
      </c>
      <c r="C731" t="s">
        <v>80</v>
      </c>
      <c r="D731" t="s">
        <v>83</v>
      </c>
      <c r="E731" t="s">
        <v>85</v>
      </c>
      <c r="F731" t="s">
        <v>1</v>
      </c>
      <c r="G731" t="s">
        <v>82</v>
      </c>
      <c r="H731" s="62">
        <v>2019</v>
      </c>
      <c r="I731">
        <v>1.3283</v>
      </c>
    </row>
    <row r="732" spans="1:9">
      <c r="A732" t="s">
        <v>104</v>
      </c>
      <c r="B732" t="s">
        <v>105</v>
      </c>
      <c r="C732" t="s">
        <v>80</v>
      </c>
      <c r="D732" t="s">
        <v>86</v>
      </c>
      <c r="E732" t="s">
        <v>106</v>
      </c>
      <c r="F732" t="s">
        <v>1</v>
      </c>
      <c r="G732" t="s">
        <v>82</v>
      </c>
      <c r="H732" s="62">
        <v>2019</v>
      </c>
      <c r="I732">
        <v>2.1684999999999999</v>
      </c>
    </row>
    <row r="733" spans="1:9">
      <c r="A733" t="s">
        <v>104</v>
      </c>
      <c r="B733" t="s">
        <v>105</v>
      </c>
      <c r="C733" t="s">
        <v>80</v>
      </c>
      <c r="D733" t="s">
        <v>86</v>
      </c>
      <c r="E733" t="s">
        <v>87</v>
      </c>
      <c r="F733" t="s">
        <v>1</v>
      </c>
      <c r="G733" t="s">
        <v>82</v>
      </c>
      <c r="H733" s="62">
        <v>2019</v>
      </c>
      <c r="I733">
        <v>0.24079999999999999</v>
      </c>
    </row>
    <row r="734" spans="1:9">
      <c r="A734" t="s">
        <v>104</v>
      </c>
      <c r="B734" t="s">
        <v>105</v>
      </c>
      <c r="C734" t="s">
        <v>107</v>
      </c>
      <c r="D734" t="s">
        <v>108</v>
      </c>
      <c r="E734" t="s">
        <v>108</v>
      </c>
      <c r="F734" t="s">
        <v>1</v>
      </c>
      <c r="G734" t="s">
        <v>82</v>
      </c>
      <c r="H734" s="62">
        <v>2020</v>
      </c>
      <c r="I734">
        <v>3.1615000000000002</v>
      </c>
    </row>
    <row r="735" spans="1:9">
      <c r="A735" t="s">
        <v>104</v>
      </c>
      <c r="B735" t="s">
        <v>105</v>
      </c>
      <c r="C735" t="s">
        <v>80</v>
      </c>
      <c r="D735" t="s">
        <v>80</v>
      </c>
      <c r="E735" t="s">
        <v>80</v>
      </c>
      <c r="F735" t="s">
        <v>1</v>
      </c>
      <c r="G735" t="s">
        <v>82</v>
      </c>
      <c r="H735" s="62">
        <v>2020</v>
      </c>
      <c r="I735">
        <v>51.017600000000002</v>
      </c>
    </row>
    <row r="736" spans="1:9">
      <c r="A736" t="s">
        <v>104</v>
      </c>
      <c r="B736" t="s">
        <v>105</v>
      </c>
      <c r="C736" t="s">
        <v>80</v>
      </c>
      <c r="D736" t="s">
        <v>83</v>
      </c>
      <c r="E736" t="s">
        <v>84</v>
      </c>
      <c r="F736" t="s">
        <v>1</v>
      </c>
      <c r="G736" t="s">
        <v>82</v>
      </c>
      <c r="H736" s="62">
        <v>2020</v>
      </c>
      <c r="I736">
        <v>1.5610999999999999</v>
      </c>
    </row>
    <row r="737" spans="1:9">
      <c r="A737" t="s">
        <v>104</v>
      </c>
      <c r="B737" t="s">
        <v>105</v>
      </c>
      <c r="C737" t="s">
        <v>80</v>
      </c>
      <c r="D737" t="s">
        <v>83</v>
      </c>
      <c r="E737" t="s">
        <v>85</v>
      </c>
      <c r="F737" t="s">
        <v>1</v>
      </c>
      <c r="G737" t="s">
        <v>82</v>
      </c>
      <c r="H737" s="62">
        <v>2020</v>
      </c>
      <c r="I737">
        <v>1.1377999999999999</v>
      </c>
    </row>
    <row r="738" spans="1:9">
      <c r="A738" t="s">
        <v>104</v>
      </c>
      <c r="B738" t="s">
        <v>105</v>
      </c>
      <c r="C738" t="s">
        <v>80</v>
      </c>
      <c r="D738" t="s">
        <v>86</v>
      </c>
      <c r="E738" t="s">
        <v>106</v>
      </c>
      <c r="F738" t="s">
        <v>1</v>
      </c>
      <c r="G738" t="s">
        <v>82</v>
      </c>
      <c r="H738" s="62">
        <v>2020</v>
      </c>
      <c r="I738">
        <v>2.1280000000000001</v>
      </c>
    </row>
    <row r="739" spans="1:9">
      <c r="A739" t="s">
        <v>104</v>
      </c>
      <c r="B739" t="s">
        <v>105</v>
      </c>
      <c r="C739" t="s">
        <v>80</v>
      </c>
      <c r="D739" t="s">
        <v>86</v>
      </c>
      <c r="E739" t="s">
        <v>87</v>
      </c>
      <c r="F739" t="s">
        <v>1</v>
      </c>
      <c r="G739" t="s">
        <v>82</v>
      </c>
      <c r="H739" s="62">
        <v>2020</v>
      </c>
      <c r="I739">
        <v>0.31950000000000001</v>
      </c>
    </row>
    <row r="740" spans="1:9">
      <c r="A740" t="s">
        <v>104</v>
      </c>
      <c r="B740" t="s">
        <v>105</v>
      </c>
      <c r="C740" t="s">
        <v>107</v>
      </c>
      <c r="D740" t="s">
        <v>108</v>
      </c>
      <c r="E740" t="s">
        <v>108</v>
      </c>
      <c r="F740" t="s">
        <v>1</v>
      </c>
      <c r="G740" t="s">
        <v>82</v>
      </c>
      <c r="H740" s="62">
        <v>2021</v>
      </c>
      <c r="I740">
        <v>3.0295999999999998</v>
      </c>
    </row>
    <row r="741" spans="1:9">
      <c r="A741" t="s">
        <v>104</v>
      </c>
      <c r="B741" t="s">
        <v>105</v>
      </c>
      <c r="C741" t="s">
        <v>80</v>
      </c>
      <c r="D741" t="s">
        <v>80</v>
      </c>
      <c r="E741" t="s">
        <v>80</v>
      </c>
      <c r="F741" t="s">
        <v>1</v>
      </c>
      <c r="G741" t="s">
        <v>82</v>
      </c>
      <c r="H741" s="62">
        <v>2021</v>
      </c>
      <c r="I741">
        <v>50.385599999999997</v>
      </c>
    </row>
    <row r="742" spans="1:9">
      <c r="A742" t="s">
        <v>104</v>
      </c>
      <c r="B742" t="s">
        <v>105</v>
      </c>
      <c r="C742" t="s">
        <v>80</v>
      </c>
      <c r="D742" t="s">
        <v>83</v>
      </c>
      <c r="E742" t="s">
        <v>84</v>
      </c>
      <c r="F742" t="s">
        <v>1</v>
      </c>
      <c r="G742" t="s">
        <v>82</v>
      </c>
      <c r="H742" s="62">
        <v>2021</v>
      </c>
      <c r="I742">
        <v>1.5784</v>
      </c>
    </row>
    <row r="743" spans="1:9">
      <c r="A743" t="s">
        <v>104</v>
      </c>
      <c r="B743" t="s">
        <v>105</v>
      </c>
      <c r="C743" t="s">
        <v>80</v>
      </c>
      <c r="D743" t="s">
        <v>83</v>
      </c>
      <c r="E743" t="s">
        <v>85</v>
      </c>
      <c r="F743" t="s">
        <v>1</v>
      </c>
      <c r="G743" t="s">
        <v>82</v>
      </c>
      <c r="H743" s="62">
        <v>2021</v>
      </c>
      <c r="I743">
        <v>1.1842999999999999</v>
      </c>
    </row>
    <row r="744" spans="1:9">
      <c r="A744" t="s">
        <v>104</v>
      </c>
      <c r="B744" t="s">
        <v>105</v>
      </c>
      <c r="C744" t="s">
        <v>80</v>
      </c>
      <c r="D744" t="s">
        <v>86</v>
      </c>
      <c r="E744" t="s">
        <v>106</v>
      </c>
      <c r="F744" t="s">
        <v>1</v>
      </c>
      <c r="G744" t="s">
        <v>82</v>
      </c>
      <c r="H744" s="62">
        <v>2021</v>
      </c>
      <c r="I744">
        <v>1.8067</v>
      </c>
    </row>
    <row r="745" spans="1:9">
      <c r="A745" t="s">
        <v>104</v>
      </c>
      <c r="B745" t="s">
        <v>105</v>
      </c>
      <c r="C745" t="s">
        <v>80</v>
      </c>
      <c r="D745" t="s">
        <v>86</v>
      </c>
      <c r="E745" t="s">
        <v>87</v>
      </c>
      <c r="F745" t="s">
        <v>1</v>
      </c>
      <c r="G745" t="s">
        <v>82</v>
      </c>
      <c r="H745" s="62">
        <v>2021</v>
      </c>
      <c r="I745">
        <v>0.35189999999999999</v>
      </c>
    </row>
    <row r="746" spans="1:9">
      <c r="A746" t="s">
        <v>104</v>
      </c>
      <c r="B746" t="s">
        <v>105</v>
      </c>
      <c r="C746" t="s">
        <v>107</v>
      </c>
      <c r="D746" t="s">
        <v>108</v>
      </c>
      <c r="E746" t="s">
        <v>108</v>
      </c>
      <c r="F746" t="s">
        <v>1</v>
      </c>
      <c r="G746" t="s">
        <v>82</v>
      </c>
      <c r="H746" s="62">
        <v>2022</v>
      </c>
      <c r="I746">
        <v>2.9496000000000002</v>
      </c>
    </row>
    <row r="747" spans="1:9">
      <c r="A747" t="s">
        <v>104</v>
      </c>
      <c r="B747" t="s">
        <v>105</v>
      </c>
      <c r="C747" t="s">
        <v>80</v>
      </c>
      <c r="D747" t="s">
        <v>80</v>
      </c>
      <c r="E747" t="s">
        <v>80</v>
      </c>
      <c r="F747" t="s">
        <v>1</v>
      </c>
      <c r="G747" t="s">
        <v>82</v>
      </c>
      <c r="H747" s="62">
        <v>2022</v>
      </c>
      <c r="I747">
        <v>50.788899999999998</v>
      </c>
    </row>
    <row r="748" spans="1:9">
      <c r="A748" t="s">
        <v>104</v>
      </c>
      <c r="B748" t="s">
        <v>105</v>
      </c>
      <c r="C748" t="s">
        <v>80</v>
      </c>
      <c r="D748" t="s">
        <v>83</v>
      </c>
      <c r="E748" t="s">
        <v>84</v>
      </c>
      <c r="F748" t="s">
        <v>1</v>
      </c>
      <c r="G748" t="s">
        <v>82</v>
      </c>
      <c r="H748" s="62">
        <v>2022</v>
      </c>
      <c r="I748">
        <v>1.6313</v>
      </c>
    </row>
    <row r="749" spans="1:9">
      <c r="A749" t="s">
        <v>104</v>
      </c>
      <c r="B749" t="s">
        <v>105</v>
      </c>
      <c r="C749" t="s">
        <v>80</v>
      </c>
      <c r="D749" t="s">
        <v>83</v>
      </c>
      <c r="E749" t="s">
        <v>85</v>
      </c>
      <c r="F749" t="s">
        <v>1</v>
      </c>
      <c r="G749" t="s">
        <v>82</v>
      </c>
      <c r="H749" s="62">
        <v>2022</v>
      </c>
      <c r="I749">
        <v>1.1785000000000001</v>
      </c>
    </row>
    <row r="750" spans="1:9">
      <c r="A750" t="s">
        <v>104</v>
      </c>
      <c r="B750" t="s">
        <v>105</v>
      </c>
      <c r="C750" t="s">
        <v>80</v>
      </c>
      <c r="D750" t="s">
        <v>86</v>
      </c>
      <c r="E750" t="s">
        <v>106</v>
      </c>
      <c r="F750" t="s">
        <v>1</v>
      </c>
      <c r="G750" t="s">
        <v>82</v>
      </c>
      <c r="H750" s="62">
        <v>2022</v>
      </c>
      <c r="I750">
        <v>1.4974000000000001</v>
      </c>
    </row>
    <row r="751" spans="1:9">
      <c r="A751" t="s">
        <v>104</v>
      </c>
      <c r="B751" t="s">
        <v>105</v>
      </c>
      <c r="C751" t="s">
        <v>80</v>
      </c>
      <c r="D751" t="s">
        <v>86</v>
      </c>
      <c r="E751" t="s">
        <v>87</v>
      </c>
      <c r="F751" t="s">
        <v>1</v>
      </c>
      <c r="G751" t="s">
        <v>82</v>
      </c>
      <c r="H751" s="62">
        <v>2022</v>
      </c>
      <c r="I751">
        <v>0.3765</v>
      </c>
    </row>
    <row r="752" spans="1:9">
      <c r="A752" t="s">
        <v>104</v>
      </c>
      <c r="B752" t="s">
        <v>105</v>
      </c>
      <c r="C752" t="s">
        <v>107</v>
      </c>
      <c r="D752" t="s">
        <v>108</v>
      </c>
      <c r="E752" t="s">
        <v>108</v>
      </c>
      <c r="F752" t="s">
        <v>1</v>
      </c>
      <c r="G752" t="s">
        <v>82</v>
      </c>
      <c r="H752" s="62">
        <v>2023</v>
      </c>
      <c r="I752">
        <v>2.891</v>
      </c>
    </row>
    <row r="753" spans="1:9">
      <c r="A753" t="s">
        <v>104</v>
      </c>
      <c r="B753" t="s">
        <v>105</v>
      </c>
      <c r="C753" t="s">
        <v>80</v>
      </c>
      <c r="D753" t="s">
        <v>80</v>
      </c>
      <c r="E753" t="s">
        <v>80</v>
      </c>
      <c r="F753" t="s">
        <v>1</v>
      </c>
      <c r="G753" t="s">
        <v>82</v>
      </c>
      <c r="H753" s="62">
        <v>2023</v>
      </c>
      <c r="I753">
        <v>49.801400000000001</v>
      </c>
    </row>
    <row r="754" spans="1:9">
      <c r="A754" t="s">
        <v>104</v>
      </c>
      <c r="B754" t="s">
        <v>105</v>
      </c>
      <c r="C754" t="s">
        <v>80</v>
      </c>
      <c r="D754" t="s">
        <v>83</v>
      </c>
      <c r="E754" t="s">
        <v>84</v>
      </c>
      <c r="F754" t="s">
        <v>1</v>
      </c>
      <c r="G754" t="s">
        <v>82</v>
      </c>
      <c r="H754" s="62">
        <v>2023</v>
      </c>
      <c r="I754">
        <v>1.4165000000000001</v>
      </c>
    </row>
    <row r="755" spans="1:9">
      <c r="A755" t="s">
        <v>104</v>
      </c>
      <c r="B755" t="s">
        <v>105</v>
      </c>
      <c r="C755" t="s">
        <v>80</v>
      </c>
      <c r="D755" t="s">
        <v>83</v>
      </c>
      <c r="E755" t="s">
        <v>85</v>
      </c>
      <c r="F755" t="s">
        <v>1</v>
      </c>
      <c r="G755" t="s">
        <v>82</v>
      </c>
      <c r="H755" s="62">
        <v>2023</v>
      </c>
      <c r="I755">
        <v>1.1555</v>
      </c>
    </row>
    <row r="756" spans="1:9">
      <c r="A756" t="s">
        <v>104</v>
      </c>
      <c r="B756" t="s">
        <v>105</v>
      </c>
      <c r="C756" t="s">
        <v>80</v>
      </c>
      <c r="D756" t="s">
        <v>86</v>
      </c>
      <c r="E756" t="s">
        <v>106</v>
      </c>
      <c r="F756" t="s">
        <v>1</v>
      </c>
      <c r="G756" t="s">
        <v>82</v>
      </c>
      <c r="H756" s="62">
        <v>2023</v>
      </c>
      <c r="I756">
        <v>1.4968999999999999</v>
      </c>
    </row>
    <row r="757" spans="1:9">
      <c r="A757" t="s">
        <v>104</v>
      </c>
      <c r="B757" t="s">
        <v>105</v>
      </c>
      <c r="C757" t="s">
        <v>80</v>
      </c>
      <c r="D757" t="s">
        <v>86</v>
      </c>
      <c r="E757" t="s">
        <v>87</v>
      </c>
      <c r="F757" t="s">
        <v>1</v>
      </c>
      <c r="G757" t="s">
        <v>82</v>
      </c>
      <c r="H757" s="62">
        <v>2023</v>
      </c>
      <c r="I757">
        <v>0.4229</v>
      </c>
    </row>
    <row r="758" spans="1:9">
      <c r="A758" t="s">
        <v>104</v>
      </c>
      <c r="B758" t="s">
        <v>105</v>
      </c>
      <c r="C758" t="s">
        <v>107</v>
      </c>
      <c r="D758" t="s">
        <v>108</v>
      </c>
      <c r="E758" t="s">
        <v>108</v>
      </c>
      <c r="F758" t="s">
        <v>1</v>
      </c>
      <c r="G758" t="s">
        <v>82</v>
      </c>
      <c r="H758" s="62">
        <v>2024</v>
      </c>
      <c r="I758">
        <v>2.8683999999999998</v>
      </c>
    </row>
    <row r="759" spans="1:9">
      <c r="A759" t="s">
        <v>104</v>
      </c>
      <c r="B759" t="s">
        <v>105</v>
      </c>
      <c r="C759" t="s">
        <v>80</v>
      </c>
      <c r="D759" t="s">
        <v>80</v>
      </c>
      <c r="E759" t="s">
        <v>80</v>
      </c>
      <c r="F759" t="s">
        <v>1</v>
      </c>
      <c r="G759" t="s">
        <v>82</v>
      </c>
      <c r="H759" s="62">
        <v>2024</v>
      </c>
      <c r="I759">
        <v>52.267200000000003</v>
      </c>
    </row>
    <row r="760" spans="1:9">
      <c r="A760" t="s">
        <v>104</v>
      </c>
      <c r="B760" t="s">
        <v>105</v>
      </c>
      <c r="C760" t="s">
        <v>80</v>
      </c>
      <c r="D760" t="s">
        <v>83</v>
      </c>
      <c r="E760" t="s">
        <v>84</v>
      </c>
      <c r="F760" t="s">
        <v>1</v>
      </c>
      <c r="G760" t="s">
        <v>82</v>
      </c>
      <c r="H760" s="62">
        <v>2024</v>
      </c>
      <c r="I760">
        <v>1.4507000000000001</v>
      </c>
    </row>
    <row r="761" spans="1:9">
      <c r="A761" t="s">
        <v>104</v>
      </c>
      <c r="B761" t="s">
        <v>105</v>
      </c>
      <c r="C761" t="s">
        <v>80</v>
      </c>
      <c r="D761" t="s">
        <v>83</v>
      </c>
      <c r="E761" t="s">
        <v>85</v>
      </c>
      <c r="F761" t="s">
        <v>1</v>
      </c>
      <c r="G761" t="s">
        <v>82</v>
      </c>
      <c r="H761" s="62">
        <v>2024</v>
      </c>
      <c r="I761">
        <v>1.2125999999999999</v>
      </c>
    </row>
    <row r="762" spans="1:9">
      <c r="A762" t="s">
        <v>104</v>
      </c>
      <c r="B762" t="s">
        <v>105</v>
      </c>
      <c r="C762" t="s">
        <v>80</v>
      </c>
      <c r="D762" t="s">
        <v>86</v>
      </c>
      <c r="E762" t="s">
        <v>106</v>
      </c>
      <c r="F762" t="s">
        <v>1</v>
      </c>
      <c r="G762" t="s">
        <v>82</v>
      </c>
      <c r="H762" s="62">
        <v>2024</v>
      </c>
      <c r="I762">
        <v>1.5025999999999999</v>
      </c>
    </row>
    <row r="763" spans="1:9">
      <c r="A763" t="s">
        <v>104</v>
      </c>
      <c r="B763" t="s">
        <v>105</v>
      </c>
      <c r="C763" t="s">
        <v>80</v>
      </c>
      <c r="D763" t="s">
        <v>86</v>
      </c>
      <c r="E763" t="s">
        <v>87</v>
      </c>
      <c r="F763" t="s">
        <v>1</v>
      </c>
      <c r="G763" t="s">
        <v>82</v>
      </c>
      <c r="H763" s="62">
        <v>2024</v>
      </c>
      <c r="I763">
        <v>0.46600000000000003</v>
      </c>
    </row>
    <row r="764" spans="1:9">
      <c r="A764" t="s">
        <v>104</v>
      </c>
      <c r="B764" t="s">
        <v>105</v>
      </c>
      <c r="C764" t="s">
        <v>107</v>
      </c>
      <c r="D764" t="s">
        <v>107</v>
      </c>
      <c r="E764" t="s">
        <v>107</v>
      </c>
      <c r="F764" t="s">
        <v>1</v>
      </c>
      <c r="G764" t="s">
        <v>109</v>
      </c>
      <c r="H764" s="62">
        <v>2025</v>
      </c>
      <c r="I764">
        <v>52.665500000000002</v>
      </c>
    </row>
    <row r="765" spans="1:9">
      <c r="A765" t="s">
        <v>104</v>
      </c>
      <c r="B765" t="s">
        <v>105</v>
      </c>
      <c r="C765" t="s">
        <v>107</v>
      </c>
      <c r="D765" t="s">
        <v>108</v>
      </c>
      <c r="E765" t="s">
        <v>108</v>
      </c>
      <c r="F765" t="s">
        <v>1</v>
      </c>
      <c r="G765" t="s">
        <v>109</v>
      </c>
      <c r="H765" s="62">
        <v>2025</v>
      </c>
      <c r="I765">
        <v>2.8548</v>
      </c>
    </row>
    <row r="766" spans="1:9">
      <c r="A766" t="s">
        <v>104</v>
      </c>
      <c r="B766" t="s">
        <v>105</v>
      </c>
      <c r="C766" t="s">
        <v>80</v>
      </c>
      <c r="D766" t="s">
        <v>80</v>
      </c>
      <c r="E766" t="s">
        <v>80</v>
      </c>
      <c r="F766" t="s">
        <v>1</v>
      </c>
      <c r="G766" t="s">
        <v>109</v>
      </c>
      <c r="H766" s="62">
        <v>2025</v>
      </c>
      <c r="I766">
        <v>49.810699999999997</v>
      </c>
    </row>
    <row r="767" spans="1:9">
      <c r="A767" t="s">
        <v>104</v>
      </c>
      <c r="B767" t="s">
        <v>105</v>
      </c>
      <c r="C767" t="s">
        <v>80</v>
      </c>
      <c r="D767" t="s">
        <v>89</v>
      </c>
      <c r="E767" t="s">
        <v>90</v>
      </c>
      <c r="F767" t="s">
        <v>1</v>
      </c>
      <c r="G767" t="s">
        <v>109</v>
      </c>
      <c r="H767" s="62">
        <v>2025</v>
      </c>
      <c r="I767">
        <v>7.4238</v>
      </c>
    </row>
    <row r="768" spans="1:9">
      <c r="A768" t="s">
        <v>104</v>
      </c>
      <c r="B768" t="s">
        <v>105</v>
      </c>
      <c r="C768" t="s">
        <v>80</v>
      </c>
      <c r="D768" t="s">
        <v>89</v>
      </c>
      <c r="E768" t="s">
        <v>91</v>
      </c>
      <c r="F768" t="s">
        <v>1</v>
      </c>
      <c r="G768" t="s">
        <v>109</v>
      </c>
      <c r="H768" s="62">
        <v>2025</v>
      </c>
      <c r="I768">
        <v>-0.38690000000000002</v>
      </c>
    </row>
    <row r="769" spans="1:9">
      <c r="A769" t="s">
        <v>104</v>
      </c>
      <c r="B769" t="s">
        <v>105</v>
      </c>
      <c r="C769" t="s">
        <v>80</v>
      </c>
      <c r="D769" t="s">
        <v>92</v>
      </c>
      <c r="E769" t="s">
        <v>93</v>
      </c>
      <c r="F769" t="s">
        <v>1</v>
      </c>
      <c r="G769" t="s">
        <v>109</v>
      </c>
      <c r="H769" s="62">
        <v>2025</v>
      </c>
      <c r="I769">
        <v>-1.8080000000000001</v>
      </c>
    </row>
    <row r="770" spans="1:9">
      <c r="A770" t="s">
        <v>104</v>
      </c>
      <c r="B770" t="s">
        <v>105</v>
      </c>
      <c r="C770" t="s">
        <v>80</v>
      </c>
      <c r="D770" t="s">
        <v>92</v>
      </c>
      <c r="E770" t="s">
        <v>94</v>
      </c>
      <c r="F770" t="s">
        <v>1</v>
      </c>
      <c r="G770" t="s">
        <v>109</v>
      </c>
      <c r="H770" s="62">
        <v>2025</v>
      </c>
      <c r="I770">
        <v>20.1053</v>
      </c>
    </row>
    <row r="771" spans="1:9">
      <c r="A771" t="s">
        <v>104</v>
      </c>
      <c r="B771" t="s">
        <v>105</v>
      </c>
      <c r="C771" t="s">
        <v>80</v>
      </c>
      <c r="D771" t="s">
        <v>92</v>
      </c>
      <c r="E771" t="s">
        <v>110</v>
      </c>
      <c r="F771" t="s">
        <v>1</v>
      </c>
      <c r="G771" t="s">
        <v>109</v>
      </c>
      <c r="H771" s="62">
        <v>2025</v>
      </c>
      <c r="I771">
        <v>6.5669000000000004</v>
      </c>
    </row>
    <row r="772" spans="1:9">
      <c r="A772" t="s">
        <v>104</v>
      </c>
      <c r="B772" t="s">
        <v>105</v>
      </c>
      <c r="C772" t="s">
        <v>80</v>
      </c>
      <c r="D772" t="s">
        <v>92</v>
      </c>
      <c r="E772" t="s">
        <v>95</v>
      </c>
      <c r="F772" t="s">
        <v>1</v>
      </c>
      <c r="G772" t="s">
        <v>109</v>
      </c>
      <c r="H772" s="62">
        <v>2025</v>
      </c>
      <c r="I772">
        <v>14.584099999999999</v>
      </c>
    </row>
    <row r="773" spans="1:9">
      <c r="A773" t="s">
        <v>104</v>
      </c>
      <c r="B773" t="s">
        <v>105</v>
      </c>
      <c r="C773" t="s">
        <v>80</v>
      </c>
      <c r="D773" t="s">
        <v>96</v>
      </c>
      <c r="E773" t="s">
        <v>92</v>
      </c>
      <c r="F773" t="s">
        <v>1</v>
      </c>
      <c r="G773" t="s">
        <v>109</v>
      </c>
      <c r="H773" s="62">
        <v>2025</v>
      </c>
      <c r="I773">
        <v>0.73970000000000002</v>
      </c>
    </row>
    <row r="774" spans="1:9">
      <c r="A774" t="s">
        <v>104</v>
      </c>
      <c r="B774" t="s">
        <v>105</v>
      </c>
      <c r="C774" t="s">
        <v>80</v>
      </c>
      <c r="D774" t="s">
        <v>96</v>
      </c>
      <c r="E774" t="s">
        <v>89</v>
      </c>
      <c r="F774" t="s">
        <v>1</v>
      </c>
      <c r="G774" t="s">
        <v>109</v>
      </c>
      <c r="H774" s="62">
        <v>2025</v>
      </c>
      <c r="I774">
        <v>1.2999999999999999E-3</v>
      </c>
    </row>
    <row r="775" spans="1:9">
      <c r="A775" t="s">
        <v>104</v>
      </c>
      <c r="B775" t="s">
        <v>105</v>
      </c>
      <c r="C775" t="s">
        <v>80</v>
      </c>
      <c r="D775" t="s">
        <v>97</v>
      </c>
      <c r="E775" t="s">
        <v>98</v>
      </c>
      <c r="F775" t="s">
        <v>1</v>
      </c>
      <c r="G775" t="s">
        <v>109</v>
      </c>
      <c r="H775" s="62">
        <v>2025</v>
      </c>
      <c r="I775">
        <v>0.18190000000000001</v>
      </c>
    </row>
    <row r="776" spans="1:9">
      <c r="A776" t="s">
        <v>104</v>
      </c>
      <c r="B776" t="s">
        <v>105</v>
      </c>
      <c r="C776" t="s">
        <v>80</v>
      </c>
      <c r="D776" t="s">
        <v>97</v>
      </c>
      <c r="E776" t="s">
        <v>99</v>
      </c>
      <c r="F776" t="s">
        <v>1</v>
      </c>
      <c r="G776" t="s">
        <v>109</v>
      </c>
      <c r="H776" s="62">
        <v>2025</v>
      </c>
      <c r="I776">
        <v>0</v>
      </c>
    </row>
    <row r="777" spans="1:9">
      <c r="A777" t="s">
        <v>104</v>
      </c>
      <c r="B777" t="s">
        <v>105</v>
      </c>
      <c r="C777" t="s">
        <v>80</v>
      </c>
      <c r="D777" t="s">
        <v>100</v>
      </c>
      <c r="E777" t="s">
        <v>101</v>
      </c>
      <c r="F777" t="s">
        <v>1</v>
      </c>
      <c r="G777" t="s">
        <v>109</v>
      </c>
      <c r="H777" s="62">
        <v>2025</v>
      </c>
      <c r="I777">
        <v>2.8400000000000002E-2</v>
      </c>
    </row>
    <row r="778" spans="1:9">
      <c r="A778" t="s">
        <v>104</v>
      </c>
      <c r="B778" t="s">
        <v>105</v>
      </c>
      <c r="C778" t="s">
        <v>80</v>
      </c>
      <c r="D778" t="s">
        <v>100</v>
      </c>
      <c r="E778" t="s">
        <v>102</v>
      </c>
      <c r="F778" t="s">
        <v>1</v>
      </c>
      <c r="G778" t="s">
        <v>109</v>
      </c>
      <c r="H778" s="62">
        <v>2025</v>
      </c>
      <c r="I778">
        <v>0</v>
      </c>
    </row>
    <row r="779" spans="1:9">
      <c r="A779" t="s">
        <v>104</v>
      </c>
      <c r="B779" t="s">
        <v>105</v>
      </c>
      <c r="C779" t="s">
        <v>80</v>
      </c>
      <c r="D779" t="s">
        <v>100</v>
      </c>
      <c r="E779" t="s">
        <v>111</v>
      </c>
      <c r="F779" t="s">
        <v>1</v>
      </c>
      <c r="G779" t="s">
        <v>109</v>
      </c>
      <c r="H779" s="62">
        <v>2025</v>
      </c>
      <c r="I779">
        <v>0</v>
      </c>
    </row>
    <row r="780" spans="1:9">
      <c r="A780" t="s">
        <v>104</v>
      </c>
      <c r="B780" t="s">
        <v>105</v>
      </c>
      <c r="C780" t="s">
        <v>80</v>
      </c>
      <c r="D780" t="s">
        <v>100</v>
      </c>
      <c r="E780" t="s">
        <v>112</v>
      </c>
      <c r="F780" t="s">
        <v>1</v>
      </c>
      <c r="G780" t="s">
        <v>109</v>
      </c>
      <c r="H780" s="62">
        <v>2025</v>
      </c>
      <c r="I780">
        <v>0</v>
      </c>
    </row>
    <row r="781" spans="1:9">
      <c r="A781" t="s">
        <v>104</v>
      </c>
      <c r="B781" t="s">
        <v>105</v>
      </c>
      <c r="C781" t="s">
        <v>80</v>
      </c>
      <c r="D781" t="s">
        <v>83</v>
      </c>
      <c r="E781" t="s">
        <v>84</v>
      </c>
      <c r="F781" t="s">
        <v>1</v>
      </c>
      <c r="G781" t="s">
        <v>109</v>
      </c>
      <c r="H781" s="62">
        <v>2025</v>
      </c>
      <c r="I781">
        <v>1.2234</v>
      </c>
    </row>
    <row r="782" spans="1:9">
      <c r="A782" t="s">
        <v>104</v>
      </c>
      <c r="B782" t="s">
        <v>105</v>
      </c>
      <c r="C782" t="s">
        <v>80</v>
      </c>
      <c r="D782" t="s">
        <v>83</v>
      </c>
      <c r="E782" t="s">
        <v>85</v>
      </c>
      <c r="F782" t="s">
        <v>1</v>
      </c>
      <c r="G782" t="s">
        <v>109</v>
      </c>
      <c r="H782" s="62">
        <v>2025</v>
      </c>
      <c r="I782">
        <v>1.1508</v>
      </c>
    </row>
    <row r="783" spans="1:9">
      <c r="A783" t="s">
        <v>104</v>
      </c>
      <c r="B783" t="s">
        <v>105</v>
      </c>
      <c r="C783" t="s">
        <v>80</v>
      </c>
      <c r="D783" t="s">
        <v>86</v>
      </c>
      <c r="E783" t="s">
        <v>106</v>
      </c>
      <c r="F783" t="s">
        <v>1</v>
      </c>
      <c r="G783" t="s">
        <v>109</v>
      </c>
      <c r="H783" s="62">
        <v>2025</v>
      </c>
      <c r="I783">
        <v>1.6043000000000001</v>
      </c>
    </row>
    <row r="784" spans="1:9">
      <c r="A784" t="s">
        <v>104</v>
      </c>
      <c r="B784" t="s">
        <v>105</v>
      </c>
      <c r="C784" t="s">
        <v>80</v>
      </c>
      <c r="D784" t="s">
        <v>86</v>
      </c>
      <c r="E784" t="s">
        <v>87</v>
      </c>
      <c r="F784" t="s">
        <v>1</v>
      </c>
      <c r="G784" t="s">
        <v>109</v>
      </c>
      <c r="H784" s="62">
        <v>2025</v>
      </c>
      <c r="I784">
        <v>0.59060000000000001</v>
      </c>
    </row>
    <row r="785" spans="1:9">
      <c r="A785" t="s">
        <v>104</v>
      </c>
      <c r="B785" t="s">
        <v>105</v>
      </c>
      <c r="C785" t="s">
        <v>80</v>
      </c>
      <c r="D785" t="s">
        <v>103</v>
      </c>
      <c r="E785" t="s">
        <v>92</v>
      </c>
      <c r="F785" t="s">
        <v>1</v>
      </c>
      <c r="G785" t="s">
        <v>109</v>
      </c>
      <c r="H785" s="62">
        <v>2025</v>
      </c>
      <c r="I785">
        <v>1.4591000000000001</v>
      </c>
    </row>
    <row r="786" spans="1:9">
      <c r="A786" t="s">
        <v>104</v>
      </c>
      <c r="B786" t="s">
        <v>105</v>
      </c>
      <c r="C786" t="s">
        <v>80</v>
      </c>
      <c r="D786" t="s">
        <v>103</v>
      </c>
      <c r="E786" t="s">
        <v>89</v>
      </c>
      <c r="F786" t="s">
        <v>1</v>
      </c>
      <c r="G786" t="s">
        <v>109</v>
      </c>
      <c r="H786" s="62">
        <v>2025</v>
      </c>
      <c r="I786">
        <v>7.1524999999999999</v>
      </c>
    </row>
    <row r="787" spans="1:9">
      <c r="A787" t="s">
        <v>104</v>
      </c>
      <c r="B787" t="s">
        <v>105</v>
      </c>
      <c r="C787" t="s">
        <v>107</v>
      </c>
      <c r="D787" t="s">
        <v>107</v>
      </c>
      <c r="E787" t="s">
        <v>107</v>
      </c>
      <c r="F787" t="s">
        <v>1</v>
      </c>
      <c r="G787" t="s">
        <v>109</v>
      </c>
      <c r="H787" s="62">
        <v>2026</v>
      </c>
      <c r="I787">
        <v>53.79</v>
      </c>
    </row>
    <row r="788" spans="1:9">
      <c r="A788" t="s">
        <v>104</v>
      </c>
      <c r="B788" t="s">
        <v>105</v>
      </c>
      <c r="C788" t="s">
        <v>107</v>
      </c>
      <c r="D788" t="s">
        <v>108</v>
      </c>
      <c r="E788" t="s">
        <v>108</v>
      </c>
      <c r="F788" t="s">
        <v>1</v>
      </c>
      <c r="G788" t="s">
        <v>109</v>
      </c>
      <c r="H788" s="62">
        <v>2026</v>
      </c>
      <c r="I788">
        <v>3.3856999999999999</v>
      </c>
    </row>
    <row r="789" spans="1:9">
      <c r="A789" t="s">
        <v>104</v>
      </c>
      <c r="B789" t="s">
        <v>105</v>
      </c>
      <c r="C789" t="s">
        <v>80</v>
      </c>
      <c r="D789" t="s">
        <v>80</v>
      </c>
      <c r="E789" t="s">
        <v>80</v>
      </c>
      <c r="F789" t="s">
        <v>1</v>
      </c>
      <c r="G789" t="s">
        <v>109</v>
      </c>
      <c r="H789" s="62">
        <v>2026</v>
      </c>
      <c r="I789">
        <v>50.404299999999999</v>
      </c>
    </row>
    <row r="790" spans="1:9">
      <c r="A790" t="s">
        <v>104</v>
      </c>
      <c r="B790" t="s">
        <v>105</v>
      </c>
      <c r="C790" t="s">
        <v>80</v>
      </c>
      <c r="D790" t="s">
        <v>89</v>
      </c>
      <c r="E790" t="s">
        <v>90</v>
      </c>
      <c r="F790" t="s">
        <v>1</v>
      </c>
      <c r="G790" t="s">
        <v>109</v>
      </c>
      <c r="H790" s="62">
        <v>2026</v>
      </c>
      <c r="I790">
        <v>6.7160000000000002</v>
      </c>
    </row>
    <row r="791" spans="1:9">
      <c r="A791" t="s">
        <v>104</v>
      </c>
      <c r="B791" t="s">
        <v>105</v>
      </c>
      <c r="C791" t="s">
        <v>80</v>
      </c>
      <c r="D791" t="s">
        <v>89</v>
      </c>
      <c r="E791" t="s">
        <v>91</v>
      </c>
      <c r="F791" t="s">
        <v>1</v>
      </c>
      <c r="G791" t="s">
        <v>109</v>
      </c>
      <c r="H791" s="62">
        <v>2026</v>
      </c>
      <c r="I791">
        <v>-0.37680000000000002</v>
      </c>
    </row>
    <row r="792" spans="1:9">
      <c r="A792" t="s">
        <v>104</v>
      </c>
      <c r="B792" t="s">
        <v>105</v>
      </c>
      <c r="C792" t="s">
        <v>80</v>
      </c>
      <c r="D792" t="s">
        <v>92</v>
      </c>
      <c r="E792" t="s">
        <v>93</v>
      </c>
      <c r="F792" t="s">
        <v>1</v>
      </c>
      <c r="G792" t="s">
        <v>109</v>
      </c>
      <c r="H792" s="62">
        <v>2026</v>
      </c>
      <c r="I792">
        <v>-1.9542999999999999</v>
      </c>
    </row>
    <row r="793" spans="1:9">
      <c r="A793" t="s">
        <v>104</v>
      </c>
      <c r="B793" t="s">
        <v>105</v>
      </c>
      <c r="C793" t="s">
        <v>80</v>
      </c>
      <c r="D793" t="s">
        <v>92</v>
      </c>
      <c r="E793" t="s">
        <v>94</v>
      </c>
      <c r="F793" t="s">
        <v>1</v>
      </c>
      <c r="G793" t="s">
        <v>109</v>
      </c>
      <c r="H793" s="62">
        <v>2026</v>
      </c>
      <c r="I793">
        <v>20.029800000000002</v>
      </c>
    </row>
    <row r="794" spans="1:9">
      <c r="A794" t="s">
        <v>104</v>
      </c>
      <c r="B794" t="s">
        <v>105</v>
      </c>
      <c r="C794" t="s">
        <v>80</v>
      </c>
      <c r="D794" t="s">
        <v>92</v>
      </c>
      <c r="E794" t="s">
        <v>110</v>
      </c>
      <c r="F794" t="s">
        <v>1</v>
      </c>
      <c r="G794" t="s">
        <v>109</v>
      </c>
      <c r="H794" s="62">
        <v>2026</v>
      </c>
      <c r="I794">
        <v>6.5692000000000004</v>
      </c>
    </row>
    <row r="795" spans="1:9">
      <c r="A795" t="s">
        <v>104</v>
      </c>
      <c r="B795" t="s">
        <v>105</v>
      </c>
      <c r="C795" t="s">
        <v>80</v>
      </c>
      <c r="D795" t="s">
        <v>92</v>
      </c>
      <c r="E795" t="s">
        <v>95</v>
      </c>
      <c r="F795" t="s">
        <v>1</v>
      </c>
      <c r="G795" t="s">
        <v>109</v>
      </c>
      <c r="H795" s="62">
        <v>2026</v>
      </c>
      <c r="I795">
        <v>14.802300000000001</v>
      </c>
    </row>
    <row r="796" spans="1:9">
      <c r="A796" t="s">
        <v>104</v>
      </c>
      <c r="B796" t="s">
        <v>105</v>
      </c>
      <c r="C796" t="s">
        <v>80</v>
      </c>
      <c r="D796" t="s">
        <v>96</v>
      </c>
      <c r="E796" t="s">
        <v>92</v>
      </c>
      <c r="F796" t="s">
        <v>1</v>
      </c>
      <c r="G796" t="s">
        <v>109</v>
      </c>
      <c r="H796" s="62">
        <v>2026</v>
      </c>
      <c r="I796">
        <v>1.7688999999999999</v>
      </c>
    </row>
    <row r="797" spans="1:9">
      <c r="A797" t="s">
        <v>104</v>
      </c>
      <c r="B797" t="s">
        <v>105</v>
      </c>
      <c r="C797" t="s">
        <v>80</v>
      </c>
      <c r="D797" t="s">
        <v>96</v>
      </c>
      <c r="E797" t="s">
        <v>89</v>
      </c>
      <c r="F797" t="s">
        <v>1</v>
      </c>
      <c r="G797" t="s">
        <v>109</v>
      </c>
      <c r="H797" s="62">
        <v>2026</v>
      </c>
      <c r="I797">
        <v>9.1999999999999998E-3</v>
      </c>
    </row>
    <row r="798" spans="1:9">
      <c r="A798" t="s">
        <v>104</v>
      </c>
      <c r="B798" t="s">
        <v>105</v>
      </c>
      <c r="C798" t="s">
        <v>80</v>
      </c>
      <c r="D798" t="s">
        <v>97</v>
      </c>
      <c r="E798" t="s">
        <v>98</v>
      </c>
      <c r="F798" t="s">
        <v>1</v>
      </c>
      <c r="G798" t="s">
        <v>109</v>
      </c>
      <c r="H798" s="62">
        <v>2026</v>
      </c>
      <c r="I798">
        <v>0.31869999999999998</v>
      </c>
    </row>
    <row r="799" spans="1:9">
      <c r="A799" t="s">
        <v>104</v>
      </c>
      <c r="B799" t="s">
        <v>105</v>
      </c>
      <c r="C799" t="s">
        <v>80</v>
      </c>
      <c r="D799" t="s">
        <v>97</v>
      </c>
      <c r="E799" t="s">
        <v>99</v>
      </c>
      <c r="F799" t="s">
        <v>1</v>
      </c>
      <c r="G799" t="s">
        <v>109</v>
      </c>
      <c r="H799" s="62">
        <v>2026</v>
      </c>
      <c r="I799">
        <v>0</v>
      </c>
    </row>
    <row r="800" spans="1:9">
      <c r="A800" t="s">
        <v>104</v>
      </c>
      <c r="B800" t="s">
        <v>105</v>
      </c>
      <c r="C800" t="s">
        <v>80</v>
      </c>
      <c r="D800" t="s">
        <v>100</v>
      </c>
      <c r="E800" t="s">
        <v>101</v>
      </c>
      <c r="F800" t="s">
        <v>1</v>
      </c>
      <c r="G800" t="s">
        <v>109</v>
      </c>
      <c r="H800" s="62">
        <v>2026</v>
      </c>
      <c r="I800">
        <v>0.11609999999999999</v>
      </c>
    </row>
    <row r="801" spans="1:9">
      <c r="A801" t="s">
        <v>104</v>
      </c>
      <c r="B801" t="s">
        <v>105</v>
      </c>
      <c r="C801" t="s">
        <v>80</v>
      </c>
      <c r="D801" t="s">
        <v>100</v>
      </c>
      <c r="E801" t="s">
        <v>102</v>
      </c>
      <c r="F801" t="s">
        <v>1</v>
      </c>
      <c r="G801" t="s">
        <v>109</v>
      </c>
      <c r="H801" s="62">
        <v>2026</v>
      </c>
      <c r="I801">
        <v>0</v>
      </c>
    </row>
    <row r="802" spans="1:9">
      <c r="A802" t="s">
        <v>104</v>
      </c>
      <c r="B802" t="s">
        <v>105</v>
      </c>
      <c r="C802" t="s">
        <v>80</v>
      </c>
      <c r="D802" t="s">
        <v>100</v>
      </c>
      <c r="E802" t="s">
        <v>111</v>
      </c>
      <c r="F802" t="s">
        <v>1</v>
      </c>
      <c r="G802" t="s">
        <v>109</v>
      </c>
      <c r="H802" s="62">
        <v>2026</v>
      </c>
      <c r="I802">
        <v>0</v>
      </c>
    </row>
    <row r="803" spans="1:9">
      <c r="A803" t="s">
        <v>104</v>
      </c>
      <c r="B803" t="s">
        <v>105</v>
      </c>
      <c r="C803" t="s">
        <v>80</v>
      </c>
      <c r="D803" t="s">
        <v>100</v>
      </c>
      <c r="E803" t="s">
        <v>112</v>
      </c>
      <c r="F803" t="s">
        <v>1</v>
      </c>
      <c r="G803" t="s">
        <v>109</v>
      </c>
      <c r="H803" s="62">
        <v>2026</v>
      </c>
      <c r="I803">
        <v>0</v>
      </c>
    </row>
    <row r="804" spans="1:9">
      <c r="A804" t="s">
        <v>104</v>
      </c>
      <c r="B804" t="s">
        <v>105</v>
      </c>
      <c r="C804" t="s">
        <v>80</v>
      </c>
      <c r="D804" t="s">
        <v>83</v>
      </c>
      <c r="E804" t="s">
        <v>84</v>
      </c>
      <c r="F804" t="s">
        <v>1</v>
      </c>
      <c r="G804" t="s">
        <v>109</v>
      </c>
      <c r="H804" s="62">
        <v>2026</v>
      </c>
      <c r="I804">
        <v>1.2402</v>
      </c>
    </row>
    <row r="805" spans="1:9">
      <c r="A805" t="s">
        <v>104</v>
      </c>
      <c r="B805" t="s">
        <v>105</v>
      </c>
      <c r="C805" t="s">
        <v>80</v>
      </c>
      <c r="D805" t="s">
        <v>83</v>
      </c>
      <c r="E805" t="s">
        <v>85</v>
      </c>
      <c r="F805" t="s">
        <v>1</v>
      </c>
      <c r="G805" t="s">
        <v>109</v>
      </c>
      <c r="H805" s="62">
        <v>2026</v>
      </c>
      <c r="I805">
        <v>1.165</v>
      </c>
    </row>
    <row r="806" spans="1:9">
      <c r="A806" t="s">
        <v>104</v>
      </c>
      <c r="B806" t="s">
        <v>105</v>
      </c>
      <c r="C806" t="s">
        <v>80</v>
      </c>
      <c r="D806" t="s">
        <v>86</v>
      </c>
      <c r="E806" t="s">
        <v>106</v>
      </c>
      <c r="F806" t="s">
        <v>1</v>
      </c>
      <c r="G806" t="s">
        <v>109</v>
      </c>
      <c r="H806" s="62">
        <v>2026</v>
      </c>
      <c r="I806">
        <v>1.6187</v>
      </c>
    </row>
    <row r="807" spans="1:9">
      <c r="A807" t="s">
        <v>104</v>
      </c>
      <c r="B807" t="s">
        <v>105</v>
      </c>
      <c r="C807" t="s">
        <v>80</v>
      </c>
      <c r="D807" t="s">
        <v>86</v>
      </c>
      <c r="E807" t="s">
        <v>87</v>
      </c>
      <c r="F807" t="s">
        <v>1</v>
      </c>
      <c r="G807" t="s">
        <v>109</v>
      </c>
      <c r="H807" s="62">
        <v>2026</v>
      </c>
      <c r="I807">
        <v>0.71240000000000003</v>
      </c>
    </row>
    <row r="808" spans="1:9">
      <c r="A808" t="s">
        <v>104</v>
      </c>
      <c r="B808" t="s">
        <v>105</v>
      </c>
      <c r="C808" t="s">
        <v>80</v>
      </c>
      <c r="D808" t="s">
        <v>103</v>
      </c>
      <c r="E808" t="s">
        <v>92</v>
      </c>
      <c r="F808" t="s">
        <v>1</v>
      </c>
      <c r="G808" t="s">
        <v>109</v>
      </c>
      <c r="H808" s="62">
        <v>2026</v>
      </c>
      <c r="I808">
        <v>1.5652999999999999</v>
      </c>
    </row>
    <row r="809" spans="1:9">
      <c r="A809" t="s">
        <v>104</v>
      </c>
      <c r="B809" t="s">
        <v>105</v>
      </c>
      <c r="C809" t="s">
        <v>80</v>
      </c>
      <c r="D809" t="s">
        <v>103</v>
      </c>
      <c r="E809" t="s">
        <v>89</v>
      </c>
      <c r="F809" t="s">
        <v>1</v>
      </c>
      <c r="G809" t="s">
        <v>109</v>
      </c>
      <c r="H809" s="62">
        <v>2026</v>
      </c>
      <c r="I809">
        <v>7.9119000000000002</v>
      </c>
    </row>
    <row r="810" spans="1:9">
      <c r="A810" t="s">
        <v>104</v>
      </c>
      <c r="B810" t="s">
        <v>105</v>
      </c>
      <c r="C810" t="s">
        <v>107</v>
      </c>
      <c r="D810" t="s">
        <v>107</v>
      </c>
      <c r="E810" t="s">
        <v>107</v>
      </c>
      <c r="F810" t="s">
        <v>1</v>
      </c>
      <c r="G810" t="s">
        <v>109</v>
      </c>
      <c r="H810" s="62">
        <v>2027</v>
      </c>
      <c r="I810">
        <v>54.255800000000001</v>
      </c>
    </row>
    <row r="811" spans="1:9">
      <c r="A811" t="s">
        <v>104</v>
      </c>
      <c r="B811" t="s">
        <v>105</v>
      </c>
      <c r="C811" t="s">
        <v>107</v>
      </c>
      <c r="D811" t="s">
        <v>108</v>
      </c>
      <c r="E811" t="s">
        <v>108</v>
      </c>
      <c r="F811" t="s">
        <v>1</v>
      </c>
      <c r="G811" t="s">
        <v>109</v>
      </c>
      <c r="H811" s="62">
        <v>2027</v>
      </c>
      <c r="I811">
        <v>3.2536</v>
      </c>
    </row>
    <row r="812" spans="1:9">
      <c r="A812" t="s">
        <v>104</v>
      </c>
      <c r="B812" t="s">
        <v>105</v>
      </c>
      <c r="C812" t="s">
        <v>80</v>
      </c>
      <c r="D812" t="s">
        <v>80</v>
      </c>
      <c r="E812" t="s">
        <v>80</v>
      </c>
      <c r="F812" t="s">
        <v>1</v>
      </c>
      <c r="G812" t="s">
        <v>109</v>
      </c>
      <c r="H812" s="62">
        <v>2027</v>
      </c>
      <c r="I812">
        <v>51.002299999999998</v>
      </c>
    </row>
    <row r="813" spans="1:9">
      <c r="A813" t="s">
        <v>104</v>
      </c>
      <c r="B813" t="s">
        <v>105</v>
      </c>
      <c r="C813" t="s">
        <v>80</v>
      </c>
      <c r="D813" t="s">
        <v>89</v>
      </c>
      <c r="E813" t="s">
        <v>90</v>
      </c>
      <c r="F813" t="s">
        <v>1</v>
      </c>
      <c r="G813" t="s">
        <v>109</v>
      </c>
      <c r="H813" s="62">
        <v>2027</v>
      </c>
      <c r="I813">
        <v>6.0433000000000003</v>
      </c>
    </row>
    <row r="814" spans="1:9">
      <c r="A814" t="s">
        <v>104</v>
      </c>
      <c r="B814" t="s">
        <v>105</v>
      </c>
      <c r="C814" t="s">
        <v>80</v>
      </c>
      <c r="D814" t="s">
        <v>89</v>
      </c>
      <c r="E814" t="s">
        <v>91</v>
      </c>
      <c r="F814" t="s">
        <v>1</v>
      </c>
      <c r="G814" t="s">
        <v>109</v>
      </c>
      <c r="H814" s="62">
        <v>2027</v>
      </c>
      <c r="I814">
        <v>-0.36220000000000002</v>
      </c>
    </row>
    <row r="815" spans="1:9">
      <c r="A815" t="s">
        <v>104</v>
      </c>
      <c r="B815" t="s">
        <v>105</v>
      </c>
      <c r="C815" t="s">
        <v>80</v>
      </c>
      <c r="D815" t="s">
        <v>92</v>
      </c>
      <c r="E815" t="s">
        <v>93</v>
      </c>
      <c r="F815" t="s">
        <v>1</v>
      </c>
      <c r="G815" t="s">
        <v>109</v>
      </c>
      <c r="H815" s="62">
        <v>2027</v>
      </c>
      <c r="I815">
        <v>-2.1051000000000002</v>
      </c>
    </row>
    <row r="816" spans="1:9">
      <c r="A816" t="s">
        <v>104</v>
      </c>
      <c r="B816" t="s">
        <v>105</v>
      </c>
      <c r="C816" t="s">
        <v>80</v>
      </c>
      <c r="D816" t="s">
        <v>92</v>
      </c>
      <c r="E816" t="s">
        <v>94</v>
      </c>
      <c r="F816" t="s">
        <v>1</v>
      </c>
      <c r="G816" t="s">
        <v>109</v>
      </c>
      <c r="H816" s="62">
        <v>2027</v>
      </c>
      <c r="I816">
        <v>20.174199999999999</v>
      </c>
    </row>
    <row r="817" spans="1:9">
      <c r="A817" t="s">
        <v>104</v>
      </c>
      <c r="B817" t="s">
        <v>105</v>
      </c>
      <c r="C817" t="s">
        <v>80</v>
      </c>
      <c r="D817" t="s">
        <v>92</v>
      </c>
      <c r="E817" t="s">
        <v>110</v>
      </c>
      <c r="F817" t="s">
        <v>1</v>
      </c>
      <c r="G817" t="s">
        <v>109</v>
      </c>
      <c r="H817" s="62">
        <v>2027</v>
      </c>
      <c r="I817">
        <v>6.5895000000000001</v>
      </c>
    </row>
    <row r="818" spans="1:9">
      <c r="A818" t="s">
        <v>104</v>
      </c>
      <c r="B818" t="s">
        <v>105</v>
      </c>
      <c r="C818" t="s">
        <v>80</v>
      </c>
      <c r="D818" t="s">
        <v>92</v>
      </c>
      <c r="E818" t="s">
        <v>95</v>
      </c>
      <c r="F818" t="s">
        <v>1</v>
      </c>
      <c r="G818" t="s">
        <v>109</v>
      </c>
      <c r="H818" s="62">
        <v>2027</v>
      </c>
      <c r="I818">
        <v>14.9521</v>
      </c>
    </row>
    <row r="819" spans="1:9">
      <c r="A819" t="s">
        <v>104</v>
      </c>
      <c r="B819" t="s">
        <v>105</v>
      </c>
      <c r="C819" t="s">
        <v>80</v>
      </c>
      <c r="D819" t="s">
        <v>96</v>
      </c>
      <c r="E819" t="s">
        <v>92</v>
      </c>
      <c r="F819" t="s">
        <v>1</v>
      </c>
      <c r="G819" t="s">
        <v>109</v>
      </c>
      <c r="H819" s="62">
        <v>2027</v>
      </c>
      <c r="I819">
        <v>2.5430999999999999</v>
      </c>
    </row>
    <row r="820" spans="1:9">
      <c r="A820" t="s">
        <v>104</v>
      </c>
      <c r="B820" t="s">
        <v>105</v>
      </c>
      <c r="C820" t="s">
        <v>80</v>
      </c>
      <c r="D820" t="s">
        <v>96</v>
      </c>
      <c r="E820" t="s">
        <v>89</v>
      </c>
      <c r="F820" t="s">
        <v>1</v>
      </c>
      <c r="G820" t="s">
        <v>109</v>
      </c>
      <c r="H820" s="62">
        <v>2027</v>
      </c>
      <c r="I820">
        <v>2.5399999999999999E-2</v>
      </c>
    </row>
    <row r="821" spans="1:9">
      <c r="A821" t="s">
        <v>104</v>
      </c>
      <c r="B821" t="s">
        <v>105</v>
      </c>
      <c r="C821" t="s">
        <v>80</v>
      </c>
      <c r="D821" t="s">
        <v>97</v>
      </c>
      <c r="E821" t="s">
        <v>98</v>
      </c>
      <c r="F821" t="s">
        <v>1</v>
      </c>
      <c r="G821" t="s">
        <v>109</v>
      </c>
      <c r="H821" s="62">
        <v>2027</v>
      </c>
      <c r="I821">
        <v>0.50329999999999997</v>
      </c>
    </row>
    <row r="822" spans="1:9">
      <c r="A822" t="s">
        <v>104</v>
      </c>
      <c r="B822" t="s">
        <v>105</v>
      </c>
      <c r="C822" t="s">
        <v>80</v>
      </c>
      <c r="D822" t="s">
        <v>97</v>
      </c>
      <c r="E822" t="s">
        <v>99</v>
      </c>
      <c r="F822" t="s">
        <v>1</v>
      </c>
      <c r="G822" t="s">
        <v>109</v>
      </c>
      <c r="H822" s="62">
        <v>2027</v>
      </c>
      <c r="I822">
        <v>0</v>
      </c>
    </row>
    <row r="823" spans="1:9">
      <c r="A823" t="s">
        <v>104</v>
      </c>
      <c r="B823" t="s">
        <v>105</v>
      </c>
      <c r="C823" t="s">
        <v>80</v>
      </c>
      <c r="D823" t="s">
        <v>100</v>
      </c>
      <c r="E823" t="s">
        <v>101</v>
      </c>
      <c r="F823" t="s">
        <v>1</v>
      </c>
      <c r="G823" t="s">
        <v>109</v>
      </c>
      <c r="H823" s="62">
        <v>2027</v>
      </c>
      <c r="I823">
        <v>0.2</v>
      </c>
    </row>
    <row r="824" spans="1:9">
      <c r="A824" t="s">
        <v>104</v>
      </c>
      <c r="B824" t="s">
        <v>105</v>
      </c>
      <c r="C824" t="s">
        <v>80</v>
      </c>
      <c r="D824" t="s">
        <v>100</v>
      </c>
      <c r="E824" t="s">
        <v>102</v>
      </c>
      <c r="F824" t="s">
        <v>1</v>
      </c>
      <c r="G824" t="s">
        <v>109</v>
      </c>
      <c r="H824" s="62">
        <v>2027</v>
      </c>
      <c r="I824">
        <v>0</v>
      </c>
    </row>
    <row r="825" spans="1:9">
      <c r="A825" t="s">
        <v>104</v>
      </c>
      <c r="B825" t="s">
        <v>105</v>
      </c>
      <c r="C825" t="s">
        <v>80</v>
      </c>
      <c r="D825" t="s">
        <v>100</v>
      </c>
      <c r="E825" t="s">
        <v>111</v>
      </c>
      <c r="F825" t="s">
        <v>1</v>
      </c>
      <c r="G825" t="s">
        <v>109</v>
      </c>
      <c r="H825" s="62">
        <v>2027</v>
      </c>
      <c r="I825">
        <v>0</v>
      </c>
    </row>
    <row r="826" spans="1:9">
      <c r="A826" t="s">
        <v>104</v>
      </c>
      <c r="B826" t="s">
        <v>105</v>
      </c>
      <c r="C826" t="s">
        <v>80</v>
      </c>
      <c r="D826" t="s">
        <v>100</v>
      </c>
      <c r="E826" t="s">
        <v>112</v>
      </c>
      <c r="F826" t="s">
        <v>1</v>
      </c>
      <c r="G826" t="s">
        <v>109</v>
      </c>
      <c r="H826" s="62">
        <v>2027</v>
      </c>
      <c r="I826">
        <v>0</v>
      </c>
    </row>
    <row r="827" spans="1:9">
      <c r="A827" t="s">
        <v>104</v>
      </c>
      <c r="B827" t="s">
        <v>105</v>
      </c>
      <c r="C827" t="s">
        <v>80</v>
      </c>
      <c r="D827" t="s">
        <v>83</v>
      </c>
      <c r="E827" t="s">
        <v>84</v>
      </c>
      <c r="F827" t="s">
        <v>1</v>
      </c>
      <c r="G827" t="s">
        <v>109</v>
      </c>
      <c r="H827" s="62">
        <v>2027</v>
      </c>
      <c r="I827">
        <v>1.2594000000000001</v>
      </c>
    </row>
    <row r="828" spans="1:9">
      <c r="A828" t="s">
        <v>104</v>
      </c>
      <c r="B828" t="s">
        <v>105</v>
      </c>
      <c r="C828" t="s">
        <v>80</v>
      </c>
      <c r="D828" t="s">
        <v>83</v>
      </c>
      <c r="E828" t="s">
        <v>85</v>
      </c>
      <c r="F828" t="s">
        <v>1</v>
      </c>
      <c r="G828" t="s">
        <v>109</v>
      </c>
      <c r="H828" s="62">
        <v>2027</v>
      </c>
      <c r="I828">
        <v>1.1793</v>
      </c>
    </row>
    <row r="829" spans="1:9">
      <c r="A829" t="s">
        <v>104</v>
      </c>
      <c r="B829" t="s">
        <v>105</v>
      </c>
      <c r="C829" t="s">
        <v>80</v>
      </c>
      <c r="D829" t="s">
        <v>86</v>
      </c>
      <c r="E829" t="s">
        <v>106</v>
      </c>
      <c r="F829" t="s">
        <v>1</v>
      </c>
      <c r="G829" t="s">
        <v>109</v>
      </c>
      <c r="H829" s="62">
        <v>2027</v>
      </c>
      <c r="I829">
        <v>1.633</v>
      </c>
    </row>
    <row r="830" spans="1:9">
      <c r="A830" t="s">
        <v>104</v>
      </c>
      <c r="B830" t="s">
        <v>105</v>
      </c>
      <c r="C830" t="s">
        <v>80</v>
      </c>
      <c r="D830" t="s">
        <v>86</v>
      </c>
      <c r="E830" t="s">
        <v>87</v>
      </c>
      <c r="F830" t="s">
        <v>1</v>
      </c>
      <c r="G830" t="s">
        <v>109</v>
      </c>
      <c r="H830" s="62">
        <v>2027</v>
      </c>
      <c r="I830">
        <v>0.83430000000000004</v>
      </c>
    </row>
    <row r="831" spans="1:9">
      <c r="A831" t="s">
        <v>104</v>
      </c>
      <c r="B831" t="s">
        <v>105</v>
      </c>
      <c r="C831" t="s">
        <v>80</v>
      </c>
      <c r="D831" t="s">
        <v>103</v>
      </c>
      <c r="E831" t="s">
        <v>92</v>
      </c>
      <c r="F831" t="s">
        <v>1</v>
      </c>
      <c r="G831" t="s">
        <v>109</v>
      </c>
      <c r="H831" s="62">
        <v>2027</v>
      </c>
      <c r="I831">
        <v>1.6721999999999999</v>
      </c>
    </row>
    <row r="832" spans="1:9">
      <c r="A832" t="s">
        <v>104</v>
      </c>
      <c r="B832" t="s">
        <v>105</v>
      </c>
      <c r="C832" t="s">
        <v>80</v>
      </c>
      <c r="D832" t="s">
        <v>103</v>
      </c>
      <c r="E832" t="s">
        <v>89</v>
      </c>
      <c r="F832" t="s">
        <v>1</v>
      </c>
      <c r="G832" t="s">
        <v>109</v>
      </c>
      <c r="H832" s="62">
        <v>2027</v>
      </c>
      <c r="I832">
        <v>8.6745999999999999</v>
      </c>
    </row>
    <row r="833" spans="1:9">
      <c r="A833" t="s">
        <v>104</v>
      </c>
      <c r="B833" t="s">
        <v>105</v>
      </c>
      <c r="C833" t="s">
        <v>107</v>
      </c>
      <c r="D833" t="s">
        <v>107</v>
      </c>
      <c r="E833" t="s">
        <v>107</v>
      </c>
      <c r="F833" t="s">
        <v>1</v>
      </c>
      <c r="G833" t="s">
        <v>109</v>
      </c>
      <c r="H833" s="62">
        <v>2028</v>
      </c>
      <c r="I833">
        <v>53.857399999999998</v>
      </c>
    </row>
    <row r="834" spans="1:9">
      <c r="A834" t="s">
        <v>104</v>
      </c>
      <c r="B834" t="s">
        <v>105</v>
      </c>
      <c r="C834" t="s">
        <v>107</v>
      </c>
      <c r="D834" t="s">
        <v>108</v>
      </c>
      <c r="E834" t="s">
        <v>108</v>
      </c>
      <c r="F834" t="s">
        <v>1</v>
      </c>
      <c r="G834" t="s">
        <v>109</v>
      </c>
      <c r="H834" s="62">
        <v>2028</v>
      </c>
      <c r="I834">
        <v>2.3915000000000002</v>
      </c>
    </row>
    <row r="835" spans="1:9">
      <c r="A835" t="s">
        <v>104</v>
      </c>
      <c r="B835" t="s">
        <v>105</v>
      </c>
      <c r="C835" t="s">
        <v>80</v>
      </c>
      <c r="D835" t="s">
        <v>80</v>
      </c>
      <c r="E835" t="s">
        <v>80</v>
      </c>
      <c r="F835" t="s">
        <v>1</v>
      </c>
      <c r="G835" t="s">
        <v>109</v>
      </c>
      <c r="H835" s="62">
        <v>2028</v>
      </c>
      <c r="I835">
        <v>51.465800000000002</v>
      </c>
    </row>
    <row r="836" spans="1:9">
      <c r="A836" t="s">
        <v>104</v>
      </c>
      <c r="B836" t="s">
        <v>105</v>
      </c>
      <c r="C836" t="s">
        <v>80</v>
      </c>
      <c r="D836" t="s">
        <v>89</v>
      </c>
      <c r="E836" t="s">
        <v>90</v>
      </c>
      <c r="F836" t="s">
        <v>1</v>
      </c>
      <c r="G836" t="s">
        <v>109</v>
      </c>
      <c r="H836" s="62">
        <v>2028</v>
      </c>
      <c r="I836">
        <v>5.4095000000000004</v>
      </c>
    </row>
    <row r="837" spans="1:9">
      <c r="A837" t="s">
        <v>104</v>
      </c>
      <c r="B837" t="s">
        <v>105</v>
      </c>
      <c r="C837" t="s">
        <v>80</v>
      </c>
      <c r="D837" t="s">
        <v>89</v>
      </c>
      <c r="E837" t="s">
        <v>91</v>
      </c>
      <c r="F837" t="s">
        <v>1</v>
      </c>
      <c r="G837" t="s">
        <v>109</v>
      </c>
      <c r="H837" s="62">
        <v>2028</v>
      </c>
      <c r="I837">
        <v>-0.3463</v>
      </c>
    </row>
    <row r="838" spans="1:9">
      <c r="A838" t="s">
        <v>104</v>
      </c>
      <c r="B838" t="s">
        <v>105</v>
      </c>
      <c r="C838" t="s">
        <v>80</v>
      </c>
      <c r="D838" t="s">
        <v>92</v>
      </c>
      <c r="E838" t="s">
        <v>93</v>
      </c>
      <c r="F838" t="s">
        <v>1</v>
      </c>
      <c r="G838" t="s">
        <v>109</v>
      </c>
      <c r="H838" s="62">
        <v>2028</v>
      </c>
      <c r="I838">
        <v>-2.2642000000000002</v>
      </c>
    </row>
    <row r="839" spans="1:9">
      <c r="A839" t="s">
        <v>104</v>
      </c>
      <c r="B839" t="s">
        <v>105</v>
      </c>
      <c r="C839" t="s">
        <v>80</v>
      </c>
      <c r="D839" t="s">
        <v>92</v>
      </c>
      <c r="E839" t="s">
        <v>94</v>
      </c>
      <c r="F839" t="s">
        <v>1</v>
      </c>
      <c r="G839" t="s">
        <v>109</v>
      </c>
      <c r="H839" s="62">
        <v>2028</v>
      </c>
      <c r="I839">
        <v>20.419899999999998</v>
      </c>
    </row>
    <row r="840" spans="1:9">
      <c r="A840" t="s">
        <v>104</v>
      </c>
      <c r="B840" t="s">
        <v>105</v>
      </c>
      <c r="C840" t="s">
        <v>80</v>
      </c>
      <c r="D840" t="s">
        <v>92</v>
      </c>
      <c r="E840" t="s">
        <v>110</v>
      </c>
      <c r="F840" t="s">
        <v>1</v>
      </c>
      <c r="G840" t="s">
        <v>109</v>
      </c>
      <c r="H840" s="62">
        <v>2028</v>
      </c>
      <c r="I840">
        <v>6.6192000000000002</v>
      </c>
    </row>
    <row r="841" spans="1:9">
      <c r="A841" t="s">
        <v>104</v>
      </c>
      <c r="B841" t="s">
        <v>105</v>
      </c>
      <c r="C841" t="s">
        <v>80</v>
      </c>
      <c r="D841" t="s">
        <v>92</v>
      </c>
      <c r="E841" t="s">
        <v>95</v>
      </c>
      <c r="F841" t="s">
        <v>1</v>
      </c>
      <c r="G841" t="s">
        <v>109</v>
      </c>
      <c r="H841" s="62">
        <v>2028</v>
      </c>
      <c r="I841">
        <v>14.95</v>
      </c>
    </row>
    <row r="842" spans="1:9">
      <c r="A842" t="s">
        <v>104</v>
      </c>
      <c r="B842" t="s">
        <v>105</v>
      </c>
      <c r="C842" t="s">
        <v>80</v>
      </c>
      <c r="D842" t="s">
        <v>96</v>
      </c>
      <c r="E842" t="s">
        <v>92</v>
      </c>
      <c r="F842" t="s">
        <v>1</v>
      </c>
      <c r="G842" t="s">
        <v>109</v>
      </c>
      <c r="H842" s="62">
        <v>2028</v>
      </c>
      <c r="I842">
        <v>3.2122999999999999</v>
      </c>
    </row>
    <row r="843" spans="1:9">
      <c r="A843" t="s">
        <v>104</v>
      </c>
      <c r="B843" t="s">
        <v>105</v>
      </c>
      <c r="C843" t="s">
        <v>80</v>
      </c>
      <c r="D843" t="s">
        <v>96</v>
      </c>
      <c r="E843" t="s">
        <v>89</v>
      </c>
      <c r="F843" t="s">
        <v>1</v>
      </c>
      <c r="G843" t="s">
        <v>109</v>
      </c>
      <c r="H843" s="62">
        <v>2028</v>
      </c>
      <c r="I843">
        <v>4.9799999999999997E-2</v>
      </c>
    </row>
    <row r="844" spans="1:9">
      <c r="A844" t="s">
        <v>104</v>
      </c>
      <c r="B844" t="s">
        <v>105</v>
      </c>
      <c r="C844" t="s">
        <v>80</v>
      </c>
      <c r="D844" t="s">
        <v>97</v>
      </c>
      <c r="E844" t="s">
        <v>98</v>
      </c>
      <c r="F844" t="s">
        <v>1</v>
      </c>
      <c r="G844" t="s">
        <v>109</v>
      </c>
      <c r="H844" s="62">
        <v>2028</v>
      </c>
      <c r="I844">
        <v>0.74450000000000005</v>
      </c>
    </row>
    <row r="845" spans="1:9">
      <c r="A845" t="s">
        <v>104</v>
      </c>
      <c r="B845" t="s">
        <v>105</v>
      </c>
      <c r="C845" t="s">
        <v>80</v>
      </c>
      <c r="D845" t="s">
        <v>97</v>
      </c>
      <c r="E845" t="s">
        <v>99</v>
      </c>
      <c r="F845" t="s">
        <v>1</v>
      </c>
      <c r="G845" t="s">
        <v>109</v>
      </c>
      <c r="H845" s="62">
        <v>2028</v>
      </c>
      <c r="I845">
        <v>0</v>
      </c>
    </row>
    <row r="846" spans="1:9">
      <c r="A846" t="s">
        <v>104</v>
      </c>
      <c r="B846" t="s">
        <v>105</v>
      </c>
      <c r="C846" t="s">
        <v>80</v>
      </c>
      <c r="D846" t="s">
        <v>100</v>
      </c>
      <c r="E846" t="s">
        <v>101</v>
      </c>
      <c r="F846" t="s">
        <v>1</v>
      </c>
      <c r="G846" t="s">
        <v>109</v>
      </c>
      <c r="H846" s="62">
        <v>2028</v>
      </c>
      <c r="I846">
        <v>0.19550000000000001</v>
      </c>
    </row>
    <row r="847" spans="1:9">
      <c r="A847" t="s">
        <v>104</v>
      </c>
      <c r="B847" t="s">
        <v>105</v>
      </c>
      <c r="C847" t="s">
        <v>80</v>
      </c>
      <c r="D847" t="s">
        <v>100</v>
      </c>
      <c r="E847" t="s">
        <v>102</v>
      </c>
      <c r="F847" t="s">
        <v>1</v>
      </c>
      <c r="G847" t="s">
        <v>109</v>
      </c>
      <c r="H847" s="62">
        <v>2028</v>
      </c>
      <c r="I847">
        <v>0</v>
      </c>
    </row>
    <row r="848" spans="1:9">
      <c r="A848" t="s">
        <v>104</v>
      </c>
      <c r="B848" t="s">
        <v>105</v>
      </c>
      <c r="C848" t="s">
        <v>80</v>
      </c>
      <c r="D848" t="s">
        <v>100</v>
      </c>
      <c r="E848" t="s">
        <v>111</v>
      </c>
      <c r="F848" t="s">
        <v>1</v>
      </c>
      <c r="G848" t="s">
        <v>109</v>
      </c>
      <c r="H848" s="62">
        <v>2028</v>
      </c>
      <c r="I848">
        <v>0</v>
      </c>
    </row>
    <row r="849" spans="1:9">
      <c r="A849" t="s">
        <v>104</v>
      </c>
      <c r="B849" t="s">
        <v>105</v>
      </c>
      <c r="C849" t="s">
        <v>80</v>
      </c>
      <c r="D849" t="s">
        <v>100</v>
      </c>
      <c r="E849" t="s">
        <v>112</v>
      </c>
      <c r="F849" t="s">
        <v>1</v>
      </c>
      <c r="G849" t="s">
        <v>109</v>
      </c>
      <c r="H849" s="62">
        <v>2028</v>
      </c>
      <c r="I849">
        <v>0</v>
      </c>
    </row>
    <row r="850" spans="1:9">
      <c r="A850" t="s">
        <v>104</v>
      </c>
      <c r="B850" t="s">
        <v>105</v>
      </c>
      <c r="C850" t="s">
        <v>80</v>
      </c>
      <c r="D850" t="s">
        <v>83</v>
      </c>
      <c r="E850" t="s">
        <v>84</v>
      </c>
      <c r="F850" t="s">
        <v>1</v>
      </c>
      <c r="G850" t="s">
        <v>109</v>
      </c>
      <c r="H850" s="62">
        <v>2028</v>
      </c>
      <c r="I850">
        <v>1.2828999999999999</v>
      </c>
    </row>
    <row r="851" spans="1:9">
      <c r="A851" t="s">
        <v>104</v>
      </c>
      <c r="B851" t="s">
        <v>105</v>
      </c>
      <c r="C851" t="s">
        <v>80</v>
      </c>
      <c r="D851" t="s">
        <v>83</v>
      </c>
      <c r="E851" t="s">
        <v>85</v>
      </c>
      <c r="F851" t="s">
        <v>1</v>
      </c>
      <c r="G851" t="s">
        <v>109</v>
      </c>
      <c r="H851" s="62">
        <v>2028</v>
      </c>
      <c r="I851">
        <v>1.1926000000000001</v>
      </c>
    </row>
    <row r="852" spans="1:9">
      <c r="A852" t="s">
        <v>104</v>
      </c>
      <c r="B852" t="s">
        <v>105</v>
      </c>
      <c r="C852" t="s">
        <v>80</v>
      </c>
      <c r="D852" t="s">
        <v>86</v>
      </c>
      <c r="E852" t="s">
        <v>106</v>
      </c>
      <c r="F852" t="s">
        <v>1</v>
      </c>
      <c r="G852" t="s">
        <v>109</v>
      </c>
      <c r="H852" s="62">
        <v>2028</v>
      </c>
      <c r="I852">
        <v>1.6517999999999999</v>
      </c>
    </row>
    <row r="853" spans="1:9">
      <c r="A853" t="s">
        <v>104</v>
      </c>
      <c r="B853" t="s">
        <v>105</v>
      </c>
      <c r="C853" t="s">
        <v>80</v>
      </c>
      <c r="D853" t="s">
        <v>86</v>
      </c>
      <c r="E853" t="s">
        <v>87</v>
      </c>
      <c r="F853" t="s">
        <v>1</v>
      </c>
      <c r="G853" t="s">
        <v>109</v>
      </c>
      <c r="H853" s="62">
        <v>2028</v>
      </c>
      <c r="I853">
        <v>0.9587</v>
      </c>
    </row>
    <row r="854" spans="1:9">
      <c r="A854" t="s">
        <v>104</v>
      </c>
      <c r="B854" t="s">
        <v>105</v>
      </c>
      <c r="C854" t="s">
        <v>80</v>
      </c>
      <c r="D854" t="s">
        <v>103</v>
      </c>
      <c r="E854" t="s">
        <v>92</v>
      </c>
      <c r="F854" t="s">
        <v>1</v>
      </c>
      <c r="G854" t="s">
        <v>109</v>
      </c>
      <c r="H854" s="62">
        <v>2028</v>
      </c>
      <c r="I854">
        <v>1.7834000000000001</v>
      </c>
    </row>
    <row r="855" spans="1:9">
      <c r="A855" t="s">
        <v>104</v>
      </c>
      <c r="B855" t="s">
        <v>105</v>
      </c>
      <c r="C855" t="s">
        <v>80</v>
      </c>
      <c r="D855" t="s">
        <v>103</v>
      </c>
      <c r="E855" t="s">
        <v>89</v>
      </c>
      <c r="F855" t="s">
        <v>1</v>
      </c>
      <c r="G855" t="s">
        <v>109</v>
      </c>
      <c r="H855" s="62">
        <v>2028</v>
      </c>
      <c r="I855">
        <v>9.4579000000000004</v>
      </c>
    </row>
    <row r="856" spans="1:9">
      <c r="A856" t="s">
        <v>104</v>
      </c>
      <c r="B856" t="s">
        <v>105</v>
      </c>
      <c r="C856" t="s">
        <v>107</v>
      </c>
      <c r="D856" t="s">
        <v>107</v>
      </c>
      <c r="E856" t="s">
        <v>107</v>
      </c>
      <c r="F856" t="s">
        <v>1</v>
      </c>
      <c r="G856" t="s">
        <v>109</v>
      </c>
      <c r="H856" s="62">
        <v>2029</v>
      </c>
      <c r="I856">
        <v>54.3566</v>
      </c>
    </row>
    <row r="857" spans="1:9">
      <c r="A857" t="s">
        <v>104</v>
      </c>
      <c r="B857" t="s">
        <v>105</v>
      </c>
      <c r="C857" t="s">
        <v>107</v>
      </c>
      <c r="D857" t="s">
        <v>108</v>
      </c>
      <c r="E857" t="s">
        <v>108</v>
      </c>
      <c r="F857" t="s">
        <v>1</v>
      </c>
      <c r="G857" t="s">
        <v>109</v>
      </c>
      <c r="H857" s="62">
        <v>2029</v>
      </c>
      <c r="I857">
        <v>2.3067000000000002</v>
      </c>
    </row>
    <row r="858" spans="1:9">
      <c r="A858" t="s">
        <v>104</v>
      </c>
      <c r="B858" t="s">
        <v>105</v>
      </c>
      <c r="C858" t="s">
        <v>80</v>
      </c>
      <c r="D858" t="s">
        <v>80</v>
      </c>
      <c r="E858" t="s">
        <v>80</v>
      </c>
      <c r="F858" t="s">
        <v>1</v>
      </c>
      <c r="G858" t="s">
        <v>109</v>
      </c>
      <c r="H858" s="62">
        <v>2029</v>
      </c>
      <c r="I858">
        <v>52.049900000000001</v>
      </c>
    </row>
    <row r="859" spans="1:9">
      <c r="A859" t="s">
        <v>104</v>
      </c>
      <c r="B859" t="s">
        <v>105</v>
      </c>
      <c r="C859" t="s">
        <v>80</v>
      </c>
      <c r="D859" t="s">
        <v>89</v>
      </c>
      <c r="E859" t="s">
        <v>90</v>
      </c>
      <c r="F859" t="s">
        <v>1</v>
      </c>
      <c r="G859" t="s">
        <v>109</v>
      </c>
      <c r="H859" s="62">
        <v>2029</v>
      </c>
      <c r="I859">
        <v>4.9210000000000003</v>
      </c>
    </row>
    <row r="860" spans="1:9">
      <c r="A860" t="s">
        <v>104</v>
      </c>
      <c r="B860" t="s">
        <v>105</v>
      </c>
      <c r="C860" t="s">
        <v>80</v>
      </c>
      <c r="D860" t="s">
        <v>89</v>
      </c>
      <c r="E860" t="s">
        <v>91</v>
      </c>
      <c r="F860" t="s">
        <v>1</v>
      </c>
      <c r="G860" t="s">
        <v>109</v>
      </c>
      <c r="H860" s="62">
        <v>2029</v>
      </c>
      <c r="I860">
        <v>-0.33500000000000002</v>
      </c>
    </row>
    <row r="861" spans="1:9">
      <c r="A861" t="s">
        <v>104</v>
      </c>
      <c r="B861" t="s">
        <v>105</v>
      </c>
      <c r="C861" t="s">
        <v>80</v>
      </c>
      <c r="D861" t="s">
        <v>92</v>
      </c>
      <c r="E861" t="s">
        <v>93</v>
      </c>
      <c r="F861" t="s">
        <v>1</v>
      </c>
      <c r="G861" t="s">
        <v>109</v>
      </c>
      <c r="H861" s="62">
        <v>2029</v>
      </c>
      <c r="I861">
        <v>-2.4047000000000001</v>
      </c>
    </row>
    <row r="862" spans="1:9">
      <c r="A862" t="s">
        <v>104</v>
      </c>
      <c r="B862" t="s">
        <v>105</v>
      </c>
      <c r="C862" t="s">
        <v>80</v>
      </c>
      <c r="D862" t="s">
        <v>92</v>
      </c>
      <c r="E862" t="s">
        <v>94</v>
      </c>
      <c r="F862" t="s">
        <v>1</v>
      </c>
      <c r="G862" t="s">
        <v>109</v>
      </c>
      <c r="H862" s="62">
        <v>2029</v>
      </c>
      <c r="I862">
        <v>20.3535</v>
      </c>
    </row>
    <row r="863" spans="1:9">
      <c r="A863" t="s">
        <v>104</v>
      </c>
      <c r="B863" t="s">
        <v>105</v>
      </c>
      <c r="C863" t="s">
        <v>80</v>
      </c>
      <c r="D863" t="s">
        <v>92</v>
      </c>
      <c r="E863" t="s">
        <v>110</v>
      </c>
      <c r="F863" t="s">
        <v>1</v>
      </c>
      <c r="G863" t="s">
        <v>109</v>
      </c>
      <c r="H863" s="62">
        <v>2029</v>
      </c>
      <c r="I863">
        <v>6.6013000000000002</v>
      </c>
    </row>
    <row r="864" spans="1:9">
      <c r="A864" t="s">
        <v>104</v>
      </c>
      <c r="B864" t="s">
        <v>105</v>
      </c>
      <c r="C864" t="s">
        <v>80</v>
      </c>
      <c r="D864" t="s">
        <v>92</v>
      </c>
      <c r="E864" t="s">
        <v>95</v>
      </c>
      <c r="F864" t="s">
        <v>1</v>
      </c>
      <c r="G864" t="s">
        <v>109</v>
      </c>
      <c r="H864" s="62">
        <v>2029</v>
      </c>
      <c r="I864">
        <v>14.9686</v>
      </c>
    </row>
    <row r="865" spans="1:9">
      <c r="A865" t="s">
        <v>104</v>
      </c>
      <c r="B865" t="s">
        <v>105</v>
      </c>
      <c r="C865" t="s">
        <v>80</v>
      </c>
      <c r="D865" t="s">
        <v>96</v>
      </c>
      <c r="E865" t="s">
        <v>92</v>
      </c>
      <c r="F865" t="s">
        <v>1</v>
      </c>
      <c r="G865" t="s">
        <v>109</v>
      </c>
      <c r="H865" s="62">
        <v>2029</v>
      </c>
      <c r="I865">
        <v>4.1115000000000004</v>
      </c>
    </row>
    <row r="866" spans="1:9">
      <c r="A866" t="s">
        <v>104</v>
      </c>
      <c r="B866" t="s">
        <v>105</v>
      </c>
      <c r="C866" t="s">
        <v>80</v>
      </c>
      <c r="D866" t="s">
        <v>96</v>
      </c>
      <c r="E866" t="s">
        <v>89</v>
      </c>
      <c r="F866" t="s">
        <v>1</v>
      </c>
      <c r="G866" t="s">
        <v>109</v>
      </c>
      <c r="H866" s="62">
        <v>2029</v>
      </c>
      <c r="I866">
        <v>8.3799999999999999E-2</v>
      </c>
    </row>
    <row r="867" spans="1:9">
      <c r="A867" t="s">
        <v>104</v>
      </c>
      <c r="B867" t="s">
        <v>105</v>
      </c>
      <c r="C867" t="s">
        <v>80</v>
      </c>
      <c r="D867" t="s">
        <v>97</v>
      </c>
      <c r="E867" t="s">
        <v>98</v>
      </c>
      <c r="F867" t="s">
        <v>1</v>
      </c>
      <c r="G867" t="s">
        <v>109</v>
      </c>
      <c r="H867" s="62">
        <v>2029</v>
      </c>
      <c r="I867">
        <v>1.0213000000000001</v>
      </c>
    </row>
    <row r="868" spans="1:9">
      <c r="A868" t="s">
        <v>104</v>
      </c>
      <c r="B868" t="s">
        <v>105</v>
      </c>
      <c r="C868" t="s">
        <v>80</v>
      </c>
      <c r="D868" t="s">
        <v>97</v>
      </c>
      <c r="E868" t="s">
        <v>99</v>
      </c>
      <c r="F868" t="s">
        <v>1</v>
      </c>
      <c r="G868" t="s">
        <v>109</v>
      </c>
      <c r="H868" s="62">
        <v>2029</v>
      </c>
      <c r="I868">
        <v>0</v>
      </c>
    </row>
    <row r="869" spans="1:9">
      <c r="A869" t="s">
        <v>104</v>
      </c>
      <c r="B869" t="s">
        <v>105</v>
      </c>
      <c r="C869" t="s">
        <v>80</v>
      </c>
      <c r="D869" t="s">
        <v>100</v>
      </c>
      <c r="E869" t="s">
        <v>101</v>
      </c>
      <c r="F869" t="s">
        <v>1</v>
      </c>
      <c r="G869" t="s">
        <v>109</v>
      </c>
      <c r="H869" s="62">
        <v>2029</v>
      </c>
      <c r="I869">
        <v>0.20960000000000001</v>
      </c>
    </row>
    <row r="870" spans="1:9">
      <c r="A870" t="s">
        <v>104</v>
      </c>
      <c r="B870" t="s">
        <v>105</v>
      </c>
      <c r="C870" t="s">
        <v>80</v>
      </c>
      <c r="D870" t="s">
        <v>100</v>
      </c>
      <c r="E870" t="s">
        <v>102</v>
      </c>
      <c r="F870" t="s">
        <v>1</v>
      </c>
      <c r="G870" t="s">
        <v>109</v>
      </c>
      <c r="H870" s="62">
        <v>2029</v>
      </c>
      <c r="I870">
        <v>0</v>
      </c>
    </row>
    <row r="871" spans="1:9">
      <c r="A871" t="s">
        <v>104</v>
      </c>
      <c r="B871" t="s">
        <v>105</v>
      </c>
      <c r="C871" t="s">
        <v>80</v>
      </c>
      <c r="D871" t="s">
        <v>100</v>
      </c>
      <c r="E871" t="s">
        <v>111</v>
      </c>
      <c r="F871" t="s">
        <v>1</v>
      </c>
      <c r="G871" t="s">
        <v>109</v>
      </c>
      <c r="H871" s="62">
        <v>2029</v>
      </c>
      <c r="I871">
        <v>0</v>
      </c>
    </row>
    <row r="872" spans="1:9">
      <c r="A872" t="s">
        <v>104</v>
      </c>
      <c r="B872" t="s">
        <v>105</v>
      </c>
      <c r="C872" t="s">
        <v>80</v>
      </c>
      <c r="D872" t="s">
        <v>100</v>
      </c>
      <c r="E872" t="s">
        <v>112</v>
      </c>
      <c r="F872" t="s">
        <v>1</v>
      </c>
      <c r="G872" t="s">
        <v>109</v>
      </c>
      <c r="H872" s="62">
        <v>2029</v>
      </c>
      <c r="I872">
        <v>0</v>
      </c>
    </row>
    <row r="873" spans="1:9">
      <c r="A873" t="s">
        <v>104</v>
      </c>
      <c r="B873" t="s">
        <v>105</v>
      </c>
      <c r="C873" t="s">
        <v>80</v>
      </c>
      <c r="D873" t="s">
        <v>83</v>
      </c>
      <c r="E873" t="s">
        <v>84</v>
      </c>
      <c r="F873" t="s">
        <v>1</v>
      </c>
      <c r="G873" t="s">
        <v>109</v>
      </c>
      <c r="H873" s="62">
        <v>2029</v>
      </c>
      <c r="I873">
        <v>1.3110999999999999</v>
      </c>
    </row>
    <row r="874" spans="1:9">
      <c r="A874" t="s">
        <v>104</v>
      </c>
      <c r="B874" t="s">
        <v>105</v>
      </c>
      <c r="C874" t="s">
        <v>80</v>
      </c>
      <c r="D874" t="s">
        <v>83</v>
      </c>
      <c r="E874" t="s">
        <v>85</v>
      </c>
      <c r="F874" t="s">
        <v>1</v>
      </c>
      <c r="G874" t="s">
        <v>109</v>
      </c>
      <c r="H874" s="62">
        <v>2029</v>
      </c>
      <c r="I874">
        <v>1.2078</v>
      </c>
    </row>
    <row r="875" spans="1:9">
      <c r="A875" t="s">
        <v>104</v>
      </c>
      <c r="B875" t="s">
        <v>105</v>
      </c>
      <c r="C875" t="s">
        <v>80</v>
      </c>
      <c r="D875" t="s">
        <v>86</v>
      </c>
      <c r="E875" t="s">
        <v>106</v>
      </c>
      <c r="F875" t="s">
        <v>1</v>
      </c>
      <c r="G875" t="s">
        <v>109</v>
      </c>
      <c r="H875" s="62">
        <v>2029</v>
      </c>
      <c r="I875">
        <v>1.6616</v>
      </c>
    </row>
    <row r="876" spans="1:9">
      <c r="A876" t="s">
        <v>104</v>
      </c>
      <c r="B876" t="s">
        <v>105</v>
      </c>
      <c r="C876" t="s">
        <v>80</v>
      </c>
      <c r="D876" t="s">
        <v>86</v>
      </c>
      <c r="E876" t="s">
        <v>87</v>
      </c>
      <c r="F876" t="s">
        <v>1</v>
      </c>
      <c r="G876" t="s">
        <v>109</v>
      </c>
      <c r="H876" s="62">
        <v>2029</v>
      </c>
      <c r="I876">
        <v>1.0781000000000001</v>
      </c>
    </row>
    <row r="877" spans="1:9">
      <c r="A877" t="s">
        <v>104</v>
      </c>
      <c r="B877" t="s">
        <v>105</v>
      </c>
      <c r="C877" t="s">
        <v>80</v>
      </c>
      <c r="D877" t="s">
        <v>103</v>
      </c>
      <c r="E877" t="s">
        <v>92</v>
      </c>
      <c r="F877" t="s">
        <v>1</v>
      </c>
      <c r="G877" t="s">
        <v>109</v>
      </c>
      <c r="H877" s="62">
        <v>2029</v>
      </c>
      <c r="I877">
        <v>1.8844000000000001</v>
      </c>
    </row>
    <row r="878" spans="1:9">
      <c r="A878" t="s">
        <v>104</v>
      </c>
      <c r="B878" t="s">
        <v>105</v>
      </c>
      <c r="C878" t="s">
        <v>80</v>
      </c>
      <c r="D878" t="s">
        <v>103</v>
      </c>
      <c r="E878" t="s">
        <v>89</v>
      </c>
      <c r="F878" t="s">
        <v>1</v>
      </c>
      <c r="G878" t="s">
        <v>109</v>
      </c>
      <c r="H878" s="62">
        <v>2029</v>
      </c>
      <c r="I878">
        <v>10.0768</v>
      </c>
    </row>
    <row r="879" spans="1:9">
      <c r="A879" t="s">
        <v>104</v>
      </c>
      <c r="B879" t="s">
        <v>105</v>
      </c>
      <c r="C879" t="s">
        <v>107</v>
      </c>
      <c r="D879" t="s">
        <v>107</v>
      </c>
      <c r="E879" t="s">
        <v>107</v>
      </c>
      <c r="F879" t="s">
        <v>1</v>
      </c>
      <c r="G879" t="s">
        <v>109</v>
      </c>
      <c r="H879" s="62">
        <v>2030</v>
      </c>
      <c r="I879">
        <v>56.140900000000002</v>
      </c>
    </row>
    <row r="880" spans="1:9">
      <c r="A880" t="s">
        <v>104</v>
      </c>
      <c r="B880" t="s">
        <v>105</v>
      </c>
      <c r="C880" t="s">
        <v>107</v>
      </c>
      <c r="D880" t="s">
        <v>108</v>
      </c>
      <c r="E880" t="s">
        <v>108</v>
      </c>
      <c r="F880" t="s">
        <v>1</v>
      </c>
      <c r="G880" t="s">
        <v>109</v>
      </c>
      <c r="H880" s="62">
        <v>2030</v>
      </c>
      <c r="I880">
        <v>2.2141999999999999</v>
      </c>
    </row>
    <row r="881" spans="1:9">
      <c r="A881" t="s">
        <v>104</v>
      </c>
      <c r="B881" t="s">
        <v>105</v>
      </c>
      <c r="C881" t="s">
        <v>80</v>
      </c>
      <c r="D881" t="s">
        <v>80</v>
      </c>
      <c r="E881" t="s">
        <v>80</v>
      </c>
      <c r="F881" t="s">
        <v>1</v>
      </c>
      <c r="G881" t="s">
        <v>109</v>
      </c>
      <c r="H881" s="62">
        <v>2030</v>
      </c>
      <c r="I881">
        <v>53.926699999999997</v>
      </c>
    </row>
    <row r="882" spans="1:9">
      <c r="A882" t="s">
        <v>104</v>
      </c>
      <c r="B882" t="s">
        <v>105</v>
      </c>
      <c r="C882" t="s">
        <v>80</v>
      </c>
      <c r="D882" t="s">
        <v>89</v>
      </c>
      <c r="E882" t="s">
        <v>90</v>
      </c>
      <c r="F882" t="s">
        <v>1</v>
      </c>
      <c r="G882" t="s">
        <v>109</v>
      </c>
      <c r="H882" s="62">
        <v>2030</v>
      </c>
      <c r="I882">
        <v>4.5712999999999999</v>
      </c>
    </row>
    <row r="883" spans="1:9">
      <c r="A883" t="s">
        <v>104</v>
      </c>
      <c r="B883" t="s">
        <v>105</v>
      </c>
      <c r="C883" t="s">
        <v>80</v>
      </c>
      <c r="D883" t="s">
        <v>89</v>
      </c>
      <c r="E883" t="s">
        <v>91</v>
      </c>
      <c r="F883" t="s">
        <v>1</v>
      </c>
      <c r="G883" t="s">
        <v>109</v>
      </c>
      <c r="H883" s="62">
        <v>2030</v>
      </c>
      <c r="I883">
        <v>-0.32990000000000003</v>
      </c>
    </row>
    <row r="884" spans="1:9">
      <c r="A884" t="s">
        <v>104</v>
      </c>
      <c r="B884" t="s">
        <v>105</v>
      </c>
      <c r="C884" t="s">
        <v>80</v>
      </c>
      <c r="D884" t="s">
        <v>92</v>
      </c>
      <c r="E884" t="s">
        <v>93</v>
      </c>
      <c r="F884" t="s">
        <v>1</v>
      </c>
      <c r="G884" t="s">
        <v>109</v>
      </c>
      <c r="H884" s="62">
        <v>2030</v>
      </c>
      <c r="I884">
        <v>-2.5466000000000002</v>
      </c>
    </row>
    <row r="885" spans="1:9">
      <c r="A885" t="s">
        <v>104</v>
      </c>
      <c r="B885" t="s">
        <v>105</v>
      </c>
      <c r="C885" t="s">
        <v>80</v>
      </c>
      <c r="D885" t="s">
        <v>92</v>
      </c>
      <c r="E885" t="s">
        <v>94</v>
      </c>
      <c r="F885" t="s">
        <v>1</v>
      </c>
      <c r="G885" t="s">
        <v>109</v>
      </c>
      <c r="H885" s="62">
        <v>2030</v>
      </c>
      <c r="I885">
        <v>20.290700000000001</v>
      </c>
    </row>
    <row r="886" spans="1:9">
      <c r="A886" t="s">
        <v>104</v>
      </c>
      <c r="B886" t="s">
        <v>105</v>
      </c>
      <c r="C886" t="s">
        <v>80</v>
      </c>
      <c r="D886" t="s">
        <v>92</v>
      </c>
      <c r="E886" t="s">
        <v>110</v>
      </c>
      <c r="F886" t="s">
        <v>1</v>
      </c>
      <c r="G886" t="s">
        <v>109</v>
      </c>
      <c r="H886" s="62">
        <v>2030</v>
      </c>
      <c r="I886">
        <v>6.5621999999999998</v>
      </c>
    </row>
    <row r="887" spans="1:9">
      <c r="A887" t="s">
        <v>104</v>
      </c>
      <c r="B887" t="s">
        <v>105</v>
      </c>
      <c r="C887" t="s">
        <v>80</v>
      </c>
      <c r="D887" t="s">
        <v>92</v>
      </c>
      <c r="E887" t="s">
        <v>95</v>
      </c>
      <c r="F887" t="s">
        <v>1</v>
      </c>
      <c r="G887" t="s">
        <v>109</v>
      </c>
      <c r="H887" s="62">
        <v>2030</v>
      </c>
      <c r="I887">
        <v>14.9994</v>
      </c>
    </row>
    <row r="888" spans="1:9">
      <c r="A888" t="s">
        <v>104</v>
      </c>
      <c r="B888" t="s">
        <v>105</v>
      </c>
      <c r="C888" t="s">
        <v>80</v>
      </c>
      <c r="D888" t="s">
        <v>96</v>
      </c>
      <c r="E888" t="s">
        <v>92</v>
      </c>
      <c r="F888" t="s">
        <v>1</v>
      </c>
      <c r="G888" t="s">
        <v>109</v>
      </c>
      <c r="H888" s="62">
        <v>2030</v>
      </c>
      <c r="I888">
        <v>5.0239000000000003</v>
      </c>
    </row>
    <row r="889" spans="1:9">
      <c r="A889" t="s">
        <v>104</v>
      </c>
      <c r="B889" t="s">
        <v>105</v>
      </c>
      <c r="C889" t="s">
        <v>80</v>
      </c>
      <c r="D889" t="s">
        <v>96</v>
      </c>
      <c r="E889" t="s">
        <v>89</v>
      </c>
      <c r="F889" t="s">
        <v>1</v>
      </c>
      <c r="G889" t="s">
        <v>109</v>
      </c>
      <c r="H889" s="62">
        <v>2030</v>
      </c>
      <c r="I889">
        <v>0.1125</v>
      </c>
    </row>
    <row r="890" spans="1:9">
      <c r="A890" t="s">
        <v>104</v>
      </c>
      <c r="B890" t="s">
        <v>105</v>
      </c>
      <c r="C890" t="s">
        <v>80</v>
      </c>
      <c r="D890" t="s">
        <v>97</v>
      </c>
      <c r="E890" t="s">
        <v>98</v>
      </c>
      <c r="F890" t="s">
        <v>1</v>
      </c>
      <c r="G890" t="s">
        <v>109</v>
      </c>
      <c r="H890" s="62">
        <v>2030</v>
      </c>
      <c r="I890">
        <v>1.3270999999999999</v>
      </c>
    </row>
    <row r="891" spans="1:9">
      <c r="A891" t="s">
        <v>104</v>
      </c>
      <c r="B891" t="s">
        <v>105</v>
      </c>
      <c r="C891" t="s">
        <v>80</v>
      </c>
      <c r="D891" t="s">
        <v>97</v>
      </c>
      <c r="E891" t="s">
        <v>99</v>
      </c>
      <c r="F891" t="s">
        <v>1</v>
      </c>
      <c r="G891" t="s">
        <v>109</v>
      </c>
      <c r="H891" s="62">
        <v>2030</v>
      </c>
      <c r="I891">
        <v>0</v>
      </c>
    </row>
    <row r="892" spans="1:9">
      <c r="A892" t="s">
        <v>104</v>
      </c>
      <c r="B892" t="s">
        <v>105</v>
      </c>
      <c r="C892" t="s">
        <v>80</v>
      </c>
      <c r="D892" t="s">
        <v>100</v>
      </c>
      <c r="E892" t="s">
        <v>101</v>
      </c>
      <c r="F892" t="s">
        <v>1</v>
      </c>
      <c r="G892" t="s">
        <v>109</v>
      </c>
      <c r="H892" s="62">
        <v>2030</v>
      </c>
      <c r="I892">
        <v>0.84079999999999999</v>
      </c>
    </row>
    <row r="893" spans="1:9">
      <c r="A893" t="s">
        <v>104</v>
      </c>
      <c r="B893" t="s">
        <v>105</v>
      </c>
      <c r="C893" t="s">
        <v>80</v>
      </c>
      <c r="D893" t="s">
        <v>100</v>
      </c>
      <c r="E893" t="s">
        <v>102</v>
      </c>
      <c r="F893" t="s">
        <v>1</v>
      </c>
      <c r="G893" t="s">
        <v>109</v>
      </c>
      <c r="H893" s="62">
        <v>2030</v>
      </c>
      <c r="I893">
        <v>0.50119999999999998</v>
      </c>
    </row>
    <row r="894" spans="1:9">
      <c r="A894" t="s">
        <v>104</v>
      </c>
      <c r="B894" t="s">
        <v>105</v>
      </c>
      <c r="C894" t="s">
        <v>80</v>
      </c>
      <c r="D894" t="s">
        <v>100</v>
      </c>
      <c r="E894" t="s">
        <v>111</v>
      </c>
      <c r="F894" t="s">
        <v>1</v>
      </c>
      <c r="G894" t="s">
        <v>109</v>
      </c>
      <c r="H894" s="62">
        <v>2030</v>
      </c>
      <c r="I894">
        <v>0</v>
      </c>
    </row>
    <row r="895" spans="1:9">
      <c r="A895" t="s">
        <v>104</v>
      </c>
      <c r="B895" t="s">
        <v>105</v>
      </c>
      <c r="C895" t="s">
        <v>80</v>
      </c>
      <c r="D895" t="s">
        <v>100</v>
      </c>
      <c r="E895" t="s">
        <v>112</v>
      </c>
      <c r="F895" t="s">
        <v>1</v>
      </c>
      <c r="G895" t="s">
        <v>109</v>
      </c>
      <c r="H895" s="62">
        <v>2030</v>
      </c>
      <c r="I895">
        <v>0</v>
      </c>
    </row>
    <row r="896" spans="1:9">
      <c r="A896" t="s">
        <v>104</v>
      </c>
      <c r="B896" t="s">
        <v>105</v>
      </c>
      <c r="C896" t="s">
        <v>80</v>
      </c>
      <c r="D896" t="s">
        <v>83</v>
      </c>
      <c r="E896" t="s">
        <v>84</v>
      </c>
      <c r="F896" t="s">
        <v>1</v>
      </c>
      <c r="G896" t="s">
        <v>109</v>
      </c>
      <c r="H896" s="62">
        <v>2030</v>
      </c>
      <c r="I896">
        <v>1.347</v>
      </c>
    </row>
    <row r="897" spans="1:9">
      <c r="A897" t="s">
        <v>104</v>
      </c>
      <c r="B897" t="s">
        <v>105</v>
      </c>
      <c r="C897" t="s">
        <v>80</v>
      </c>
      <c r="D897" t="s">
        <v>83</v>
      </c>
      <c r="E897" t="s">
        <v>85</v>
      </c>
      <c r="F897" t="s">
        <v>1</v>
      </c>
      <c r="G897" t="s">
        <v>109</v>
      </c>
      <c r="H897" s="62">
        <v>2030</v>
      </c>
      <c r="I897">
        <v>1.2270000000000001</v>
      </c>
    </row>
    <row r="898" spans="1:9">
      <c r="A898" t="s">
        <v>104</v>
      </c>
      <c r="B898" t="s">
        <v>105</v>
      </c>
      <c r="C898" t="s">
        <v>80</v>
      </c>
      <c r="D898" t="s">
        <v>86</v>
      </c>
      <c r="E898" t="s">
        <v>106</v>
      </c>
      <c r="F898" t="s">
        <v>1</v>
      </c>
      <c r="G898" t="s">
        <v>109</v>
      </c>
      <c r="H898" s="62">
        <v>2030</v>
      </c>
      <c r="I898">
        <v>1.6758999999999999</v>
      </c>
    </row>
    <row r="899" spans="1:9">
      <c r="A899" t="s">
        <v>104</v>
      </c>
      <c r="B899" t="s">
        <v>105</v>
      </c>
      <c r="C899" t="s">
        <v>80</v>
      </c>
      <c r="D899" t="s">
        <v>86</v>
      </c>
      <c r="E899" t="s">
        <v>87</v>
      </c>
      <c r="F899" t="s">
        <v>1</v>
      </c>
      <c r="G899" t="s">
        <v>109</v>
      </c>
      <c r="H899" s="62">
        <v>2030</v>
      </c>
      <c r="I899">
        <v>1.2004999999999999</v>
      </c>
    </row>
    <row r="900" spans="1:9">
      <c r="A900" t="s">
        <v>104</v>
      </c>
      <c r="B900" t="s">
        <v>105</v>
      </c>
      <c r="C900" t="s">
        <v>80</v>
      </c>
      <c r="D900" t="s">
        <v>103</v>
      </c>
      <c r="E900" t="s">
        <v>92</v>
      </c>
      <c r="F900" t="s">
        <v>1</v>
      </c>
      <c r="G900" t="s">
        <v>109</v>
      </c>
      <c r="H900" s="62">
        <v>2030</v>
      </c>
      <c r="I900">
        <v>1.9782999999999999</v>
      </c>
    </row>
    <row r="901" spans="1:9">
      <c r="A901" t="s">
        <v>104</v>
      </c>
      <c r="B901" t="s">
        <v>105</v>
      </c>
      <c r="C901" t="s">
        <v>80</v>
      </c>
      <c r="D901" t="s">
        <v>103</v>
      </c>
      <c r="E901" t="s">
        <v>89</v>
      </c>
      <c r="F901" t="s">
        <v>1</v>
      </c>
      <c r="G901" t="s">
        <v>109</v>
      </c>
      <c r="H901" s="62">
        <v>2030</v>
      </c>
      <c r="I901">
        <v>10.617800000000001</v>
      </c>
    </row>
    <row r="902" spans="1:9">
      <c r="A902" t="s">
        <v>104</v>
      </c>
      <c r="B902" t="s">
        <v>105</v>
      </c>
      <c r="C902" t="s">
        <v>107</v>
      </c>
      <c r="D902" t="s">
        <v>107</v>
      </c>
      <c r="E902" t="s">
        <v>107</v>
      </c>
      <c r="F902" t="s">
        <v>1</v>
      </c>
      <c r="G902" t="s">
        <v>109</v>
      </c>
      <c r="H902" s="62">
        <v>2031</v>
      </c>
      <c r="I902">
        <v>57.460500000000003</v>
      </c>
    </row>
    <row r="903" spans="1:9">
      <c r="A903" t="s">
        <v>104</v>
      </c>
      <c r="B903" t="s">
        <v>105</v>
      </c>
      <c r="C903" t="s">
        <v>107</v>
      </c>
      <c r="D903" t="s">
        <v>108</v>
      </c>
      <c r="E903" t="s">
        <v>108</v>
      </c>
      <c r="F903" t="s">
        <v>1</v>
      </c>
      <c r="G903" t="s">
        <v>109</v>
      </c>
      <c r="H903" s="62">
        <v>2031</v>
      </c>
      <c r="I903">
        <v>1.696</v>
      </c>
    </row>
    <row r="904" spans="1:9">
      <c r="A904" t="s">
        <v>104</v>
      </c>
      <c r="B904" t="s">
        <v>105</v>
      </c>
      <c r="C904" t="s">
        <v>80</v>
      </c>
      <c r="D904" t="s">
        <v>80</v>
      </c>
      <c r="E904" t="s">
        <v>80</v>
      </c>
      <c r="F904" t="s">
        <v>1</v>
      </c>
      <c r="G904" t="s">
        <v>109</v>
      </c>
      <c r="H904" s="62">
        <v>2031</v>
      </c>
      <c r="I904">
        <v>55.764499999999998</v>
      </c>
    </row>
    <row r="905" spans="1:9">
      <c r="A905" t="s">
        <v>104</v>
      </c>
      <c r="B905" t="s">
        <v>105</v>
      </c>
      <c r="C905" t="s">
        <v>80</v>
      </c>
      <c r="D905" t="s">
        <v>89</v>
      </c>
      <c r="E905" t="s">
        <v>90</v>
      </c>
      <c r="F905" t="s">
        <v>1</v>
      </c>
      <c r="G905" t="s">
        <v>109</v>
      </c>
      <c r="H905" s="62">
        <v>2031</v>
      </c>
      <c r="I905">
        <v>4.1303000000000001</v>
      </c>
    </row>
    <row r="906" spans="1:9">
      <c r="A906" t="s">
        <v>104</v>
      </c>
      <c r="B906" t="s">
        <v>105</v>
      </c>
      <c r="C906" t="s">
        <v>80</v>
      </c>
      <c r="D906" t="s">
        <v>89</v>
      </c>
      <c r="E906" t="s">
        <v>91</v>
      </c>
      <c r="F906" t="s">
        <v>1</v>
      </c>
      <c r="G906" t="s">
        <v>109</v>
      </c>
      <c r="H906" s="62">
        <v>2031</v>
      </c>
      <c r="I906">
        <v>-0.3175</v>
      </c>
    </row>
    <row r="907" spans="1:9">
      <c r="A907" t="s">
        <v>104</v>
      </c>
      <c r="B907" t="s">
        <v>105</v>
      </c>
      <c r="C907" t="s">
        <v>80</v>
      </c>
      <c r="D907" t="s">
        <v>92</v>
      </c>
      <c r="E907" t="s">
        <v>93</v>
      </c>
      <c r="F907" t="s">
        <v>1</v>
      </c>
      <c r="G907" t="s">
        <v>109</v>
      </c>
      <c r="H907" s="62">
        <v>2031</v>
      </c>
      <c r="I907">
        <v>-2.7202000000000002</v>
      </c>
    </row>
    <row r="908" spans="1:9">
      <c r="A908" t="s">
        <v>104</v>
      </c>
      <c r="B908" t="s">
        <v>105</v>
      </c>
      <c r="C908" t="s">
        <v>80</v>
      </c>
      <c r="D908" t="s">
        <v>92</v>
      </c>
      <c r="E908" t="s">
        <v>94</v>
      </c>
      <c r="F908" t="s">
        <v>1</v>
      </c>
      <c r="G908" t="s">
        <v>109</v>
      </c>
      <c r="H908" s="62">
        <v>2031</v>
      </c>
      <c r="I908">
        <v>20.257100000000001</v>
      </c>
    </row>
    <row r="909" spans="1:9">
      <c r="A909" t="s">
        <v>104</v>
      </c>
      <c r="B909" t="s">
        <v>105</v>
      </c>
      <c r="C909" t="s">
        <v>80</v>
      </c>
      <c r="D909" t="s">
        <v>92</v>
      </c>
      <c r="E909" t="s">
        <v>110</v>
      </c>
      <c r="F909" t="s">
        <v>1</v>
      </c>
      <c r="G909" t="s">
        <v>109</v>
      </c>
      <c r="H909" s="62">
        <v>2031</v>
      </c>
      <c r="I909">
        <v>6.5331000000000001</v>
      </c>
    </row>
    <row r="910" spans="1:9">
      <c r="A910" t="s">
        <v>104</v>
      </c>
      <c r="B910" t="s">
        <v>105</v>
      </c>
      <c r="C910" t="s">
        <v>80</v>
      </c>
      <c r="D910" t="s">
        <v>92</v>
      </c>
      <c r="E910" t="s">
        <v>95</v>
      </c>
      <c r="F910" t="s">
        <v>1</v>
      </c>
      <c r="G910" t="s">
        <v>109</v>
      </c>
      <c r="H910" s="62">
        <v>2031</v>
      </c>
      <c r="I910">
        <v>15.126300000000001</v>
      </c>
    </row>
    <row r="911" spans="1:9">
      <c r="A911" t="s">
        <v>104</v>
      </c>
      <c r="B911" t="s">
        <v>105</v>
      </c>
      <c r="C911" t="s">
        <v>80</v>
      </c>
      <c r="D911" t="s">
        <v>96</v>
      </c>
      <c r="E911" t="s">
        <v>92</v>
      </c>
      <c r="F911" t="s">
        <v>1</v>
      </c>
      <c r="G911" t="s">
        <v>109</v>
      </c>
      <c r="H911" s="62">
        <v>2031</v>
      </c>
      <c r="I911">
        <v>5.6886999999999999</v>
      </c>
    </row>
    <row r="912" spans="1:9">
      <c r="A912" t="s">
        <v>104</v>
      </c>
      <c r="B912" t="s">
        <v>105</v>
      </c>
      <c r="C912" t="s">
        <v>80</v>
      </c>
      <c r="D912" t="s">
        <v>96</v>
      </c>
      <c r="E912" t="s">
        <v>89</v>
      </c>
      <c r="F912" t="s">
        <v>1</v>
      </c>
      <c r="G912" t="s">
        <v>109</v>
      </c>
      <c r="H912" s="62">
        <v>2031</v>
      </c>
      <c r="I912">
        <v>0.13619999999999999</v>
      </c>
    </row>
    <row r="913" spans="1:9">
      <c r="A913" t="s">
        <v>104</v>
      </c>
      <c r="B913" t="s">
        <v>105</v>
      </c>
      <c r="C913" t="s">
        <v>80</v>
      </c>
      <c r="D913" t="s">
        <v>97</v>
      </c>
      <c r="E913" t="s">
        <v>98</v>
      </c>
      <c r="F913" t="s">
        <v>1</v>
      </c>
      <c r="G913" t="s">
        <v>109</v>
      </c>
      <c r="H913" s="62">
        <v>2031</v>
      </c>
      <c r="I913">
        <v>1.6597999999999999</v>
      </c>
    </row>
    <row r="914" spans="1:9">
      <c r="A914" t="s">
        <v>104</v>
      </c>
      <c r="B914" t="s">
        <v>105</v>
      </c>
      <c r="C914" t="s">
        <v>80</v>
      </c>
      <c r="D914" t="s">
        <v>97</v>
      </c>
      <c r="E914" t="s">
        <v>99</v>
      </c>
      <c r="F914" t="s">
        <v>1</v>
      </c>
      <c r="G914" t="s">
        <v>109</v>
      </c>
      <c r="H914" s="62">
        <v>2031</v>
      </c>
      <c r="I914">
        <v>1.8E-3</v>
      </c>
    </row>
    <row r="915" spans="1:9">
      <c r="A915" t="s">
        <v>104</v>
      </c>
      <c r="B915" t="s">
        <v>105</v>
      </c>
      <c r="C915" t="s">
        <v>80</v>
      </c>
      <c r="D915" t="s">
        <v>100</v>
      </c>
      <c r="E915" t="s">
        <v>101</v>
      </c>
      <c r="F915" t="s">
        <v>1</v>
      </c>
      <c r="G915" t="s">
        <v>109</v>
      </c>
      <c r="H915" s="62">
        <v>2031</v>
      </c>
      <c r="I915">
        <v>1.7882</v>
      </c>
    </row>
    <row r="916" spans="1:9">
      <c r="A916" t="s">
        <v>104</v>
      </c>
      <c r="B916" t="s">
        <v>105</v>
      </c>
      <c r="C916" t="s">
        <v>80</v>
      </c>
      <c r="D916" t="s">
        <v>100</v>
      </c>
      <c r="E916" t="s">
        <v>102</v>
      </c>
      <c r="F916" t="s">
        <v>1</v>
      </c>
      <c r="G916" t="s">
        <v>109</v>
      </c>
      <c r="H916" s="62">
        <v>2031</v>
      </c>
      <c r="I916">
        <v>0.86819999999999997</v>
      </c>
    </row>
    <row r="917" spans="1:9">
      <c r="A917" t="s">
        <v>104</v>
      </c>
      <c r="B917" t="s">
        <v>105</v>
      </c>
      <c r="C917" t="s">
        <v>80</v>
      </c>
      <c r="D917" t="s">
        <v>100</v>
      </c>
      <c r="E917" t="s">
        <v>111</v>
      </c>
      <c r="F917" t="s">
        <v>1</v>
      </c>
      <c r="G917" t="s">
        <v>109</v>
      </c>
      <c r="H917" s="62">
        <v>2031</v>
      </c>
      <c r="I917">
        <v>0</v>
      </c>
    </row>
    <row r="918" spans="1:9">
      <c r="A918" t="s">
        <v>104</v>
      </c>
      <c r="B918" t="s">
        <v>105</v>
      </c>
      <c r="C918" t="s">
        <v>80</v>
      </c>
      <c r="D918" t="s">
        <v>100</v>
      </c>
      <c r="E918" t="s">
        <v>112</v>
      </c>
      <c r="F918" t="s">
        <v>1</v>
      </c>
      <c r="G918" t="s">
        <v>109</v>
      </c>
      <c r="H918" s="62">
        <v>2031</v>
      </c>
      <c r="I918">
        <v>0</v>
      </c>
    </row>
    <row r="919" spans="1:9">
      <c r="A919" t="s">
        <v>104</v>
      </c>
      <c r="B919" t="s">
        <v>105</v>
      </c>
      <c r="C919" t="s">
        <v>80</v>
      </c>
      <c r="D919" t="s">
        <v>83</v>
      </c>
      <c r="E919" t="s">
        <v>84</v>
      </c>
      <c r="F919" t="s">
        <v>1</v>
      </c>
      <c r="G919" t="s">
        <v>109</v>
      </c>
      <c r="H919" s="62">
        <v>2031</v>
      </c>
      <c r="I919">
        <v>1.3706</v>
      </c>
    </row>
    <row r="920" spans="1:9">
      <c r="A920" t="s">
        <v>104</v>
      </c>
      <c r="B920" t="s">
        <v>105</v>
      </c>
      <c r="C920" t="s">
        <v>80</v>
      </c>
      <c r="D920" t="s">
        <v>83</v>
      </c>
      <c r="E920" t="s">
        <v>85</v>
      </c>
      <c r="F920" t="s">
        <v>1</v>
      </c>
      <c r="G920" t="s">
        <v>109</v>
      </c>
      <c r="H920" s="62">
        <v>2031</v>
      </c>
      <c r="I920">
        <v>1.242</v>
      </c>
    </row>
    <row r="921" spans="1:9">
      <c r="A921" t="s">
        <v>104</v>
      </c>
      <c r="B921" t="s">
        <v>105</v>
      </c>
      <c r="C921" t="s">
        <v>80</v>
      </c>
      <c r="D921" t="s">
        <v>86</v>
      </c>
      <c r="E921" t="s">
        <v>106</v>
      </c>
      <c r="F921" t="s">
        <v>1</v>
      </c>
      <c r="G921" t="s">
        <v>109</v>
      </c>
      <c r="H921" s="62">
        <v>2031</v>
      </c>
      <c r="I921">
        <v>1.6901999999999999</v>
      </c>
    </row>
    <row r="922" spans="1:9">
      <c r="A922" t="s">
        <v>104</v>
      </c>
      <c r="B922" t="s">
        <v>105</v>
      </c>
      <c r="C922" t="s">
        <v>80</v>
      </c>
      <c r="D922" t="s">
        <v>86</v>
      </c>
      <c r="E922" t="s">
        <v>87</v>
      </c>
      <c r="F922" t="s">
        <v>1</v>
      </c>
      <c r="G922" t="s">
        <v>109</v>
      </c>
      <c r="H922" s="62">
        <v>2031</v>
      </c>
      <c r="I922">
        <v>1.3474999999999999</v>
      </c>
    </row>
    <row r="923" spans="1:9">
      <c r="A923" t="s">
        <v>104</v>
      </c>
      <c r="B923" t="s">
        <v>105</v>
      </c>
      <c r="C923" t="s">
        <v>80</v>
      </c>
      <c r="D923" t="s">
        <v>103</v>
      </c>
      <c r="E923" t="s">
        <v>92</v>
      </c>
      <c r="F923" t="s">
        <v>1</v>
      </c>
      <c r="G923" t="s">
        <v>109</v>
      </c>
      <c r="H923" s="62">
        <v>2031</v>
      </c>
      <c r="I923">
        <v>2.0771000000000002</v>
      </c>
    </row>
    <row r="924" spans="1:9">
      <c r="A924" t="s">
        <v>104</v>
      </c>
      <c r="B924" t="s">
        <v>105</v>
      </c>
      <c r="C924" t="s">
        <v>80</v>
      </c>
      <c r="D924" t="s">
        <v>103</v>
      </c>
      <c r="E924" t="s">
        <v>89</v>
      </c>
      <c r="F924" t="s">
        <v>1</v>
      </c>
      <c r="G924" t="s">
        <v>109</v>
      </c>
      <c r="H924" s="62">
        <v>2031</v>
      </c>
      <c r="I924">
        <v>11.228199999999999</v>
      </c>
    </row>
    <row r="925" spans="1:9">
      <c r="A925" t="s">
        <v>104</v>
      </c>
      <c r="B925" t="s">
        <v>105</v>
      </c>
      <c r="C925" t="s">
        <v>107</v>
      </c>
      <c r="D925" t="s">
        <v>107</v>
      </c>
      <c r="E925" t="s">
        <v>107</v>
      </c>
      <c r="F925" t="s">
        <v>1</v>
      </c>
      <c r="G925" t="s">
        <v>109</v>
      </c>
      <c r="H925" s="62">
        <v>2032</v>
      </c>
      <c r="I925">
        <v>60.001100000000001</v>
      </c>
    </row>
    <row r="926" spans="1:9">
      <c r="A926" t="s">
        <v>104</v>
      </c>
      <c r="B926" t="s">
        <v>105</v>
      </c>
      <c r="C926" t="s">
        <v>107</v>
      </c>
      <c r="D926" t="s">
        <v>108</v>
      </c>
      <c r="E926" t="s">
        <v>108</v>
      </c>
      <c r="F926" t="s">
        <v>1</v>
      </c>
      <c r="G926" t="s">
        <v>109</v>
      </c>
      <c r="H926" s="62">
        <v>2032</v>
      </c>
      <c r="I926">
        <v>1.5497000000000001</v>
      </c>
    </row>
    <row r="927" spans="1:9">
      <c r="A927" t="s">
        <v>104</v>
      </c>
      <c r="B927" t="s">
        <v>105</v>
      </c>
      <c r="C927" t="s">
        <v>80</v>
      </c>
      <c r="D927" t="s">
        <v>80</v>
      </c>
      <c r="E927" t="s">
        <v>80</v>
      </c>
      <c r="F927" t="s">
        <v>1</v>
      </c>
      <c r="G927" t="s">
        <v>109</v>
      </c>
      <c r="H927" s="62">
        <v>2032</v>
      </c>
      <c r="I927">
        <v>58.4514</v>
      </c>
    </row>
    <row r="928" spans="1:9">
      <c r="A928" t="s">
        <v>104</v>
      </c>
      <c r="B928" t="s">
        <v>105</v>
      </c>
      <c r="C928" t="s">
        <v>80</v>
      </c>
      <c r="D928" t="s">
        <v>89</v>
      </c>
      <c r="E928" t="s">
        <v>90</v>
      </c>
      <c r="F928" t="s">
        <v>1</v>
      </c>
      <c r="G928" t="s">
        <v>109</v>
      </c>
      <c r="H928" s="62">
        <v>2032</v>
      </c>
      <c r="I928">
        <v>3.6305999999999998</v>
      </c>
    </row>
    <row r="929" spans="1:9">
      <c r="A929" t="s">
        <v>104</v>
      </c>
      <c r="B929" t="s">
        <v>105</v>
      </c>
      <c r="C929" t="s">
        <v>80</v>
      </c>
      <c r="D929" t="s">
        <v>89</v>
      </c>
      <c r="E929" t="s">
        <v>91</v>
      </c>
      <c r="F929" t="s">
        <v>1</v>
      </c>
      <c r="G929" t="s">
        <v>109</v>
      </c>
      <c r="H929" s="62">
        <v>2032</v>
      </c>
      <c r="I929">
        <v>-0.29670000000000002</v>
      </c>
    </row>
    <row r="930" spans="1:9">
      <c r="A930" t="s">
        <v>104</v>
      </c>
      <c r="B930" t="s">
        <v>105</v>
      </c>
      <c r="C930" t="s">
        <v>80</v>
      </c>
      <c r="D930" t="s">
        <v>92</v>
      </c>
      <c r="E930" t="s">
        <v>93</v>
      </c>
      <c r="F930" t="s">
        <v>1</v>
      </c>
      <c r="G930" t="s">
        <v>109</v>
      </c>
      <c r="H930" s="62">
        <v>2032</v>
      </c>
      <c r="I930">
        <v>-2.9218000000000002</v>
      </c>
    </row>
    <row r="931" spans="1:9">
      <c r="A931" t="s">
        <v>104</v>
      </c>
      <c r="B931" t="s">
        <v>105</v>
      </c>
      <c r="C931" t="s">
        <v>80</v>
      </c>
      <c r="D931" t="s">
        <v>92</v>
      </c>
      <c r="E931" t="s">
        <v>94</v>
      </c>
      <c r="F931" t="s">
        <v>1</v>
      </c>
      <c r="G931" t="s">
        <v>109</v>
      </c>
      <c r="H931" s="62">
        <v>2032</v>
      </c>
      <c r="I931">
        <v>20.455300000000001</v>
      </c>
    </row>
    <row r="932" spans="1:9">
      <c r="A932" t="s">
        <v>104</v>
      </c>
      <c r="B932" t="s">
        <v>105</v>
      </c>
      <c r="C932" t="s">
        <v>80</v>
      </c>
      <c r="D932" t="s">
        <v>92</v>
      </c>
      <c r="E932" t="s">
        <v>110</v>
      </c>
      <c r="F932" t="s">
        <v>1</v>
      </c>
      <c r="G932" t="s">
        <v>109</v>
      </c>
      <c r="H932" s="62">
        <v>2032</v>
      </c>
      <c r="I932">
        <v>6.5357000000000003</v>
      </c>
    </row>
    <row r="933" spans="1:9">
      <c r="A933" t="s">
        <v>104</v>
      </c>
      <c r="B933" t="s">
        <v>105</v>
      </c>
      <c r="C933" t="s">
        <v>80</v>
      </c>
      <c r="D933" t="s">
        <v>92</v>
      </c>
      <c r="E933" t="s">
        <v>95</v>
      </c>
      <c r="F933" t="s">
        <v>1</v>
      </c>
      <c r="G933" t="s">
        <v>109</v>
      </c>
      <c r="H933" s="62">
        <v>2032</v>
      </c>
      <c r="I933">
        <v>15.301500000000001</v>
      </c>
    </row>
    <row r="934" spans="1:9">
      <c r="A934" t="s">
        <v>104</v>
      </c>
      <c r="B934" t="s">
        <v>105</v>
      </c>
      <c r="C934" t="s">
        <v>80</v>
      </c>
      <c r="D934" t="s">
        <v>96</v>
      </c>
      <c r="E934" t="s">
        <v>92</v>
      </c>
      <c r="F934" t="s">
        <v>1</v>
      </c>
      <c r="G934" t="s">
        <v>109</v>
      </c>
      <c r="H934" s="62">
        <v>2032</v>
      </c>
      <c r="I934">
        <v>6.1191000000000004</v>
      </c>
    </row>
    <row r="935" spans="1:9">
      <c r="A935" t="s">
        <v>104</v>
      </c>
      <c r="B935" t="s">
        <v>105</v>
      </c>
      <c r="C935" t="s">
        <v>80</v>
      </c>
      <c r="D935" t="s">
        <v>96</v>
      </c>
      <c r="E935" t="s">
        <v>89</v>
      </c>
      <c r="F935" t="s">
        <v>1</v>
      </c>
      <c r="G935" t="s">
        <v>109</v>
      </c>
      <c r="H935" s="62">
        <v>2032</v>
      </c>
      <c r="I935">
        <v>0.15840000000000001</v>
      </c>
    </row>
    <row r="936" spans="1:9">
      <c r="A936" t="s">
        <v>104</v>
      </c>
      <c r="B936" t="s">
        <v>105</v>
      </c>
      <c r="C936" t="s">
        <v>80</v>
      </c>
      <c r="D936" t="s">
        <v>97</v>
      </c>
      <c r="E936" t="s">
        <v>98</v>
      </c>
      <c r="F936" t="s">
        <v>1</v>
      </c>
      <c r="G936" t="s">
        <v>109</v>
      </c>
      <c r="H936" s="62">
        <v>2032</v>
      </c>
      <c r="I936">
        <v>2.0236999999999998</v>
      </c>
    </row>
    <row r="937" spans="1:9">
      <c r="A937" t="s">
        <v>104</v>
      </c>
      <c r="B937" t="s">
        <v>105</v>
      </c>
      <c r="C937" t="s">
        <v>80</v>
      </c>
      <c r="D937" t="s">
        <v>97</v>
      </c>
      <c r="E937" t="s">
        <v>99</v>
      </c>
      <c r="F937" t="s">
        <v>1</v>
      </c>
      <c r="G937" t="s">
        <v>109</v>
      </c>
      <c r="H937" s="62">
        <v>2032</v>
      </c>
      <c r="I937">
        <v>4.4000000000000003E-3</v>
      </c>
    </row>
    <row r="938" spans="1:9">
      <c r="A938" t="s">
        <v>104</v>
      </c>
      <c r="B938" t="s">
        <v>105</v>
      </c>
      <c r="C938" t="s">
        <v>80</v>
      </c>
      <c r="D938" t="s">
        <v>100</v>
      </c>
      <c r="E938" t="s">
        <v>101</v>
      </c>
      <c r="F938" t="s">
        <v>1</v>
      </c>
      <c r="G938" t="s">
        <v>109</v>
      </c>
      <c r="H938" s="62">
        <v>2032</v>
      </c>
      <c r="I938">
        <v>2.8115999999999999</v>
      </c>
    </row>
    <row r="939" spans="1:9">
      <c r="A939" t="s">
        <v>104</v>
      </c>
      <c r="B939" t="s">
        <v>105</v>
      </c>
      <c r="C939" t="s">
        <v>80</v>
      </c>
      <c r="D939" t="s">
        <v>100</v>
      </c>
      <c r="E939" t="s">
        <v>102</v>
      </c>
      <c r="F939" t="s">
        <v>1</v>
      </c>
      <c r="G939" t="s">
        <v>109</v>
      </c>
      <c r="H939" s="62">
        <v>2032</v>
      </c>
      <c r="I939">
        <v>1.9787999999999999</v>
      </c>
    </row>
    <row r="940" spans="1:9">
      <c r="A940" t="s">
        <v>104</v>
      </c>
      <c r="B940" t="s">
        <v>105</v>
      </c>
      <c r="C940" t="s">
        <v>80</v>
      </c>
      <c r="D940" t="s">
        <v>100</v>
      </c>
      <c r="E940" t="s">
        <v>111</v>
      </c>
      <c r="F940" t="s">
        <v>1</v>
      </c>
      <c r="G940" t="s">
        <v>109</v>
      </c>
      <c r="H940" s="62">
        <v>2032</v>
      </c>
      <c r="I940">
        <v>0</v>
      </c>
    </row>
    <row r="941" spans="1:9">
      <c r="A941" t="s">
        <v>104</v>
      </c>
      <c r="B941" t="s">
        <v>105</v>
      </c>
      <c r="C941" t="s">
        <v>80</v>
      </c>
      <c r="D941" t="s">
        <v>100</v>
      </c>
      <c r="E941" t="s">
        <v>112</v>
      </c>
      <c r="F941" t="s">
        <v>1</v>
      </c>
      <c r="G941" t="s">
        <v>109</v>
      </c>
      <c r="H941" s="62">
        <v>2032</v>
      </c>
      <c r="I941">
        <v>0</v>
      </c>
    </row>
    <row r="942" spans="1:9">
      <c r="A942" t="s">
        <v>104</v>
      </c>
      <c r="B942" t="s">
        <v>105</v>
      </c>
      <c r="C942" t="s">
        <v>80</v>
      </c>
      <c r="D942" t="s">
        <v>83</v>
      </c>
      <c r="E942" t="s">
        <v>84</v>
      </c>
      <c r="F942" t="s">
        <v>1</v>
      </c>
      <c r="G942" t="s">
        <v>109</v>
      </c>
      <c r="H942" s="62">
        <v>2032</v>
      </c>
      <c r="I942">
        <v>1.3928</v>
      </c>
    </row>
    <row r="943" spans="1:9">
      <c r="A943" t="s">
        <v>104</v>
      </c>
      <c r="B943" t="s">
        <v>105</v>
      </c>
      <c r="C943" t="s">
        <v>80</v>
      </c>
      <c r="D943" t="s">
        <v>83</v>
      </c>
      <c r="E943" t="s">
        <v>85</v>
      </c>
      <c r="F943" t="s">
        <v>1</v>
      </c>
      <c r="G943" t="s">
        <v>109</v>
      </c>
      <c r="H943" s="62">
        <v>2032</v>
      </c>
      <c r="I943">
        <v>1.2581</v>
      </c>
    </row>
    <row r="944" spans="1:9">
      <c r="A944" t="s">
        <v>104</v>
      </c>
      <c r="B944" t="s">
        <v>105</v>
      </c>
      <c r="C944" t="s">
        <v>80</v>
      </c>
      <c r="D944" t="s">
        <v>86</v>
      </c>
      <c r="E944" t="s">
        <v>106</v>
      </c>
      <c r="F944" t="s">
        <v>1</v>
      </c>
      <c r="G944" t="s">
        <v>109</v>
      </c>
      <c r="H944" s="62">
        <v>2032</v>
      </c>
      <c r="I944">
        <v>1.7092000000000001</v>
      </c>
    </row>
    <row r="945" spans="1:9">
      <c r="A945" t="s">
        <v>104</v>
      </c>
      <c r="B945" t="s">
        <v>105</v>
      </c>
      <c r="C945" t="s">
        <v>80</v>
      </c>
      <c r="D945" t="s">
        <v>86</v>
      </c>
      <c r="E945" t="s">
        <v>87</v>
      </c>
      <c r="F945" t="s">
        <v>1</v>
      </c>
      <c r="G945" t="s">
        <v>109</v>
      </c>
      <c r="H945" s="62">
        <v>2032</v>
      </c>
      <c r="I945">
        <v>1.5093000000000001</v>
      </c>
    </row>
    <row r="946" spans="1:9">
      <c r="A946" t="s">
        <v>104</v>
      </c>
      <c r="B946" t="s">
        <v>105</v>
      </c>
      <c r="C946" t="s">
        <v>80</v>
      </c>
      <c r="D946" t="s">
        <v>103</v>
      </c>
      <c r="E946" t="s">
        <v>92</v>
      </c>
      <c r="F946" t="s">
        <v>1</v>
      </c>
      <c r="G946" t="s">
        <v>109</v>
      </c>
      <c r="H946" s="62">
        <v>2032</v>
      </c>
      <c r="I946">
        <v>2.1886000000000001</v>
      </c>
    </row>
    <row r="947" spans="1:9">
      <c r="A947" t="s">
        <v>104</v>
      </c>
      <c r="B947" t="s">
        <v>105</v>
      </c>
      <c r="C947" t="s">
        <v>80</v>
      </c>
      <c r="D947" t="s">
        <v>103</v>
      </c>
      <c r="E947" t="s">
        <v>89</v>
      </c>
      <c r="F947" t="s">
        <v>1</v>
      </c>
      <c r="G947" t="s">
        <v>109</v>
      </c>
      <c r="H947" s="62">
        <v>2032</v>
      </c>
      <c r="I947">
        <v>11.930899999999999</v>
      </c>
    </row>
    <row r="948" spans="1:9">
      <c r="A948" t="s">
        <v>104</v>
      </c>
      <c r="B948" t="s">
        <v>105</v>
      </c>
      <c r="C948" t="s">
        <v>107</v>
      </c>
      <c r="D948" t="s">
        <v>107</v>
      </c>
      <c r="E948" t="s">
        <v>107</v>
      </c>
      <c r="F948" t="s">
        <v>1</v>
      </c>
      <c r="G948" t="s">
        <v>109</v>
      </c>
      <c r="H948" s="62">
        <v>2033</v>
      </c>
      <c r="I948">
        <v>62.644799999999996</v>
      </c>
    </row>
    <row r="949" spans="1:9">
      <c r="A949" t="s">
        <v>104</v>
      </c>
      <c r="B949" t="s">
        <v>105</v>
      </c>
      <c r="C949" t="s">
        <v>107</v>
      </c>
      <c r="D949" t="s">
        <v>108</v>
      </c>
      <c r="E949" t="s">
        <v>108</v>
      </c>
      <c r="F949" t="s">
        <v>1</v>
      </c>
      <c r="G949" t="s">
        <v>109</v>
      </c>
      <c r="H949" s="62">
        <v>2033</v>
      </c>
      <c r="I949">
        <v>1.288</v>
      </c>
    </row>
    <row r="950" spans="1:9">
      <c r="A950" t="s">
        <v>104</v>
      </c>
      <c r="B950" t="s">
        <v>105</v>
      </c>
      <c r="C950" t="s">
        <v>80</v>
      </c>
      <c r="D950" t="s">
        <v>80</v>
      </c>
      <c r="E950" t="s">
        <v>80</v>
      </c>
      <c r="F950" t="s">
        <v>1</v>
      </c>
      <c r="G950" t="s">
        <v>109</v>
      </c>
      <c r="H950" s="62">
        <v>2033</v>
      </c>
      <c r="I950">
        <v>61.3568</v>
      </c>
    </row>
    <row r="951" spans="1:9">
      <c r="A951" t="s">
        <v>104</v>
      </c>
      <c r="B951" t="s">
        <v>105</v>
      </c>
      <c r="C951" t="s">
        <v>80</v>
      </c>
      <c r="D951" t="s">
        <v>89</v>
      </c>
      <c r="E951" t="s">
        <v>90</v>
      </c>
      <c r="F951" t="s">
        <v>1</v>
      </c>
      <c r="G951" t="s">
        <v>109</v>
      </c>
      <c r="H951" s="62">
        <v>2033</v>
      </c>
      <c r="I951">
        <v>3.1259999999999999</v>
      </c>
    </row>
    <row r="952" spans="1:9">
      <c r="A952" t="s">
        <v>104</v>
      </c>
      <c r="B952" t="s">
        <v>105</v>
      </c>
      <c r="C952" t="s">
        <v>80</v>
      </c>
      <c r="D952" t="s">
        <v>89</v>
      </c>
      <c r="E952" t="s">
        <v>91</v>
      </c>
      <c r="F952" t="s">
        <v>1</v>
      </c>
      <c r="G952" t="s">
        <v>109</v>
      </c>
      <c r="H952" s="62">
        <v>2033</v>
      </c>
      <c r="I952">
        <v>-0.27239999999999998</v>
      </c>
    </row>
    <row r="953" spans="1:9">
      <c r="A953" t="s">
        <v>104</v>
      </c>
      <c r="B953" t="s">
        <v>105</v>
      </c>
      <c r="C953" t="s">
        <v>80</v>
      </c>
      <c r="D953" t="s">
        <v>92</v>
      </c>
      <c r="E953" t="s">
        <v>93</v>
      </c>
      <c r="F953" t="s">
        <v>1</v>
      </c>
      <c r="G953" t="s">
        <v>109</v>
      </c>
      <c r="H953" s="62">
        <v>2033</v>
      </c>
      <c r="I953">
        <v>-3.1473</v>
      </c>
    </row>
    <row r="954" spans="1:9">
      <c r="A954" t="s">
        <v>104</v>
      </c>
      <c r="B954" t="s">
        <v>105</v>
      </c>
      <c r="C954" t="s">
        <v>80</v>
      </c>
      <c r="D954" t="s">
        <v>92</v>
      </c>
      <c r="E954" t="s">
        <v>94</v>
      </c>
      <c r="F954" t="s">
        <v>1</v>
      </c>
      <c r="G954" t="s">
        <v>109</v>
      </c>
      <c r="H954" s="62">
        <v>2033</v>
      </c>
      <c r="I954">
        <v>20.613600000000002</v>
      </c>
    </row>
    <row r="955" spans="1:9">
      <c r="A955" t="s">
        <v>104</v>
      </c>
      <c r="B955" t="s">
        <v>105</v>
      </c>
      <c r="C955" t="s">
        <v>80</v>
      </c>
      <c r="D955" t="s">
        <v>92</v>
      </c>
      <c r="E955" t="s">
        <v>110</v>
      </c>
      <c r="F955" t="s">
        <v>1</v>
      </c>
      <c r="G955" t="s">
        <v>109</v>
      </c>
      <c r="H955" s="62">
        <v>2033</v>
      </c>
      <c r="I955">
        <v>6.5589000000000004</v>
      </c>
    </row>
    <row r="956" spans="1:9">
      <c r="A956" t="s">
        <v>104</v>
      </c>
      <c r="B956" t="s">
        <v>105</v>
      </c>
      <c r="C956" t="s">
        <v>80</v>
      </c>
      <c r="D956" t="s">
        <v>92</v>
      </c>
      <c r="E956" t="s">
        <v>95</v>
      </c>
      <c r="F956" t="s">
        <v>1</v>
      </c>
      <c r="G956" t="s">
        <v>109</v>
      </c>
      <c r="H956" s="62">
        <v>2033</v>
      </c>
      <c r="I956">
        <v>15.510999999999999</v>
      </c>
    </row>
    <row r="957" spans="1:9">
      <c r="A957" t="s">
        <v>104</v>
      </c>
      <c r="B957" t="s">
        <v>105</v>
      </c>
      <c r="C957" t="s">
        <v>80</v>
      </c>
      <c r="D957" t="s">
        <v>96</v>
      </c>
      <c r="E957" t="s">
        <v>92</v>
      </c>
      <c r="F957" t="s">
        <v>1</v>
      </c>
      <c r="G957" t="s">
        <v>109</v>
      </c>
      <c r="H957" s="62">
        <v>2033</v>
      </c>
      <c r="I957">
        <v>6.5720999999999998</v>
      </c>
    </row>
    <row r="958" spans="1:9">
      <c r="A958" t="s">
        <v>104</v>
      </c>
      <c r="B958" t="s">
        <v>105</v>
      </c>
      <c r="C958" t="s">
        <v>80</v>
      </c>
      <c r="D958" t="s">
        <v>96</v>
      </c>
      <c r="E958" t="s">
        <v>89</v>
      </c>
      <c r="F958" t="s">
        <v>1</v>
      </c>
      <c r="G958" t="s">
        <v>109</v>
      </c>
      <c r="H958" s="62">
        <v>2033</v>
      </c>
      <c r="I958">
        <v>0.1827</v>
      </c>
    </row>
    <row r="959" spans="1:9">
      <c r="A959" t="s">
        <v>104</v>
      </c>
      <c r="B959" t="s">
        <v>105</v>
      </c>
      <c r="C959" t="s">
        <v>80</v>
      </c>
      <c r="D959" t="s">
        <v>97</v>
      </c>
      <c r="E959" t="s">
        <v>98</v>
      </c>
      <c r="F959" t="s">
        <v>1</v>
      </c>
      <c r="G959" t="s">
        <v>109</v>
      </c>
      <c r="H959" s="62">
        <v>2033</v>
      </c>
      <c r="I959">
        <v>2.4011</v>
      </c>
    </row>
    <row r="960" spans="1:9">
      <c r="A960" t="s">
        <v>104</v>
      </c>
      <c r="B960" t="s">
        <v>105</v>
      </c>
      <c r="C960" t="s">
        <v>80</v>
      </c>
      <c r="D960" t="s">
        <v>97</v>
      </c>
      <c r="E960" t="s">
        <v>99</v>
      </c>
      <c r="F960" t="s">
        <v>1</v>
      </c>
      <c r="G960" t="s">
        <v>109</v>
      </c>
      <c r="H960" s="62">
        <v>2033</v>
      </c>
      <c r="I960">
        <v>7.6E-3</v>
      </c>
    </row>
    <row r="961" spans="1:9">
      <c r="A961" t="s">
        <v>104</v>
      </c>
      <c r="B961" t="s">
        <v>105</v>
      </c>
      <c r="C961" t="s">
        <v>80</v>
      </c>
      <c r="D961" t="s">
        <v>100</v>
      </c>
      <c r="E961" t="s">
        <v>101</v>
      </c>
      <c r="F961" t="s">
        <v>1</v>
      </c>
      <c r="G961" t="s">
        <v>109</v>
      </c>
      <c r="H961" s="62">
        <v>2033</v>
      </c>
      <c r="I961">
        <v>4.2853000000000003</v>
      </c>
    </row>
    <row r="962" spans="1:9">
      <c r="A962" t="s">
        <v>104</v>
      </c>
      <c r="B962" t="s">
        <v>105</v>
      </c>
      <c r="C962" t="s">
        <v>80</v>
      </c>
      <c r="D962" t="s">
        <v>100</v>
      </c>
      <c r="E962" t="s">
        <v>102</v>
      </c>
      <c r="F962" t="s">
        <v>1</v>
      </c>
      <c r="G962" t="s">
        <v>109</v>
      </c>
      <c r="H962" s="62">
        <v>2033</v>
      </c>
      <c r="I962">
        <v>2.8279999999999998</v>
      </c>
    </row>
    <row r="963" spans="1:9">
      <c r="A963" t="s">
        <v>104</v>
      </c>
      <c r="B963" t="s">
        <v>105</v>
      </c>
      <c r="C963" t="s">
        <v>80</v>
      </c>
      <c r="D963" t="s">
        <v>100</v>
      </c>
      <c r="E963" t="s">
        <v>111</v>
      </c>
      <c r="F963" t="s">
        <v>1</v>
      </c>
      <c r="G963" t="s">
        <v>109</v>
      </c>
      <c r="H963" s="62">
        <v>2033</v>
      </c>
      <c r="I963">
        <v>0</v>
      </c>
    </row>
    <row r="964" spans="1:9">
      <c r="A964" t="s">
        <v>104</v>
      </c>
      <c r="B964" t="s">
        <v>105</v>
      </c>
      <c r="C964" t="s">
        <v>80</v>
      </c>
      <c r="D964" t="s">
        <v>100</v>
      </c>
      <c r="E964" t="s">
        <v>112</v>
      </c>
      <c r="F964" t="s">
        <v>1</v>
      </c>
      <c r="G964" t="s">
        <v>109</v>
      </c>
      <c r="H964" s="62">
        <v>2033</v>
      </c>
      <c r="I964">
        <v>0</v>
      </c>
    </row>
    <row r="965" spans="1:9">
      <c r="A965" t="s">
        <v>104</v>
      </c>
      <c r="B965" t="s">
        <v>105</v>
      </c>
      <c r="C965" t="s">
        <v>80</v>
      </c>
      <c r="D965" t="s">
        <v>83</v>
      </c>
      <c r="E965" t="s">
        <v>84</v>
      </c>
      <c r="F965" t="s">
        <v>1</v>
      </c>
      <c r="G965" t="s">
        <v>109</v>
      </c>
      <c r="H965" s="62">
        <v>2033</v>
      </c>
      <c r="I965">
        <v>1.4148000000000001</v>
      </c>
    </row>
    <row r="966" spans="1:9">
      <c r="A966" t="s">
        <v>104</v>
      </c>
      <c r="B966" t="s">
        <v>105</v>
      </c>
      <c r="C966" t="s">
        <v>80</v>
      </c>
      <c r="D966" t="s">
        <v>83</v>
      </c>
      <c r="E966" t="s">
        <v>85</v>
      </c>
      <c r="F966" t="s">
        <v>1</v>
      </c>
      <c r="G966" t="s">
        <v>109</v>
      </c>
      <c r="H966" s="62">
        <v>2033</v>
      </c>
      <c r="I966">
        <v>1.2754000000000001</v>
      </c>
    </row>
    <row r="967" spans="1:9">
      <c r="A967" t="s">
        <v>104</v>
      </c>
      <c r="B967" t="s">
        <v>105</v>
      </c>
      <c r="C967" t="s">
        <v>80</v>
      </c>
      <c r="D967" t="s">
        <v>86</v>
      </c>
      <c r="E967" t="s">
        <v>106</v>
      </c>
      <c r="F967" t="s">
        <v>1</v>
      </c>
      <c r="G967" t="s">
        <v>109</v>
      </c>
      <c r="H967" s="62">
        <v>2033</v>
      </c>
      <c r="I967">
        <v>1.7189000000000001</v>
      </c>
    </row>
    <row r="968" spans="1:9">
      <c r="A968" t="s">
        <v>104</v>
      </c>
      <c r="B968" t="s">
        <v>105</v>
      </c>
      <c r="C968" t="s">
        <v>80</v>
      </c>
      <c r="D968" t="s">
        <v>86</v>
      </c>
      <c r="E968" t="s">
        <v>87</v>
      </c>
      <c r="F968" t="s">
        <v>1</v>
      </c>
      <c r="G968" t="s">
        <v>109</v>
      </c>
      <c r="H968" s="62">
        <v>2033</v>
      </c>
      <c r="I968">
        <v>1.7008000000000001</v>
      </c>
    </row>
    <row r="969" spans="1:9">
      <c r="A969" t="s">
        <v>104</v>
      </c>
      <c r="B969" t="s">
        <v>105</v>
      </c>
      <c r="C969" t="s">
        <v>80</v>
      </c>
      <c r="D969" t="s">
        <v>103</v>
      </c>
      <c r="E969" t="s">
        <v>92</v>
      </c>
      <c r="F969" t="s">
        <v>1</v>
      </c>
      <c r="G969" t="s">
        <v>109</v>
      </c>
      <c r="H969" s="62">
        <v>2033</v>
      </c>
      <c r="I969">
        <v>2.2951000000000001</v>
      </c>
    </row>
    <row r="970" spans="1:9">
      <c r="A970" t="s">
        <v>104</v>
      </c>
      <c r="B970" t="s">
        <v>105</v>
      </c>
      <c r="C970" t="s">
        <v>80</v>
      </c>
      <c r="D970" t="s">
        <v>103</v>
      </c>
      <c r="E970" t="s">
        <v>89</v>
      </c>
      <c r="F970" t="s">
        <v>1</v>
      </c>
      <c r="G970" t="s">
        <v>109</v>
      </c>
      <c r="H970" s="62">
        <v>2033</v>
      </c>
      <c r="I970">
        <v>12.6121</v>
      </c>
    </row>
    <row r="971" spans="1:9">
      <c r="A971" t="s">
        <v>104</v>
      </c>
      <c r="B971" t="s">
        <v>105</v>
      </c>
      <c r="C971" t="s">
        <v>107</v>
      </c>
      <c r="D971" t="s">
        <v>107</v>
      </c>
      <c r="E971" t="s">
        <v>107</v>
      </c>
      <c r="F971" t="s">
        <v>1</v>
      </c>
      <c r="G971" t="s">
        <v>109</v>
      </c>
      <c r="H971" s="62">
        <v>2034</v>
      </c>
      <c r="I971">
        <v>63.770200000000003</v>
      </c>
    </row>
    <row r="972" spans="1:9">
      <c r="A972" t="s">
        <v>104</v>
      </c>
      <c r="B972" t="s">
        <v>105</v>
      </c>
      <c r="C972" t="s">
        <v>107</v>
      </c>
      <c r="D972" t="s">
        <v>108</v>
      </c>
      <c r="E972" t="s">
        <v>108</v>
      </c>
      <c r="F972" t="s">
        <v>1</v>
      </c>
      <c r="G972" t="s">
        <v>109</v>
      </c>
      <c r="H972" s="62">
        <v>2034</v>
      </c>
      <c r="I972">
        <v>0.82520000000000004</v>
      </c>
    </row>
    <row r="973" spans="1:9">
      <c r="A973" t="s">
        <v>104</v>
      </c>
      <c r="B973" t="s">
        <v>105</v>
      </c>
      <c r="C973" t="s">
        <v>80</v>
      </c>
      <c r="D973" t="s">
        <v>80</v>
      </c>
      <c r="E973" t="s">
        <v>80</v>
      </c>
      <c r="F973" t="s">
        <v>1</v>
      </c>
      <c r="G973" t="s">
        <v>109</v>
      </c>
      <c r="H973" s="62">
        <v>2034</v>
      </c>
      <c r="I973">
        <v>62.945</v>
      </c>
    </row>
    <row r="974" spans="1:9">
      <c r="A974" t="s">
        <v>104</v>
      </c>
      <c r="B974" t="s">
        <v>105</v>
      </c>
      <c r="C974" t="s">
        <v>80</v>
      </c>
      <c r="D974" t="s">
        <v>89</v>
      </c>
      <c r="E974" t="s">
        <v>90</v>
      </c>
      <c r="F974" t="s">
        <v>1</v>
      </c>
      <c r="G974" t="s">
        <v>109</v>
      </c>
      <c r="H974" s="62">
        <v>2034</v>
      </c>
      <c r="I974">
        <v>2.5590000000000002</v>
      </c>
    </row>
    <row r="975" spans="1:9">
      <c r="A975" t="s">
        <v>104</v>
      </c>
      <c r="B975" t="s">
        <v>105</v>
      </c>
      <c r="C975" t="s">
        <v>80</v>
      </c>
      <c r="D975" t="s">
        <v>89</v>
      </c>
      <c r="E975" t="s">
        <v>91</v>
      </c>
      <c r="F975" t="s">
        <v>1</v>
      </c>
      <c r="G975" t="s">
        <v>109</v>
      </c>
      <c r="H975" s="62">
        <v>2034</v>
      </c>
      <c r="I975">
        <v>-0.2409</v>
      </c>
    </row>
    <row r="976" spans="1:9">
      <c r="A976" t="s">
        <v>104</v>
      </c>
      <c r="B976" t="s">
        <v>105</v>
      </c>
      <c r="C976" t="s">
        <v>80</v>
      </c>
      <c r="D976" t="s">
        <v>92</v>
      </c>
      <c r="E976" t="s">
        <v>93</v>
      </c>
      <c r="F976" t="s">
        <v>1</v>
      </c>
      <c r="G976" t="s">
        <v>109</v>
      </c>
      <c r="H976" s="62">
        <v>2034</v>
      </c>
      <c r="I976">
        <v>-3.3769</v>
      </c>
    </row>
    <row r="977" spans="1:9">
      <c r="A977" t="s">
        <v>104</v>
      </c>
      <c r="B977" t="s">
        <v>105</v>
      </c>
      <c r="C977" t="s">
        <v>80</v>
      </c>
      <c r="D977" t="s">
        <v>92</v>
      </c>
      <c r="E977" t="s">
        <v>94</v>
      </c>
      <c r="F977" t="s">
        <v>1</v>
      </c>
      <c r="G977" t="s">
        <v>109</v>
      </c>
      <c r="H977" s="62">
        <v>2034</v>
      </c>
      <c r="I977">
        <v>20.0731</v>
      </c>
    </row>
    <row r="978" spans="1:9">
      <c r="A978" t="s">
        <v>104</v>
      </c>
      <c r="B978" t="s">
        <v>105</v>
      </c>
      <c r="C978" t="s">
        <v>80</v>
      </c>
      <c r="D978" t="s">
        <v>92</v>
      </c>
      <c r="E978" t="s">
        <v>110</v>
      </c>
      <c r="F978" t="s">
        <v>1</v>
      </c>
      <c r="G978" t="s">
        <v>109</v>
      </c>
      <c r="H978" s="62">
        <v>2034</v>
      </c>
      <c r="I978">
        <v>6.4912000000000001</v>
      </c>
    </row>
    <row r="979" spans="1:9">
      <c r="A979" t="s">
        <v>104</v>
      </c>
      <c r="B979" t="s">
        <v>105</v>
      </c>
      <c r="C979" t="s">
        <v>80</v>
      </c>
      <c r="D979" t="s">
        <v>92</v>
      </c>
      <c r="E979" t="s">
        <v>95</v>
      </c>
      <c r="F979" t="s">
        <v>1</v>
      </c>
      <c r="G979" t="s">
        <v>109</v>
      </c>
      <c r="H979" s="62">
        <v>2034</v>
      </c>
      <c r="I979">
        <v>15.794499999999999</v>
      </c>
    </row>
    <row r="980" spans="1:9">
      <c r="A980" t="s">
        <v>104</v>
      </c>
      <c r="B980" t="s">
        <v>105</v>
      </c>
      <c r="C980" t="s">
        <v>80</v>
      </c>
      <c r="D980" t="s">
        <v>96</v>
      </c>
      <c r="E980" t="s">
        <v>92</v>
      </c>
      <c r="F980" t="s">
        <v>1</v>
      </c>
      <c r="G980" t="s">
        <v>109</v>
      </c>
      <c r="H980" s="62">
        <v>2034</v>
      </c>
      <c r="I980">
        <v>6.9184000000000001</v>
      </c>
    </row>
    <row r="981" spans="1:9">
      <c r="A981" t="s">
        <v>104</v>
      </c>
      <c r="B981" t="s">
        <v>105</v>
      </c>
      <c r="C981" t="s">
        <v>80</v>
      </c>
      <c r="D981" t="s">
        <v>96</v>
      </c>
      <c r="E981" t="s">
        <v>89</v>
      </c>
      <c r="F981" t="s">
        <v>1</v>
      </c>
      <c r="G981" t="s">
        <v>109</v>
      </c>
      <c r="H981" s="62">
        <v>2034</v>
      </c>
      <c r="I981">
        <v>0.20699999999999999</v>
      </c>
    </row>
    <row r="982" spans="1:9">
      <c r="A982" t="s">
        <v>104</v>
      </c>
      <c r="B982" t="s">
        <v>105</v>
      </c>
      <c r="C982" t="s">
        <v>80</v>
      </c>
      <c r="D982" t="s">
        <v>97</v>
      </c>
      <c r="E982" t="s">
        <v>98</v>
      </c>
      <c r="F982" t="s">
        <v>1</v>
      </c>
      <c r="G982" t="s">
        <v>109</v>
      </c>
      <c r="H982" s="62">
        <v>2034</v>
      </c>
      <c r="I982">
        <v>2.8079999999999998</v>
      </c>
    </row>
    <row r="983" spans="1:9">
      <c r="A983" t="s">
        <v>104</v>
      </c>
      <c r="B983" t="s">
        <v>105</v>
      </c>
      <c r="C983" t="s">
        <v>80</v>
      </c>
      <c r="D983" t="s">
        <v>97</v>
      </c>
      <c r="E983" t="s">
        <v>99</v>
      </c>
      <c r="F983" t="s">
        <v>1</v>
      </c>
      <c r="G983" t="s">
        <v>109</v>
      </c>
      <c r="H983" s="62">
        <v>2034</v>
      </c>
      <c r="I983">
        <v>1.17E-2</v>
      </c>
    </row>
    <row r="984" spans="1:9">
      <c r="A984" t="s">
        <v>104</v>
      </c>
      <c r="B984" t="s">
        <v>105</v>
      </c>
      <c r="C984" t="s">
        <v>80</v>
      </c>
      <c r="D984" t="s">
        <v>100</v>
      </c>
      <c r="E984" t="s">
        <v>101</v>
      </c>
      <c r="F984" t="s">
        <v>1</v>
      </c>
      <c r="G984" t="s">
        <v>109</v>
      </c>
      <c r="H984" s="62">
        <v>2034</v>
      </c>
      <c r="I984">
        <v>6.1012000000000004</v>
      </c>
    </row>
    <row r="985" spans="1:9">
      <c r="A985" t="s">
        <v>104</v>
      </c>
      <c r="B985" t="s">
        <v>105</v>
      </c>
      <c r="C985" t="s">
        <v>80</v>
      </c>
      <c r="D985" t="s">
        <v>100</v>
      </c>
      <c r="E985" t="s">
        <v>102</v>
      </c>
      <c r="F985" t="s">
        <v>1</v>
      </c>
      <c r="G985" t="s">
        <v>109</v>
      </c>
      <c r="H985" s="62">
        <v>2034</v>
      </c>
      <c r="I985">
        <v>2.9249999999999998</v>
      </c>
    </row>
    <row r="986" spans="1:9">
      <c r="A986" t="s">
        <v>104</v>
      </c>
      <c r="B986" t="s">
        <v>105</v>
      </c>
      <c r="C986" t="s">
        <v>80</v>
      </c>
      <c r="D986" t="s">
        <v>100</v>
      </c>
      <c r="E986" t="s">
        <v>111</v>
      </c>
      <c r="F986" t="s">
        <v>1</v>
      </c>
      <c r="G986" t="s">
        <v>109</v>
      </c>
      <c r="H986" s="62">
        <v>2034</v>
      </c>
      <c r="I986">
        <v>0</v>
      </c>
    </row>
    <row r="987" spans="1:9">
      <c r="A987" t="s">
        <v>104</v>
      </c>
      <c r="B987" t="s">
        <v>105</v>
      </c>
      <c r="C987" t="s">
        <v>80</v>
      </c>
      <c r="D987" t="s">
        <v>100</v>
      </c>
      <c r="E987" t="s">
        <v>112</v>
      </c>
      <c r="F987" t="s">
        <v>1</v>
      </c>
      <c r="G987" t="s">
        <v>109</v>
      </c>
      <c r="H987" s="62">
        <v>2034</v>
      </c>
      <c r="I987">
        <v>0</v>
      </c>
    </row>
    <row r="988" spans="1:9">
      <c r="A988" t="s">
        <v>104</v>
      </c>
      <c r="B988" t="s">
        <v>105</v>
      </c>
      <c r="C988" t="s">
        <v>80</v>
      </c>
      <c r="D988" t="s">
        <v>83</v>
      </c>
      <c r="E988" t="s">
        <v>84</v>
      </c>
      <c r="F988" t="s">
        <v>1</v>
      </c>
      <c r="G988" t="s">
        <v>109</v>
      </c>
      <c r="H988" s="62">
        <v>2034</v>
      </c>
      <c r="I988">
        <v>1.4008</v>
      </c>
    </row>
    <row r="989" spans="1:9">
      <c r="A989" t="s">
        <v>104</v>
      </c>
      <c r="B989" t="s">
        <v>105</v>
      </c>
      <c r="C989" t="s">
        <v>80</v>
      </c>
      <c r="D989" t="s">
        <v>83</v>
      </c>
      <c r="E989" t="s">
        <v>85</v>
      </c>
      <c r="F989" t="s">
        <v>1</v>
      </c>
      <c r="G989" t="s">
        <v>109</v>
      </c>
      <c r="H989" s="62">
        <v>2034</v>
      </c>
      <c r="I989">
        <v>1.2727999999999999</v>
      </c>
    </row>
    <row r="990" spans="1:9">
      <c r="A990" t="s">
        <v>104</v>
      </c>
      <c r="B990" t="s">
        <v>105</v>
      </c>
      <c r="C990" t="s">
        <v>80</v>
      </c>
      <c r="D990" t="s">
        <v>86</v>
      </c>
      <c r="E990" t="s">
        <v>106</v>
      </c>
      <c r="F990" t="s">
        <v>1</v>
      </c>
      <c r="G990" t="s">
        <v>109</v>
      </c>
      <c r="H990" s="62">
        <v>2034</v>
      </c>
      <c r="I990">
        <v>1.7332000000000001</v>
      </c>
    </row>
    <row r="991" spans="1:9">
      <c r="A991" t="s">
        <v>104</v>
      </c>
      <c r="B991" t="s">
        <v>105</v>
      </c>
      <c r="C991" t="s">
        <v>80</v>
      </c>
      <c r="D991" t="s">
        <v>86</v>
      </c>
      <c r="E991" t="s">
        <v>87</v>
      </c>
      <c r="F991" t="s">
        <v>1</v>
      </c>
      <c r="G991" t="s">
        <v>109</v>
      </c>
      <c r="H991" s="62">
        <v>2034</v>
      </c>
      <c r="I991">
        <v>1.8847</v>
      </c>
    </row>
    <row r="992" spans="1:9">
      <c r="A992" t="s">
        <v>104</v>
      </c>
      <c r="B992" t="s">
        <v>105</v>
      </c>
      <c r="C992" t="s">
        <v>80</v>
      </c>
      <c r="D992" t="s">
        <v>103</v>
      </c>
      <c r="E992" t="s">
        <v>92</v>
      </c>
      <c r="F992" t="s">
        <v>1</v>
      </c>
      <c r="G992" t="s">
        <v>109</v>
      </c>
      <c r="H992" s="62">
        <v>2034</v>
      </c>
      <c r="I992">
        <v>2.4072</v>
      </c>
    </row>
    <row r="993" spans="1:9">
      <c r="A993" t="s">
        <v>104</v>
      </c>
      <c r="B993" t="s">
        <v>105</v>
      </c>
      <c r="C993" t="s">
        <v>80</v>
      </c>
      <c r="D993" t="s">
        <v>103</v>
      </c>
      <c r="E993" t="s">
        <v>89</v>
      </c>
      <c r="F993" t="s">
        <v>1</v>
      </c>
      <c r="G993" t="s">
        <v>109</v>
      </c>
      <c r="H993" s="62">
        <v>2034</v>
      </c>
      <c r="I993">
        <v>13.3111</v>
      </c>
    </row>
    <row r="994" spans="1:9">
      <c r="A994" t="s">
        <v>104</v>
      </c>
      <c r="B994" t="s">
        <v>105</v>
      </c>
      <c r="C994" t="s">
        <v>107</v>
      </c>
      <c r="D994" t="s">
        <v>107</v>
      </c>
      <c r="E994" t="s">
        <v>107</v>
      </c>
      <c r="F994" t="s">
        <v>1</v>
      </c>
      <c r="G994" t="s">
        <v>109</v>
      </c>
      <c r="H994" s="62">
        <v>2035</v>
      </c>
      <c r="I994">
        <v>65.538399999999996</v>
      </c>
    </row>
    <row r="995" spans="1:9">
      <c r="A995" t="s">
        <v>104</v>
      </c>
      <c r="B995" t="s">
        <v>105</v>
      </c>
      <c r="C995" t="s">
        <v>107</v>
      </c>
      <c r="D995" t="s">
        <v>108</v>
      </c>
      <c r="E995" t="s">
        <v>108</v>
      </c>
      <c r="F995" t="s">
        <v>1</v>
      </c>
      <c r="G995" t="s">
        <v>109</v>
      </c>
      <c r="H995" s="62">
        <v>2035</v>
      </c>
      <c r="I995">
        <v>0.16009999999999999</v>
      </c>
    </row>
    <row r="996" spans="1:9">
      <c r="A996" t="s">
        <v>104</v>
      </c>
      <c r="B996" t="s">
        <v>105</v>
      </c>
      <c r="C996" t="s">
        <v>80</v>
      </c>
      <c r="D996" t="s">
        <v>80</v>
      </c>
      <c r="E996" t="s">
        <v>80</v>
      </c>
      <c r="F996" t="s">
        <v>1</v>
      </c>
      <c r="G996" t="s">
        <v>109</v>
      </c>
      <c r="H996" s="62">
        <v>2035</v>
      </c>
      <c r="I996">
        <v>65.378399999999999</v>
      </c>
    </row>
    <row r="997" spans="1:9">
      <c r="A997" t="s">
        <v>104</v>
      </c>
      <c r="B997" t="s">
        <v>105</v>
      </c>
      <c r="C997" t="s">
        <v>80</v>
      </c>
      <c r="D997" t="s">
        <v>89</v>
      </c>
      <c r="E997" t="s">
        <v>90</v>
      </c>
      <c r="F997" t="s">
        <v>1</v>
      </c>
      <c r="G997" t="s">
        <v>109</v>
      </c>
      <c r="H997" s="62">
        <v>2035</v>
      </c>
      <c r="I997">
        <v>2.0409000000000002</v>
      </c>
    </row>
    <row r="998" spans="1:9">
      <c r="A998" t="s">
        <v>104</v>
      </c>
      <c r="B998" t="s">
        <v>105</v>
      </c>
      <c r="C998" t="s">
        <v>80</v>
      </c>
      <c r="D998" t="s">
        <v>89</v>
      </c>
      <c r="E998" t="s">
        <v>91</v>
      </c>
      <c r="F998" t="s">
        <v>1</v>
      </c>
      <c r="G998" t="s">
        <v>109</v>
      </c>
      <c r="H998" s="62">
        <v>2035</v>
      </c>
      <c r="I998">
        <v>-0.20349999999999999</v>
      </c>
    </row>
    <row r="999" spans="1:9">
      <c r="A999" t="s">
        <v>104</v>
      </c>
      <c r="B999" t="s">
        <v>105</v>
      </c>
      <c r="C999" t="s">
        <v>80</v>
      </c>
      <c r="D999" t="s">
        <v>92</v>
      </c>
      <c r="E999" t="s">
        <v>93</v>
      </c>
      <c r="F999" t="s">
        <v>1</v>
      </c>
      <c r="G999" t="s">
        <v>109</v>
      </c>
      <c r="H999" s="62">
        <v>2035</v>
      </c>
      <c r="I999">
        <v>-3.5848</v>
      </c>
    </row>
    <row r="1000" spans="1:9">
      <c r="A1000" t="s">
        <v>104</v>
      </c>
      <c r="B1000" t="s">
        <v>105</v>
      </c>
      <c r="C1000" t="s">
        <v>80</v>
      </c>
      <c r="D1000" t="s">
        <v>92</v>
      </c>
      <c r="E1000" t="s">
        <v>94</v>
      </c>
      <c r="F1000" t="s">
        <v>1</v>
      </c>
      <c r="G1000" t="s">
        <v>109</v>
      </c>
      <c r="H1000" s="62">
        <v>2035</v>
      </c>
      <c r="I1000">
        <v>19.811</v>
      </c>
    </row>
    <row r="1001" spans="1:9">
      <c r="A1001" t="s">
        <v>104</v>
      </c>
      <c r="B1001" t="s">
        <v>105</v>
      </c>
      <c r="C1001" t="s">
        <v>80</v>
      </c>
      <c r="D1001" t="s">
        <v>92</v>
      </c>
      <c r="E1001" t="s">
        <v>110</v>
      </c>
      <c r="F1001" t="s">
        <v>1</v>
      </c>
      <c r="G1001" t="s">
        <v>109</v>
      </c>
      <c r="H1001" s="62">
        <v>2035</v>
      </c>
      <c r="I1001">
        <v>6.3708</v>
      </c>
    </row>
    <row r="1002" spans="1:9">
      <c r="A1002" t="s">
        <v>104</v>
      </c>
      <c r="B1002" t="s">
        <v>105</v>
      </c>
      <c r="C1002" t="s">
        <v>80</v>
      </c>
      <c r="D1002" t="s">
        <v>92</v>
      </c>
      <c r="E1002" t="s">
        <v>95</v>
      </c>
      <c r="F1002" t="s">
        <v>1</v>
      </c>
      <c r="G1002" t="s">
        <v>109</v>
      </c>
      <c r="H1002" s="62">
        <v>2035</v>
      </c>
      <c r="I1002">
        <v>16.139800000000001</v>
      </c>
    </row>
    <row r="1003" spans="1:9">
      <c r="A1003" t="s">
        <v>104</v>
      </c>
      <c r="B1003" t="s">
        <v>105</v>
      </c>
      <c r="C1003" t="s">
        <v>80</v>
      </c>
      <c r="D1003" t="s">
        <v>96</v>
      </c>
      <c r="E1003" t="s">
        <v>92</v>
      </c>
      <c r="F1003" t="s">
        <v>1</v>
      </c>
      <c r="G1003" t="s">
        <v>109</v>
      </c>
      <c r="H1003" s="62">
        <v>2035</v>
      </c>
      <c r="I1003">
        <v>6.9222999999999999</v>
      </c>
    </row>
    <row r="1004" spans="1:9">
      <c r="A1004" t="s">
        <v>104</v>
      </c>
      <c r="B1004" t="s">
        <v>105</v>
      </c>
      <c r="C1004" t="s">
        <v>80</v>
      </c>
      <c r="D1004" t="s">
        <v>96</v>
      </c>
      <c r="E1004" t="s">
        <v>89</v>
      </c>
      <c r="F1004" t="s">
        <v>1</v>
      </c>
      <c r="G1004" t="s">
        <v>109</v>
      </c>
      <c r="H1004" s="62">
        <v>2035</v>
      </c>
      <c r="I1004">
        <v>0.23089999999999999</v>
      </c>
    </row>
    <row r="1005" spans="1:9">
      <c r="A1005" t="s">
        <v>104</v>
      </c>
      <c r="B1005" t="s">
        <v>105</v>
      </c>
      <c r="C1005" t="s">
        <v>80</v>
      </c>
      <c r="D1005" t="s">
        <v>97</v>
      </c>
      <c r="E1005" t="s">
        <v>98</v>
      </c>
      <c r="F1005" t="s">
        <v>1</v>
      </c>
      <c r="G1005" t="s">
        <v>109</v>
      </c>
      <c r="H1005" s="62">
        <v>2035</v>
      </c>
      <c r="I1005">
        <v>3.2423999999999999</v>
      </c>
    </row>
    <row r="1006" spans="1:9">
      <c r="A1006" t="s">
        <v>104</v>
      </c>
      <c r="B1006" t="s">
        <v>105</v>
      </c>
      <c r="C1006" t="s">
        <v>80</v>
      </c>
      <c r="D1006" t="s">
        <v>97</v>
      </c>
      <c r="E1006" t="s">
        <v>99</v>
      </c>
      <c r="F1006" t="s">
        <v>1</v>
      </c>
      <c r="G1006" t="s">
        <v>109</v>
      </c>
      <c r="H1006" s="62">
        <v>2035</v>
      </c>
      <c r="I1006">
        <v>1.66E-2</v>
      </c>
    </row>
    <row r="1007" spans="1:9">
      <c r="A1007" t="s">
        <v>104</v>
      </c>
      <c r="B1007" t="s">
        <v>105</v>
      </c>
      <c r="C1007" t="s">
        <v>80</v>
      </c>
      <c r="D1007" t="s">
        <v>100</v>
      </c>
      <c r="E1007" t="s">
        <v>101</v>
      </c>
      <c r="F1007" t="s">
        <v>1</v>
      </c>
      <c r="G1007" t="s">
        <v>109</v>
      </c>
      <c r="H1007" s="62">
        <v>2035</v>
      </c>
      <c r="I1007">
        <v>7.7362000000000002</v>
      </c>
    </row>
    <row r="1008" spans="1:9">
      <c r="A1008" t="s">
        <v>104</v>
      </c>
      <c r="B1008" t="s">
        <v>105</v>
      </c>
      <c r="C1008" t="s">
        <v>80</v>
      </c>
      <c r="D1008" t="s">
        <v>100</v>
      </c>
      <c r="E1008" t="s">
        <v>102</v>
      </c>
      <c r="F1008" t="s">
        <v>1</v>
      </c>
      <c r="G1008" t="s">
        <v>109</v>
      </c>
      <c r="H1008" s="62">
        <v>2035</v>
      </c>
      <c r="I1008">
        <v>3.9977</v>
      </c>
    </row>
    <row r="1009" spans="1:9">
      <c r="A1009" t="s">
        <v>104</v>
      </c>
      <c r="B1009" t="s">
        <v>105</v>
      </c>
      <c r="C1009" t="s">
        <v>80</v>
      </c>
      <c r="D1009" t="s">
        <v>100</v>
      </c>
      <c r="E1009" t="s">
        <v>111</v>
      </c>
      <c r="F1009" t="s">
        <v>1</v>
      </c>
      <c r="G1009" t="s">
        <v>109</v>
      </c>
      <c r="H1009" s="62">
        <v>2035</v>
      </c>
      <c r="I1009">
        <v>0</v>
      </c>
    </row>
    <row r="1010" spans="1:9">
      <c r="A1010" t="s">
        <v>104</v>
      </c>
      <c r="B1010" t="s">
        <v>105</v>
      </c>
      <c r="C1010" t="s">
        <v>80</v>
      </c>
      <c r="D1010" t="s">
        <v>100</v>
      </c>
      <c r="E1010" t="s">
        <v>112</v>
      </c>
      <c r="F1010" t="s">
        <v>1</v>
      </c>
      <c r="G1010" t="s">
        <v>109</v>
      </c>
      <c r="H1010" s="62">
        <v>2035</v>
      </c>
      <c r="I1010">
        <v>0</v>
      </c>
    </row>
    <row r="1011" spans="1:9">
      <c r="A1011" t="s">
        <v>104</v>
      </c>
      <c r="B1011" t="s">
        <v>105</v>
      </c>
      <c r="C1011" t="s">
        <v>80</v>
      </c>
      <c r="D1011" t="s">
        <v>83</v>
      </c>
      <c r="E1011" t="s">
        <v>84</v>
      </c>
      <c r="F1011" t="s">
        <v>1</v>
      </c>
      <c r="G1011" t="s">
        <v>109</v>
      </c>
      <c r="H1011" s="62">
        <v>2035</v>
      </c>
      <c r="I1011">
        <v>1.3874</v>
      </c>
    </row>
    <row r="1012" spans="1:9">
      <c r="A1012" t="s">
        <v>104</v>
      </c>
      <c r="B1012" t="s">
        <v>105</v>
      </c>
      <c r="C1012" t="s">
        <v>80</v>
      </c>
      <c r="D1012" t="s">
        <v>83</v>
      </c>
      <c r="E1012" t="s">
        <v>85</v>
      </c>
      <c r="F1012" t="s">
        <v>1</v>
      </c>
      <c r="G1012" t="s">
        <v>109</v>
      </c>
      <c r="H1012" s="62">
        <v>2035</v>
      </c>
      <c r="I1012">
        <v>1.2707999999999999</v>
      </c>
    </row>
    <row r="1013" spans="1:9">
      <c r="A1013" t="s">
        <v>104</v>
      </c>
      <c r="B1013" t="s">
        <v>105</v>
      </c>
      <c r="C1013" t="s">
        <v>80</v>
      </c>
      <c r="D1013" t="s">
        <v>86</v>
      </c>
      <c r="E1013" t="s">
        <v>106</v>
      </c>
      <c r="F1013" t="s">
        <v>1</v>
      </c>
      <c r="G1013" t="s">
        <v>109</v>
      </c>
      <c r="H1013" s="62">
        <v>2035</v>
      </c>
      <c r="I1013">
        <v>1.7475000000000001</v>
      </c>
    </row>
    <row r="1014" spans="1:9">
      <c r="A1014" t="s">
        <v>104</v>
      </c>
      <c r="B1014" t="s">
        <v>105</v>
      </c>
      <c r="C1014" t="s">
        <v>80</v>
      </c>
      <c r="D1014" t="s">
        <v>86</v>
      </c>
      <c r="E1014" t="s">
        <v>87</v>
      </c>
      <c r="F1014" t="s">
        <v>1</v>
      </c>
      <c r="G1014" t="s">
        <v>109</v>
      </c>
      <c r="H1014" s="62">
        <v>2035</v>
      </c>
      <c r="I1014">
        <v>2.0407999999999999</v>
      </c>
    </row>
    <row r="1015" spans="1:9">
      <c r="A1015" t="s">
        <v>104</v>
      </c>
      <c r="B1015" t="s">
        <v>105</v>
      </c>
      <c r="C1015" t="s">
        <v>80</v>
      </c>
      <c r="D1015" t="s">
        <v>103</v>
      </c>
      <c r="E1015" t="s">
        <v>92</v>
      </c>
      <c r="F1015" t="s">
        <v>1</v>
      </c>
      <c r="G1015" t="s">
        <v>109</v>
      </c>
      <c r="H1015" s="62">
        <v>2035</v>
      </c>
      <c r="I1015">
        <v>2.5184000000000002</v>
      </c>
    </row>
    <row r="1016" spans="1:9">
      <c r="A1016" t="s">
        <v>104</v>
      </c>
      <c r="B1016" t="s">
        <v>105</v>
      </c>
      <c r="C1016" t="s">
        <v>80</v>
      </c>
      <c r="D1016" t="s">
        <v>103</v>
      </c>
      <c r="E1016" t="s">
        <v>89</v>
      </c>
      <c r="F1016" t="s">
        <v>1</v>
      </c>
      <c r="G1016" t="s">
        <v>109</v>
      </c>
      <c r="H1016" s="62">
        <v>2035</v>
      </c>
      <c r="I1016">
        <v>13.9716</v>
      </c>
    </row>
    <row r="1017" spans="1:9">
      <c r="A1017" t="s">
        <v>104</v>
      </c>
      <c r="B1017" t="s">
        <v>105</v>
      </c>
      <c r="C1017" t="s">
        <v>107</v>
      </c>
      <c r="D1017" t="s">
        <v>107</v>
      </c>
      <c r="E1017" t="s">
        <v>107</v>
      </c>
      <c r="F1017" t="s">
        <v>1</v>
      </c>
      <c r="G1017" t="s">
        <v>109</v>
      </c>
      <c r="H1017" s="62">
        <v>2036</v>
      </c>
      <c r="I1017">
        <v>68.395899999999997</v>
      </c>
    </row>
    <row r="1018" spans="1:9">
      <c r="A1018" t="s">
        <v>104</v>
      </c>
      <c r="B1018" t="s">
        <v>105</v>
      </c>
      <c r="C1018" t="s">
        <v>107</v>
      </c>
      <c r="D1018" t="s">
        <v>108</v>
      </c>
      <c r="E1018" t="s">
        <v>108</v>
      </c>
      <c r="F1018" t="s">
        <v>1</v>
      </c>
      <c r="G1018" t="s">
        <v>109</v>
      </c>
      <c r="H1018" s="62">
        <v>2036</v>
      </c>
      <c r="I1018">
        <v>0.1741</v>
      </c>
    </row>
    <row r="1019" spans="1:9">
      <c r="A1019" t="s">
        <v>104</v>
      </c>
      <c r="B1019" t="s">
        <v>105</v>
      </c>
      <c r="C1019" t="s">
        <v>80</v>
      </c>
      <c r="D1019" t="s">
        <v>80</v>
      </c>
      <c r="E1019" t="s">
        <v>80</v>
      </c>
      <c r="F1019" t="s">
        <v>1</v>
      </c>
      <c r="G1019" t="s">
        <v>109</v>
      </c>
      <c r="H1019" s="62">
        <v>2036</v>
      </c>
      <c r="I1019">
        <v>68.221800000000002</v>
      </c>
    </row>
    <row r="1020" spans="1:9">
      <c r="A1020" t="s">
        <v>104</v>
      </c>
      <c r="B1020" t="s">
        <v>105</v>
      </c>
      <c r="C1020" t="s">
        <v>80</v>
      </c>
      <c r="D1020" t="s">
        <v>89</v>
      </c>
      <c r="E1020" t="s">
        <v>90</v>
      </c>
      <c r="F1020" t="s">
        <v>1</v>
      </c>
      <c r="G1020" t="s">
        <v>109</v>
      </c>
      <c r="H1020" s="62">
        <v>2036</v>
      </c>
      <c r="I1020">
        <v>1.6009</v>
      </c>
    </row>
    <row r="1021" spans="1:9">
      <c r="A1021" t="s">
        <v>104</v>
      </c>
      <c r="B1021" t="s">
        <v>105</v>
      </c>
      <c r="C1021" t="s">
        <v>80</v>
      </c>
      <c r="D1021" t="s">
        <v>89</v>
      </c>
      <c r="E1021" t="s">
        <v>91</v>
      </c>
      <c r="F1021" t="s">
        <v>1</v>
      </c>
      <c r="G1021" t="s">
        <v>109</v>
      </c>
      <c r="H1021" s="62">
        <v>2036</v>
      </c>
      <c r="I1021">
        <v>-0.15579999999999999</v>
      </c>
    </row>
    <row r="1022" spans="1:9">
      <c r="A1022" t="s">
        <v>104</v>
      </c>
      <c r="B1022" t="s">
        <v>105</v>
      </c>
      <c r="C1022" t="s">
        <v>80</v>
      </c>
      <c r="D1022" t="s">
        <v>92</v>
      </c>
      <c r="E1022" t="s">
        <v>93</v>
      </c>
      <c r="F1022" t="s">
        <v>1</v>
      </c>
      <c r="G1022" t="s">
        <v>109</v>
      </c>
      <c r="H1022" s="62">
        <v>2036</v>
      </c>
      <c r="I1022">
        <v>-3.5478999999999998</v>
      </c>
    </row>
    <row r="1023" spans="1:9">
      <c r="A1023" t="s">
        <v>104</v>
      </c>
      <c r="B1023" t="s">
        <v>105</v>
      </c>
      <c r="C1023" t="s">
        <v>80</v>
      </c>
      <c r="D1023" t="s">
        <v>92</v>
      </c>
      <c r="E1023" t="s">
        <v>94</v>
      </c>
      <c r="F1023" t="s">
        <v>1</v>
      </c>
      <c r="G1023" t="s">
        <v>109</v>
      </c>
      <c r="H1023" s="62">
        <v>2036</v>
      </c>
      <c r="I1023">
        <v>19.887799999999999</v>
      </c>
    </row>
    <row r="1024" spans="1:9">
      <c r="A1024" t="s">
        <v>104</v>
      </c>
      <c r="B1024" t="s">
        <v>105</v>
      </c>
      <c r="C1024" t="s">
        <v>80</v>
      </c>
      <c r="D1024" t="s">
        <v>92</v>
      </c>
      <c r="E1024" t="s">
        <v>110</v>
      </c>
      <c r="F1024" t="s">
        <v>1</v>
      </c>
      <c r="G1024" t="s">
        <v>109</v>
      </c>
      <c r="H1024" s="62">
        <v>2036</v>
      </c>
      <c r="I1024">
        <v>6.3304999999999998</v>
      </c>
    </row>
    <row r="1025" spans="1:9">
      <c r="A1025" t="s">
        <v>104</v>
      </c>
      <c r="B1025" t="s">
        <v>105</v>
      </c>
      <c r="C1025" t="s">
        <v>80</v>
      </c>
      <c r="D1025" t="s">
        <v>92</v>
      </c>
      <c r="E1025" t="s">
        <v>95</v>
      </c>
      <c r="F1025" t="s">
        <v>1</v>
      </c>
      <c r="G1025" t="s">
        <v>109</v>
      </c>
      <c r="H1025" s="62">
        <v>2036</v>
      </c>
      <c r="I1025">
        <v>16.5747</v>
      </c>
    </row>
    <row r="1026" spans="1:9">
      <c r="A1026" t="s">
        <v>104</v>
      </c>
      <c r="B1026" t="s">
        <v>105</v>
      </c>
      <c r="C1026" t="s">
        <v>80</v>
      </c>
      <c r="D1026" t="s">
        <v>96</v>
      </c>
      <c r="E1026" t="s">
        <v>92</v>
      </c>
      <c r="F1026" t="s">
        <v>1</v>
      </c>
      <c r="G1026" t="s">
        <v>109</v>
      </c>
      <c r="H1026" s="62">
        <v>2036</v>
      </c>
      <c r="I1026">
        <v>7.6993999999999998</v>
      </c>
    </row>
    <row r="1027" spans="1:9">
      <c r="A1027" t="s">
        <v>104</v>
      </c>
      <c r="B1027" t="s">
        <v>105</v>
      </c>
      <c r="C1027" t="s">
        <v>80</v>
      </c>
      <c r="D1027" t="s">
        <v>96</v>
      </c>
      <c r="E1027" t="s">
        <v>89</v>
      </c>
      <c r="F1027" t="s">
        <v>1</v>
      </c>
      <c r="G1027" t="s">
        <v>109</v>
      </c>
      <c r="H1027" s="62">
        <v>2036</v>
      </c>
      <c r="I1027">
        <v>0.25729999999999997</v>
      </c>
    </row>
    <row r="1028" spans="1:9">
      <c r="A1028" t="s">
        <v>104</v>
      </c>
      <c r="B1028" t="s">
        <v>105</v>
      </c>
      <c r="C1028" t="s">
        <v>80</v>
      </c>
      <c r="D1028" t="s">
        <v>97</v>
      </c>
      <c r="E1028" t="s">
        <v>98</v>
      </c>
      <c r="F1028" t="s">
        <v>1</v>
      </c>
      <c r="G1028" t="s">
        <v>109</v>
      </c>
      <c r="H1028" s="62">
        <v>2036</v>
      </c>
      <c r="I1028">
        <v>3.9064000000000001</v>
      </c>
    </row>
    <row r="1029" spans="1:9">
      <c r="A1029" t="s">
        <v>104</v>
      </c>
      <c r="B1029" t="s">
        <v>105</v>
      </c>
      <c r="C1029" t="s">
        <v>80</v>
      </c>
      <c r="D1029" t="s">
        <v>97</v>
      </c>
      <c r="E1029" t="s">
        <v>99</v>
      </c>
      <c r="F1029" t="s">
        <v>1</v>
      </c>
      <c r="G1029" t="s">
        <v>109</v>
      </c>
      <c r="H1029" s="62">
        <v>2036</v>
      </c>
      <c r="I1029">
        <v>2.3E-2</v>
      </c>
    </row>
    <row r="1030" spans="1:9">
      <c r="A1030" t="s">
        <v>104</v>
      </c>
      <c r="B1030" t="s">
        <v>105</v>
      </c>
      <c r="C1030" t="s">
        <v>80</v>
      </c>
      <c r="D1030" t="s">
        <v>100</v>
      </c>
      <c r="E1030" t="s">
        <v>101</v>
      </c>
      <c r="F1030" t="s">
        <v>1</v>
      </c>
      <c r="G1030" t="s">
        <v>109</v>
      </c>
      <c r="H1030" s="62">
        <v>2036</v>
      </c>
      <c r="I1030">
        <v>8.4856999999999996</v>
      </c>
    </row>
    <row r="1031" spans="1:9">
      <c r="A1031" t="s">
        <v>104</v>
      </c>
      <c r="B1031" t="s">
        <v>105</v>
      </c>
      <c r="C1031" t="s">
        <v>80</v>
      </c>
      <c r="D1031" t="s">
        <v>100</v>
      </c>
      <c r="E1031" t="s">
        <v>102</v>
      </c>
      <c r="F1031" t="s">
        <v>1</v>
      </c>
      <c r="G1031" t="s">
        <v>109</v>
      </c>
      <c r="H1031" s="62">
        <v>2036</v>
      </c>
      <c r="I1031">
        <v>4.4188999999999998</v>
      </c>
    </row>
    <row r="1032" spans="1:9">
      <c r="A1032" t="s">
        <v>104</v>
      </c>
      <c r="B1032" t="s">
        <v>105</v>
      </c>
      <c r="C1032" t="s">
        <v>80</v>
      </c>
      <c r="D1032" t="s">
        <v>100</v>
      </c>
      <c r="E1032" t="s">
        <v>111</v>
      </c>
      <c r="F1032" t="s">
        <v>1</v>
      </c>
      <c r="G1032" t="s">
        <v>109</v>
      </c>
      <c r="H1032" s="62">
        <v>2036</v>
      </c>
      <c r="I1032">
        <v>0</v>
      </c>
    </row>
    <row r="1033" spans="1:9">
      <c r="A1033" t="s">
        <v>104</v>
      </c>
      <c r="B1033" t="s">
        <v>105</v>
      </c>
      <c r="C1033" t="s">
        <v>80</v>
      </c>
      <c r="D1033" t="s">
        <v>100</v>
      </c>
      <c r="E1033" t="s">
        <v>112</v>
      </c>
      <c r="F1033" t="s">
        <v>1</v>
      </c>
      <c r="G1033" t="s">
        <v>109</v>
      </c>
      <c r="H1033" s="62">
        <v>2036</v>
      </c>
      <c r="I1033">
        <v>0</v>
      </c>
    </row>
    <row r="1034" spans="1:9">
      <c r="A1034" t="s">
        <v>104</v>
      </c>
      <c r="B1034" t="s">
        <v>105</v>
      </c>
      <c r="C1034" t="s">
        <v>80</v>
      </c>
      <c r="D1034" t="s">
        <v>83</v>
      </c>
      <c r="E1034" t="s">
        <v>84</v>
      </c>
      <c r="F1034" t="s">
        <v>1</v>
      </c>
      <c r="G1034" t="s">
        <v>109</v>
      </c>
      <c r="H1034" s="62">
        <v>2036</v>
      </c>
      <c r="I1034">
        <v>1.4351</v>
      </c>
    </row>
    <row r="1035" spans="1:9">
      <c r="A1035" t="s">
        <v>104</v>
      </c>
      <c r="B1035" t="s">
        <v>105</v>
      </c>
      <c r="C1035" t="s">
        <v>80</v>
      </c>
      <c r="D1035" t="s">
        <v>83</v>
      </c>
      <c r="E1035" t="s">
        <v>85</v>
      </c>
      <c r="F1035" t="s">
        <v>1</v>
      </c>
      <c r="G1035" t="s">
        <v>109</v>
      </c>
      <c r="H1035" s="62">
        <v>2036</v>
      </c>
      <c r="I1035">
        <v>1.3057000000000001</v>
      </c>
    </row>
    <row r="1036" spans="1:9">
      <c r="A1036" t="s">
        <v>104</v>
      </c>
      <c r="B1036" t="s">
        <v>105</v>
      </c>
      <c r="C1036" t="s">
        <v>80</v>
      </c>
      <c r="D1036" t="s">
        <v>86</v>
      </c>
      <c r="E1036" t="s">
        <v>106</v>
      </c>
      <c r="F1036" t="s">
        <v>1</v>
      </c>
      <c r="G1036" t="s">
        <v>109</v>
      </c>
      <c r="H1036" s="62">
        <v>2036</v>
      </c>
      <c r="I1036">
        <v>1.5012000000000001</v>
      </c>
    </row>
    <row r="1037" spans="1:9">
      <c r="A1037" t="s">
        <v>104</v>
      </c>
      <c r="B1037" t="s">
        <v>105</v>
      </c>
      <c r="C1037" t="s">
        <v>80</v>
      </c>
      <c r="D1037" t="s">
        <v>86</v>
      </c>
      <c r="E1037" t="s">
        <v>87</v>
      </c>
      <c r="F1037" t="s">
        <v>1</v>
      </c>
      <c r="G1037" t="s">
        <v>109</v>
      </c>
      <c r="H1037" s="62">
        <v>2036</v>
      </c>
      <c r="I1037">
        <v>2.2025000000000001</v>
      </c>
    </row>
    <row r="1038" spans="1:9">
      <c r="A1038" t="s">
        <v>104</v>
      </c>
      <c r="B1038" t="s">
        <v>105</v>
      </c>
      <c r="C1038" t="s">
        <v>80</v>
      </c>
      <c r="D1038" t="s">
        <v>103</v>
      </c>
      <c r="E1038" t="s">
        <v>92</v>
      </c>
      <c r="F1038" t="s">
        <v>1</v>
      </c>
      <c r="G1038" t="s">
        <v>109</v>
      </c>
      <c r="H1038" s="62">
        <v>2036</v>
      </c>
      <c r="I1038">
        <v>2.6331000000000002</v>
      </c>
    </row>
    <row r="1039" spans="1:9">
      <c r="A1039" t="s">
        <v>104</v>
      </c>
      <c r="B1039" t="s">
        <v>105</v>
      </c>
      <c r="C1039" t="s">
        <v>80</v>
      </c>
      <c r="D1039" t="s">
        <v>103</v>
      </c>
      <c r="E1039" t="s">
        <v>89</v>
      </c>
      <c r="F1039" t="s">
        <v>1</v>
      </c>
      <c r="G1039" t="s">
        <v>109</v>
      </c>
      <c r="H1039" s="62">
        <v>2036</v>
      </c>
      <c r="I1039">
        <v>14.6433</v>
      </c>
    </row>
    <row r="1040" spans="1:9">
      <c r="A1040" t="s">
        <v>104</v>
      </c>
      <c r="B1040" t="s">
        <v>105</v>
      </c>
      <c r="C1040" t="s">
        <v>107</v>
      </c>
      <c r="D1040" t="s">
        <v>107</v>
      </c>
      <c r="E1040" t="s">
        <v>107</v>
      </c>
      <c r="F1040" t="s">
        <v>1</v>
      </c>
      <c r="G1040" t="s">
        <v>109</v>
      </c>
      <c r="H1040" s="62">
        <v>2037</v>
      </c>
      <c r="I1040">
        <v>70.268500000000003</v>
      </c>
    </row>
    <row r="1041" spans="1:9">
      <c r="A1041" t="s">
        <v>104</v>
      </c>
      <c r="B1041" t="s">
        <v>105</v>
      </c>
      <c r="C1041" t="s">
        <v>107</v>
      </c>
      <c r="D1041" t="s">
        <v>108</v>
      </c>
      <c r="E1041" t="s">
        <v>108</v>
      </c>
      <c r="F1041" t="s">
        <v>1</v>
      </c>
      <c r="G1041" t="s">
        <v>109</v>
      </c>
      <c r="H1041" s="62">
        <v>2037</v>
      </c>
      <c r="I1041">
        <v>0.1613</v>
      </c>
    </row>
    <row r="1042" spans="1:9">
      <c r="A1042" t="s">
        <v>104</v>
      </c>
      <c r="B1042" t="s">
        <v>105</v>
      </c>
      <c r="C1042" t="s">
        <v>80</v>
      </c>
      <c r="D1042" t="s">
        <v>80</v>
      </c>
      <c r="E1042" t="s">
        <v>80</v>
      </c>
      <c r="F1042" t="s">
        <v>1</v>
      </c>
      <c r="G1042" t="s">
        <v>109</v>
      </c>
      <c r="H1042" s="62">
        <v>2037</v>
      </c>
      <c r="I1042">
        <v>70.107200000000006</v>
      </c>
    </row>
    <row r="1043" spans="1:9">
      <c r="A1043" t="s">
        <v>104</v>
      </c>
      <c r="B1043" t="s">
        <v>105</v>
      </c>
      <c r="C1043" t="s">
        <v>80</v>
      </c>
      <c r="D1043" t="s">
        <v>89</v>
      </c>
      <c r="E1043" t="s">
        <v>90</v>
      </c>
      <c r="F1043" t="s">
        <v>1</v>
      </c>
      <c r="G1043" t="s">
        <v>109</v>
      </c>
      <c r="H1043" s="62">
        <v>2037</v>
      </c>
      <c r="I1043">
        <v>1.1658999999999999</v>
      </c>
    </row>
    <row r="1044" spans="1:9">
      <c r="A1044" t="s">
        <v>104</v>
      </c>
      <c r="B1044" t="s">
        <v>105</v>
      </c>
      <c r="C1044" t="s">
        <v>80</v>
      </c>
      <c r="D1044" t="s">
        <v>89</v>
      </c>
      <c r="E1044" t="s">
        <v>91</v>
      </c>
      <c r="F1044" t="s">
        <v>1</v>
      </c>
      <c r="G1044" t="s">
        <v>109</v>
      </c>
      <c r="H1044" s="62">
        <v>2037</v>
      </c>
      <c r="I1044">
        <v>-0.11799999999999999</v>
      </c>
    </row>
    <row r="1045" spans="1:9">
      <c r="A1045" t="s">
        <v>104</v>
      </c>
      <c r="B1045" t="s">
        <v>105</v>
      </c>
      <c r="C1045" t="s">
        <v>80</v>
      </c>
      <c r="D1045" t="s">
        <v>92</v>
      </c>
      <c r="E1045" t="s">
        <v>93</v>
      </c>
      <c r="F1045" t="s">
        <v>1</v>
      </c>
      <c r="G1045" t="s">
        <v>109</v>
      </c>
      <c r="H1045" s="62">
        <v>2037</v>
      </c>
      <c r="I1045">
        <v>-3.7820999999999998</v>
      </c>
    </row>
    <row r="1046" spans="1:9">
      <c r="A1046" t="s">
        <v>104</v>
      </c>
      <c r="B1046" t="s">
        <v>105</v>
      </c>
      <c r="C1046" t="s">
        <v>80</v>
      </c>
      <c r="D1046" t="s">
        <v>92</v>
      </c>
      <c r="E1046" t="s">
        <v>94</v>
      </c>
      <c r="F1046" t="s">
        <v>1</v>
      </c>
      <c r="G1046" t="s">
        <v>109</v>
      </c>
      <c r="H1046" s="62">
        <v>2037</v>
      </c>
      <c r="I1046">
        <v>20.258400000000002</v>
      </c>
    </row>
    <row r="1047" spans="1:9">
      <c r="A1047" t="s">
        <v>104</v>
      </c>
      <c r="B1047" t="s">
        <v>105</v>
      </c>
      <c r="C1047" t="s">
        <v>80</v>
      </c>
      <c r="D1047" t="s">
        <v>92</v>
      </c>
      <c r="E1047" t="s">
        <v>110</v>
      </c>
      <c r="F1047" t="s">
        <v>1</v>
      </c>
      <c r="G1047" t="s">
        <v>109</v>
      </c>
      <c r="H1047" s="62">
        <v>2037</v>
      </c>
      <c r="I1047">
        <v>6.2271999999999998</v>
      </c>
    </row>
    <row r="1048" spans="1:9">
      <c r="A1048" t="s">
        <v>104</v>
      </c>
      <c r="B1048" t="s">
        <v>105</v>
      </c>
      <c r="C1048" t="s">
        <v>80</v>
      </c>
      <c r="D1048" t="s">
        <v>92</v>
      </c>
      <c r="E1048" t="s">
        <v>95</v>
      </c>
      <c r="F1048" t="s">
        <v>1</v>
      </c>
      <c r="G1048" t="s">
        <v>109</v>
      </c>
      <c r="H1048" s="62">
        <v>2037</v>
      </c>
      <c r="I1048">
        <v>17.094799999999999</v>
      </c>
    </row>
    <row r="1049" spans="1:9">
      <c r="A1049" t="s">
        <v>104</v>
      </c>
      <c r="B1049" t="s">
        <v>105</v>
      </c>
      <c r="C1049" t="s">
        <v>80</v>
      </c>
      <c r="D1049" t="s">
        <v>96</v>
      </c>
      <c r="E1049" t="s">
        <v>92</v>
      </c>
      <c r="F1049" t="s">
        <v>1</v>
      </c>
      <c r="G1049" t="s">
        <v>109</v>
      </c>
      <c r="H1049" s="62">
        <v>2037</v>
      </c>
      <c r="I1049">
        <v>8.4375</v>
      </c>
    </row>
    <row r="1050" spans="1:9">
      <c r="A1050" t="s">
        <v>104</v>
      </c>
      <c r="B1050" t="s">
        <v>105</v>
      </c>
      <c r="C1050" t="s">
        <v>80</v>
      </c>
      <c r="D1050" t="s">
        <v>96</v>
      </c>
      <c r="E1050" t="s">
        <v>89</v>
      </c>
      <c r="F1050" t="s">
        <v>1</v>
      </c>
      <c r="G1050" t="s">
        <v>109</v>
      </c>
      <c r="H1050" s="62">
        <v>2037</v>
      </c>
      <c r="I1050">
        <v>0.28589999999999999</v>
      </c>
    </row>
    <row r="1051" spans="1:9">
      <c r="A1051" t="s">
        <v>104</v>
      </c>
      <c r="B1051" t="s">
        <v>105</v>
      </c>
      <c r="C1051" t="s">
        <v>80</v>
      </c>
      <c r="D1051" t="s">
        <v>97</v>
      </c>
      <c r="E1051" t="s">
        <v>98</v>
      </c>
      <c r="F1051" t="s">
        <v>1</v>
      </c>
      <c r="G1051" t="s">
        <v>109</v>
      </c>
      <c r="H1051" s="62">
        <v>2037</v>
      </c>
      <c r="I1051">
        <v>4.7233999999999998</v>
      </c>
    </row>
    <row r="1052" spans="1:9">
      <c r="A1052" t="s">
        <v>104</v>
      </c>
      <c r="B1052" t="s">
        <v>105</v>
      </c>
      <c r="C1052" t="s">
        <v>80</v>
      </c>
      <c r="D1052" t="s">
        <v>97</v>
      </c>
      <c r="E1052" t="s">
        <v>99</v>
      </c>
      <c r="F1052" t="s">
        <v>1</v>
      </c>
      <c r="G1052" t="s">
        <v>109</v>
      </c>
      <c r="H1052" s="62">
        <v>2037</v>
      </c>
      <c r="I1052">
        <v>3.0700000000000002E-2</v>
      </c>
    </row>
    <row r="1053" spans="1:9">
      <c r="A1053" t="s">
        <v>104</v>
      </c>
      <c r="B1053" t="s">
        <v>105</v>
      </c>
      <c r="C1053" t="s">
        <v>80</v>
      </c>
      <c r="D1053" t="s">
        <v>100</v>
      </c>
      <c r="E1053" t="s">
        <v>101</v>
      </c>
      <c r="F1053" t="s">
        <v>1</v>
      </c>
      <c r="G1053" t="s">
        <v>109</v>
      </c>
      <c r="H1053" s="62">
        <v>2037</v>
      </c>
      <c r="I1053">
        <v>9.1461000000000006</v>
      </c>
    </row>
    <row r="1054" spans="1:9">
      <c r="A1054" t="s">
        <v>104</v>
      </c>
      <c r="B1054" t="s">
        <v>105</v>
      </c>
      <c r="C1054" t="s">
        <v>80</v>
      </c>
      <c r="D1054" t="s">
        <v>100</v>
      </c>
      <c r="E1054" t="s">
        <v>102</v>
      </c>
      <c r="F1054" t="s">
        <v>1</v>
      </c>
      <c r="G1054" t="s">
        <v>109</v>
      </c>
      <c r="H1054" s="62">
        <v>2037</v>
      </c>
      <c r="I1054">
        <v>3.7858999999999998</v>
      </c>
    </row>
    <row r="1055" spans="1:9">
      <c r="A1055" t="s">
        <v>104</v>
      </c>
      <c r="B1055" t="s">
        <v>105</v>
      </c>
      <c r="C1055" t="s">
        <v>80</v>
      </c>
      <c r="D1055" t="s">
        <v>100</v>
      </c>
      <c r="E1055" t="s">
        <v>111</v>
      </c>
      <c r="F1055" t="s">
        <v>1</v>
      </c>
      <c r="G1055" t="s">
        <v>109</v>
      </c>
      <c r="H1055" s="62">
        <v>2037</v>
      </c>
      <c r="I1055">
        <v>0</v>
      </c>
    </row>
    <row r="1056" spans="1:9">
      <c r="A1056" t="s">
        <v>104</v>
      </c>
      <c r="B1056" t="s">
        <v>105</v>
      </c>
      <c r="C1056" t="s">
        <v>80</v>
      </c>
      <c r="D1056" t="s">
        <v>100</v>
      </c>
      <c r="E1056" t="s">
        <v>112</v>
      </c>
      <c r="F1056" t="s">
        <v>1</v>
      </c>
      <c r="G1056" t="s">
        <v>109</v>
      </c>
      <c r="H1056" s="62">
        <v>2037</v>
      </c>
      <c r="I1056">
        <v>0</v>
      </c>
    </row>
    <row r="1057" spans="1:9">
      <c r="A1057" t="s">
        <v>104</v>
      </c>
      <c r="B1057" t="s">
        <v>105</v>
      </c>
      <c r="C1057" t="s">
        <v>80</v>
      </c>
      <c r="D1057" t="s">
        <v>83</v>
      </c>
      <c r="E1057" t="s">
        <v>84</v>
      </c>
      <c r="F1057" t="s">
        <v>1</v>
      </c>
      <c r="G1057" t="s">
        <v>109</v>
      </c>
      <c r="H1057" s="62">
        <v>2037</v>
      </c>
      <c r="I1057">
        <v>1.5007999999999999</v>
      </c>
    </row>
    <row r="1058" spans="1:9">
      <c r="A1058" t="s">
        <v>104</v>
      </c>
      <c r="B1058" t="s">
        <v>105</v>
      </c>
      <c r="C1058" t="s">
        <v>80</v>
      </c>
      <c r="D1058" t="s">
        <v>83</v>
      </c>
      <c r="E1058" t="s">
        <v>85</v>
      </c>
      <c r="F1058" t="s">
        <v>1</v>
      </c>
      <c r="G1058" t="s">
        <v>109</v>
      </c>
      <c r="H1058" s="62">
        <v>2037</v>
      </c>
      <c r="I1058">
        <v>1.3508</v>
      </c>
    </row>
    <row r="1059" spans="1:9">
      <c r="A1059" t="s">
        <v>104</v>
      </c>
      <c r="B1059" t="s">
        <v>105</v>
      </c>
      <c r="C1059" t="s">
        <v>80</v>
      </c>
      <c r="D1059" t="s">
        <v>86</v>
      </c>
      <c r="E1059" t="s">
        <v>106</v>
      </c>
      <c r="F1059" t="s">
        <v>1</v>
      </c>
      <c r="G1059" t="s">
        <v>109</v>
      </c>
      <c r="H1059" s="62">
        <v>2037</v>
      </c>
      <c r="I1059">
        <v>1.4990000000000001</v>
      </c>
    </row>
    <row r="1060" spans="1:9">
      <c r="A1060" t="s">
        <v>104</v>
      </c>
      <c r="B1060" t="s">
        <v>105</v>
      </c>
      <c r="C1060" t="s">
        <v>80</v>
      </c>
      <c r="D1060" t="s">
        <v>86</v>
      </c>
      <c r="E1060" t="s">
        <v>87</v>
      </c>
      <c r="F1060" t="s">
        <v>1</v>
      </c>
      <c r="G1060" t="s">
        <v>109</v>
      </c>
      <c r="H1060" s="62">
        <v>2037</v>
      </c>
      <c r="I1060">
        <v>2.4011999999999998</v>
      </c>
    </row>
    <row r="1061" spans="1:9">
      <c r="A1061" t="s">
        <v>104</v>
      </c>
      <c r="B1061" t="s">
        <v>105</v>
      </c>
      <c r="C1061" t="s">
        <v>80</v>
      </c>
      <c r="D1061" t="s">
        <v>103</v>
      </c>
      <c r="E1061" t="s">
        <v>92</v>
      </c>
      <c r="F1061" t="s">
        <v>1</v>
      </c>
      <c r="G1061" t="s">
        <v>109</v>
      </c>
      <c r="H1061" s="62">
        <v>2037</v>
      </c>
      <c r="I1061">
        <v>2.7442000000000002</v>
      </c>
    </row>
    <row r="1062" spans="1:9">
      <c r="A1062" t="s">
        <v>104</v>
      </c>
      <c r="B1062" t="s">
        <v>105</v>
      </c>
      <c r="C1062" t="s">
        <v>80</v>
      </c>
      <c r="D1062" t="s">
        <v>103</v>
      </c>
      <c r="E1062" t="s">
        <v>89</v>
      </c>
      <c r="F1062" t="s">
        <v>1</v>
      </c>
      <c r="G1062" t="s">
        <v>109</v>
      </c>
      <c r="H1062" s="62">
        <v>2037</v>
      </c>
      <c r="I1062">
        <v>15.2872</v>
      </c>
    </row>
    <row r="1063" spans="1:9">
      <c r="A1063" t="s">
        <v>104</v>
      </c>
      <c r="B1063" t="s">
        <v>105</v>
      </c>
      <c r="C1063" t="s">
        <v>107</v>
      </c>
      <c r="D1063" t="s">
        <v>107</v>
      </c>
      <c r="E1063" t="s">
        <v>107</v>
      </c>
      <c r="F1063" t="s">
        <v>1</v>
      </c>
      <c r="G1063" t="s">
        <v>109</v>
      </c>
      <c r="H1063" s="62">
        <v>2038</v>
      </c>
      <c r="I1063">
        <v>71.7881</v>
      </c>
    </row>
    <row r="1064" spans="1:9">
      <c r="A1064" t="s">
        <v>104</v>
      </c>
      <c r="B1064" t="s">
        <v>105</v>
      </c>
      <c r="C1064" t="s">
        <v>107</v>
      </c>
      <c r="D1064" t="s">
        <v>108</v>
      </c>
      <c r="E1064" t="s">
        <v>108</v>
      </c>
      <c r="F1064" t="s">
        <v>1</v>
      </c>
      <c r="G1064" t="s">
        <v>109</v>
      </c>
      <c r="H1064" s="62">
        <v>2038</v>
      </c>
      <c r="I1064">
        <v>0.17630000000000001</v>
      </c>
    </row>
    <row r="1065" spans="1:9">
      <c r="A1065" t="s">
        <v>104</v>
      </c>
      <c r="B1065" t="s">
        <v>105</v>
      </c>
      <c r="C1065" t="s">
        <v>80</v>
      </c>
      <c r="D1065" t="s">
        <v>80</v>
      </c>
      <c r="E1065" t="s">
        <v>80</v>
      </c>
      <c r="F1065" t="s">
        <v>1</v>
      </c>
      <c r="G1065" t="s">
        <v>109</v>
      </c>
      <c r="H1065" s="62">
        <v>2038</v>
      </c>
      <c r="I1065">
        <v>71.611800000000002</v>
      </c>
    </row>
    <row r="1066" spans="1:9">
      <c r="A1066" t="s">
        <v>104</v>
      </c>
      <c r="B1066" t="s">
        <v>105</v>
      </c>
      <c r="C1066" t="s">
        <v>80</v>
      </c>
      <c r="D1066" t="s">
        <v>89</v>
      </c>
      <c r="E1066" t="s">
        <v>90</v>
      </c>
      <c r="F1066" t="s">
        <v>1</v>
      </c>
      <c r="G1066" t="s">
        <v>109</v>
      </c>
      <c r="H1066" s="62">
        <v>2038</v>
      </c>
      <c r="I1066">
        <v>0.70479999999999998</v>
      </c>
    </row>
    <row r="1067" spans="1:9">
      <c r="A1067" t="s">
        <v>104</v>
      </c>
      <c r="B1067" t="s">
        <v>105</v>
      </c>
      <c r="C1067" t="s">
        <v>80</v>
      </c>
      <c r="D1067" t="s">
        <v>89</v>
      </c>
      <c r="E1067" t="s">
        <v>91</v>
      </c>
      <c r="F1067" t="s">
        <v>1</v>
      </c>
      <c r="G1067" t="s">
        <v>109</v>
      </c>
      <c r="H1067" s="62">
        <v>2038</v>
      </c>
      <c r="I1067">
        <v>-6.8199999999999997E-2</v>
      </c>
    </row>
    <row r="1068" spans="1:9">
      <c r="A1068" t="s">
        <v>104</v>
      </c>
      <c r="B1068" t="s">
        <v>105</v>
      </c>
      <c r="C1068" t="s">
        <v>80</v>
      </c>
      <c r="D1068" t="s">
        <v>92</v>
      </c>
      <c r="E1068" t="s">
        <v>93</v>
      </c>
      <c r="F1068" t="s">
        <v>1</v>
      </c>
      <c r="G1068" t="s">
        <v>109</v>
      </c>
      <c r="H1068" s="62">
        <v>2038</v>
      </c>
      <c r="I1068">
        <v>-3.7048000000000001</v>
      </c>
    </row>
    <row r="1069" spans="1:9">
      <c r="A1069" t="s">
        <v>104</v>
      </c>
      <c r="B1069" t="s">
        <v>105</v>
      </c>
      <c r="C1069" t="s">
        <v>80</v>
      </c>
      <c r="D1069" t="s">
        <v>92</v>
      </c>
      <c r="E1069" t="s">
        <v>94</v>
      </c>
      <c r="F1069" t="s">
        <v>1</v>
      </c>
      <c r="G1069" t="s">
        <v>109</v>
      </c>
      <c r="H1069" s="62">
        <v>2038</v>
      </c>
      <c r="I1069">
        <v>20.5746</v>
      </c>
    </row>
    <row r="1070" spans="1:9">
      <c r="A1070" t="s">
        <v>104</v>
      </c>
      <c r="B1070" t="s">
        <v>105</v>
      </c>
      <c r="C1070" t="s">
        <v>80</v>
      </c>
      <c r="D1070" t="s">
        <v>92</v>
      </c>
      <c r="E1070" t="s">
        <v>110</v>
      </c>
      <c r="F1070" t="s">
        <v>1</v>
      </c>
      <c r="G1070" t="s">
        <v>109</v>
      </c>
      <c r="H1070" s="62">
        <v>2038</v>
      </c>
      <c r="I1070">
        <v>5.9889000000000001</v>
      </c>
    </row>
    <row r="1071" spans="1:9">
      <c r="A1071" t="s">
        <v>104</v>
      </c>
      <c r="B1071" t="s">
        <v>105</v>
      </c>
      <c r="C1071" t="s">
        <v>80</v>
      </c>
      <c r="D1071" t="s">
        <v>92</v>
      </c>
      <c r="E1071" t="s">
        <v>95</v>
      </c>
      <c r="F1071" t="s">
        <v>1</v>
      </c>
      <c r="G1071" t="s">
        <v>109</v>
      </c>
      <c r="H1071" s="62">
        <v>2038</v>
      </c>
      <c r="I1071">
        <v>17.727499999999999</v>
      </c>
    </row>
    <row r="1072" spans="1:9">
      <c r="A1072" t="s">
        <v>104</v>
      </c>
      <c r="B1072" t="s">
        <v>105</v>
      </c>
      <c r="C1072" t="s">
        <v>80</v>
      </c>
      <c r="D1072" t="s">
        <v>96</v>
      </c>
      <c r="E1072" t="s">
        <v>92</v>
      </c>
      <c r="F1072" t="s">
        <v>1</v>
      </c>
      <c r="G1072" t="s">
        <v>109</v>
      </c>
      <c r="H1072" s="62">
        <v>2038</v>
      </c>
      <c r="I1072">
        <v>9.3054000000000006</v>
      </c>
    </row>
    <row r="1073" spans="1:9">
      <c r="A1073" t="s">
        <v>104</v>
      </c>
      <c r="B1073" t="s">
        <v>105</v>
      </c>
      <c r="C1073" t="s">
        <v>80</v>
      </c>
      <c r="D1073" t="s">
        <v>96</v>
      </c>
      <c r="E1073" t="s">
        <v>89</v>
      </c>
      <c r="F1073" t="s">
        <v>1</v>
      </c>
      <c r="G1073" t="s">
        <v>109</v>
      </c>
      <c r="H1073" s="62">
        <v>2038</v>
      </c>
      <c r="I1073">
        <v>0.31230000000000002</v>
      </c>
    </row>
    <row r="1074" spans="1:9">
      <c r="A1074" t="s">
        <v>104</v>
      </c>
      <c r="B1074" t="s">
        <v>105</v>
      </c>
      <c r="C1074" t="s">
        <v>80</v>
      </c>
      <c r="D1074" t="s">
        <v>97</v>
      </c>
      <c r="E1074" t="s">
        <v>98</v>
      </c>
      <c r="F1074" t="s">
        <v>1</v>
      </c>
      <c r="G1074" t="s">
        <v>109</v>
      </c>
      <c r="H1074" s="62">
        <v>2038</v>
      </c>
      <c r="I1074">
        <v>5.5518999999999998</v>
      </c>
    </row>
    <row r="1075" spans="1:9">
      <c r="A1075" t="s">
        <v>104</v>
      </c>
      <c r="B1075" t="s">
        <v>105</v>
      </c>
      <c r="C1075" t="s">
        <v>80</v>
      </c>
      <c r="D1075" t="s">
        <v>97</v>
      </c>
      <c r="E1075" t="s">
        <v>99</v>
      </c>
      <c r="F1075" t="s">
        <v>1</v>
      </c>
      <c r="G1075" t="s">
        <v>109</v>
      </c>
      <c r="H1075" s="62">
        <v>2038</v>
      </c>
      <c r="I1075">
        <v>3.9600000000000003E-2</v>
      </c>
    </row>
    <row r="1076" spans="1:9">
      <c r="A1076" t="s">
        <v>104</v>
      </c>
      <c r="B1076" t="s">
        <v>105</v>
      </c>
      <c r="C1076" t="s">
        <v>80</v>
      </c>
      <c r="D1076" t="s">
        <v>100</v>
      </c>
      <c r="E1076" t="s">
        <v>101</v>
      </c>
      <c r="F1076" t="s">
        <v>1</v>
      </c>
      <c r="G1076" t="s">
        <v>109</v>
      </c>
      <c r="H1076" s="62">
        <v>2038</v>
      </c>
      <c r="I1076">
        <v>9.6937999999999995</v>
      </c>
    </row>
    <row r="1077" spans="1:9">
      <c r="A1077" t="s">
        <v>104</v>
      </c>
      <c r="B1077" t="s">
        <v>105</v>
      </c>
      <c r="C1077" t="s">
        <v>80</v>
      </c>
      <c r="D1077" t="s">
        <v>100</v>
      </c>
      <c r="E1077" t="s">
        <v>102</v>
      </c>
      <c r="F1077" t="s">
        <v>1</v>
      </c>
      <c r="G1077" t="s">
        <v>109</v>
      </c>
      <c r="H1077" s="62">
        <v>2038</v>
      </c>
      <c r="I1077">
        <v>2.5202</v>
      </c>
    </row>
    <row r="1078" spans="1:9">
      <c r="A1078" t="s">
        <v>104</v>
      </c>
      <c r="B1078" t="s">
        <v>105</v>
      </c>
      <c r="C1078" t="s">
        <v>80</v>
      </c>
      <c r="D1078" t="s">
        <v>100</v>
      </c>
      <c r="E1078" t="s">
        <v>111</v>
      </c>
      <c r="F1078" t="s">
        <v>1</v>
      </c>
      <c r="G1078" t="s">
        <v>109</v>
      </c>
      <c r="H1078" s="62">
        <v>2038</v>
      </c>
      <c r="I1078">
        <v>0</v>
      </c>
    </row>
    <row r="1079" spans="1:9">
      <c r="A1079" t="s">
        <v>104</v>
      </c>
      <c r="B1079" t="s">
        <v>105</v>
      </c>
      <c r="C1079" t="s">
        <v>80</v>
      </c>
      <c r="D1079" t="s">
        <v>100</v>
      </c>
      <c r="E1079" t="s">
        <v>112</v>
      </c>
      <c r="F1079" t="s">
        <v>1</v>
      </c>
      <c r="G1079" t="s">
        <v>109</v>
      </c>
      <c r="H1079" s="62">
        <v>2038</v>
      </c>
      <c r="I1079">
        <v>0</v>
      </c>
    </row>
    <row r="1080" spans="1:9">
      <c r="A1080" t="s">
        <v>104</v>
      </c>
      <c r="B1080" t="s">
        <v>105</v>
      </c>
      <c r="C1080" t="s">
        <v>80</v>
      </c>
      <c r="D1080" t="s">
        <v>83</v>
      </c>
      <c r="E1080" t="s">
        <v>84</v>
      </c>
      <c r="F1080" t="s">
        <v>1</v>
      </c>
      <c r="G1080" t="s">
        <v>109</v>
      </c>
      <c r="H1080" s="62">
        <v>2038</v>
      </c>
      <c r="I1080">
        <v>1.569</v>
      </c>
    </row>
    <row r="1081" spans="1:9">
      <c r="A1081" t="s">
        <v>104</v>
      </c>
      <c r="B1081" t="s">
        <v>105</v>
      </c>
      <c r="C1081" t="s">
        <v>80</v>
      </c>
      <c r="D1081" t="s">
        <v>83</v>
      </c>
      <c r="E1081" t="s">
        <v>85</v>
      </c>
      <c r="F1081" t="s">
        <v>1</v>
      </c>
      <c r="G1081" t="s">
        <v>109</v>
      </c>
      <c r="H1081" s="62">
        <v>2038</v>
      </c>
      <c r="I1081">
        <v>1.3968</v>
      </c>
    </row>
    <row r="1082" spans="1:9">
      <c r="A1082" t="s">
        <v>104</v>
      </c>
      <c r="B1082" t="s">
        <v>105</v>
      </c>
      <c r="C1082" t="s">
        <v>80</v>
      </c>
      <c r="D1082" t="s">
        <v>86</v>
      </c>
      <c r="E1082" t="s">
        <v>106</v>
      </c>
      <c r="F1082" t="s">
        <v>1</v>
      </c>
      <c r="G1082" t="s">
        <v>109</v>
      </c>
      <c r="H1082" s="62">
        <v>2038</v>
      </c>
      <c r="I1082">
        <v>1.1312</v>
      </c>
    </row>
    <row r="1083" spans="1:9">
      <c r="A1083" t="s">
        <v>104</v>
      </c>
      <c r="B1083" t="s">
        <v>105</v>
      </c>
      <c r="C1083" t="s">
        <v>80</v>
      </c>
      <c r="D1083" t="s">
        <v>86</v>
      </c>
      <c r="E1083" t="s">
        <v>87</v>
      </c>
      <c r="F1083" t="s">
        <v>1</v>
      </c>
      <c r="G1083" t="s">
        <v>109</v>
      </c>
      <c r="H1083" s="62">
        <v>2038</v>
      </c>
      <c r="I1083">
        <v>2.6417999999999999</v>
      </c>
    </row>
    <row r="1084" spans="1:9">
      <c r="A1084" t="s">
        <v>104</v>
      </c>
      <c r="B1084" t="s">
        <v>105</v>
      </c>
      <c r="C1084" t="s">
        <v>80</v>
      </c>
      <c r="D1084" t="s">
        <v>103</v>
      </c>
      <c r="E1084" t="s">
        <v>92</v>
      </c>
      <c r="F1084" t="s">
        <v>1</v>
      </c>
      <c r="G1084" t="s">
        <v>109</v>
      </c>
      <c r="H1084" s="62">
        <v>2038</v>
      </c>
      <c r="I1084">
        <v>2.8740999999999999</v>
      </c>
    </row>
    <row r="1085" spans="1:9">
      <c r="A1085" t="s">
        <v>104</v>
      </c>
      <c r="B1085" t="s">
        <v>105</v>
      </c>
      <c r="C1085" t="s">
        <v>80</v>
      </c>
      <c r="D1085" t="s">
        <v>103</v>
      </c>
      <c r="E1085" t="s">
        <v>89</v>
      </c>
      <c r="F1085" t="s">
        <v>1</v>
      </c>
      <c r="G1085" t="s">
        <v>109</v>
      </c>
      <c r="H1085" s="62">
        <v>2038</v>
      </c>
      <c r="I1085">
        <v>15.9961</v>
      </c>
    </row>
    <row r="1086" spans="1:9">
      <c r="A1086" t="s">
        <v>104</v>
      </c>
      <c r="B1086" t="s">
        <v>105</v>
      </c>
      <c r="C1086" t="s">
        <v>107</v>
      </c>
      <c r="D1086" t="s">
        <v>107</v>
      </c>
      <c r="E1086" t="s">
        <v>107</v>
      </c>
      <c r="F1086" t="s">
        <v>1</v>
      </c>
      <c r="G1086" t="s">
        <v>109</v>
      </c>
      <c r="H1086" s="62">
        <v>2039</v>
      </c>
      <c r="I1086">
        <v>73.450500000000005</v>
      </c>
    </row>
    <row r="1087" spans="1:9">
      <c r="A1087" t="s">
        <v>104</v>
      </c>
      <c r="B1087" t="s">
        <v>105</v>
      </c>
      <c r="C1087" t="s">
        <v>107</v>
      </c>
      <c r="D1087" t="s">
        <v>108</v>
      </c>
      <c r="E1087" t="s">
        <v>108</v>
      </c>
      <c r="F1087" t="s">
        <v>1</v>
      </c>
      <c r="G1087" t="s">
        <v>109</v>
      </c>
      <c r="H1087" s="62">
        <v>2039</v>
      </c>
      <c r="I1087">
        <v>0.18090000000000001</v>
      </c>
    </row>
    <row r="1088" spans="1:9">
      <c r="A1088" t="s">
        <v>104</v>
      </c>
      <c r="B1088" t="s">
        <v>105</v>
      </c>
      <c r="C1088" t="s">
        <v>80</v>
      </c>
      <c r="D1088" t="s">
        <v>80</v>
      </c>
      <c r="E1088" t="s">
        <v>80</v>
      </c>
      <c r="F1088" t="s">
        <v>1</v>
      </c>
      <c r="G1088" t="s">
        <v>109</v>
      </c>
      <c r="H1088" s="62">
        <v>2039</v>
      </c>
      <c r="I1088">
        <v>73.269599999999997</v>
      </c>
    </row>
    <row r="1089" spans="1:9">
      <c r="A1089" t="s">
        <v>104</v>
      </c>
      <c r="B1089" t="s">
        <v>105</v>
      </c>
      <c r="C1089" t="s">
        <v>80</v>
      </c>
      <c r="D1089" t="s">
        <v>89</v>
      </c>
      <c r="E1089" t="s">
        <v>90</v>
      </c>
      <c r="F1089" t="s">
        <v>1</v>
      </c>
      <c r="G1089" t="s">
        <v>109</v>
      </c>
      <c r="H1089" s="62">
        <v>2039</v>
      </c>
      <c r="I1089">
        <v>0.15859999999999999</v>
      </c>
    </row>
    <row r="1090" spans="1:9">
      <c r="A1090" t="s">
        <v>104</v>
      </c>
      <c r="B1090" t="s">
        <v>105</v>
      </c>
      <c r="C1090" t="s">
        <v>80</v>
      </c>
      <c r="D1090" t="s">
        <v>89</v>
      </c>
      <c r="E1090" t="s">
        <v>91</v>
      </c>
      <c r="F1090" t="s">
        <v>1</v>
      </c>
      <c r="G1090" t="s">
        <v>109</v>
      </c>
      <c r="H1090" s="62">
        <v>2039</v>
      </c>
      <c r="I1090">
        <v>-1.6500000000000001E-2</v>
      </c>
    </row>
    <row r="1091" spans="1:9">
      <c r="A1091" t="s">
        <v>104</v>
      </c>
      <c r="B1091" t="s">
        <v>105</v>
      </c>
      <c r="C1091" t="s">
        <v>80</v>
      </c>
      <c r="D1091" t="s">
        <v>92</v>
      </c>
      <c r="E1091" t="s">
        <v>93</v>
      </c>
      <c r="F1091" t="s">
        <v>1</v>
      </c>
      <c r="G1091" t="s">
        <v>109</v>
      </c>
      <c r="H1091" s="62">
        <v>2039</v>
      </c>
      <c r="I1091">
        <v>-4.0434999999999999</v>
      </c>
    </row>
    <row r="1092" spans="1:9">
      <c r="A1092" t="s">
        <v>104</v>
      </c>
      <c r="B1092" t="s">
        <v>105</v>
      </c>
      <c r="C1092" t="s">
        <v>80</v>
      </c>
      <c r="D1092" t="s">
        <v>92</v>
      </c>
      <c r="E1092" t="s">
        <v>94</v>
      </c>
      <c r="F1092" t="s">
        <v>1</v>
      </c>
      <c r="G1092" t="s">
        <v>109</v>
      </c>
      <c r="H1092" s="62">
        <v>2039</v>
      </c>
      <c r="I1092">
        <v>20.448899999999998</v>
      </c>
    </row>
    <row r="1093" spans="1:9">
      <c r="A1093" t="s">
        <v>104</v>
      </c>
      <c r="B1093" t="s">
        <v>105</v>
      </c>
      <c r="C1093" t="s">
        <v>80</v>
      </c>
      <c r="D1093" t="s">
        <v>92</v>
      </c>
      <c r="E1093" t="s">
        <v>110</v>
      </c>
      <c r="F1093" t="s">
        <v>1</v>
      </c>
      <c r="G1093" t="s">
        <v>109</v>
      </c>
      <c r="H1093" s="62">
        <v>2039</v>
      </c>
      <c r="I1093">
        <v>5.7507000000000001</v>
      </c>
    </row>
    <row r="1094" spans="1:9">
      <c r="A1094" t="s">
        <v>104</v>
      </c>
      <c r="B1094" t="s">
        <v>105</v>
      </c>
      <c r="C1094" t="s">
        <v>80</v>
      </c>
      <c r="D1094" t="s">
        <v>92</v>
      </c>
      <c r="E1094" t="s">
        <v>95</v>
      </c>
      <c r="F1094" t="s">
        <v>1</v>
      </c>
      <c r="G1094" t="s">
        <v>109</v>
      </c>
      <c r="H1094" s="62">
        <v>2039</v>
      </c>
      <c r="I1094">
        <v>18.465</v>
      </c>
    </row>
    <row r="1095" spans="1:9">
      <c r="A1095" t="s">
        <v>104</v>
      </c>
      <c r="B1095" t="s">
        <v>105</v>
      </c>
      <c r="C1095" t="s">
        <v>80</v>
      </c>
      <c r="D1095" t="s">
        <v>96</v>
      </c>
      <c r="E1095" t="s">
        <v>92</v>
      </c>
      <c r="F1095" t="s">
        <v>1</v>
      </c>
      <c r="G1095" t="s">
        <v>109</v>
      </c>
      <c r="H1095" s="62">
        <v>2039</v>
      </c>
      <c r="I1095">
        <v>9.5975000000000001</v>
      </c>
    </row>
    <row r="1096" spans="1:9">
      <c r="A1096" t="s">
        <v>104</v>
      </c>
      <c r="B1096" t="s">
        <v>105</v>
      </c>
      <c r="C1096" t="s">
        <v>80</v>
      </c>
      <c r="D1096" t="s">
        <v>96</v>
      </c>
      <c r="E1096" t="s">
        <v>89</v>
      </c>
      <c r="F1096" t="s">
        <v>1</v>
      </c>
      <c r="G1096" t="s">
        <v>109</v>
      </c>
      <c r="H1096" s="62">
        <v>2039</v>
      </c>
      <c r="I1096">
        <v>0.34250000000000003</v>
      </c>
    </row>
    <row r="1097" spans="1:9">
      <c r="A1097" t="s">
        <v>104</v>
      </c>
      <c r="B1097" t="s">
        <v>105</v>
      </c>
      <c r="C1097" t="s">
        <v>80</v>
      </c>
      <c r="D1097" t="s">
        <v>97</v>
      </c>
      <c r="E1097" t="s">
        <v>98</v>
      </c>
      <c r="F1097" t="s">
        <v>1</v>
      </c>
      <c r="G1097" t="s">
        <v>109</v>
      </c>
      <c r="H1097" s="62">
        <v>2039</v>
      </c>
      <c r="I1097">
        <v>6.3804999999999996</v>
      </c>
    </row>
    <row r="1098" spans="1:9">
      <c r="A1098" t="s">
        <v>104</v>
      </c>
      <c r="B1098" t="s">
        <v>105</v>
      </c>
      <c r="C1098" t="s">
        <v>80</v>
      </c>
      <c r="D1098" t="s">
        <v>97</v>
      </c>
      <c r="E1098" t="s">
        <v>99</v>
      </c>
      <c r="F1098" t="s">
        <v>1</v>
      </c>
      <c r="G1098" t="s">
        <v>109</v>
      </c>
      <c r="H1098" s="62">
        <v>2039</v>
      </c>
      <c r="I1098">
        <v>4.9700000000000001E-2</v>
      </c>
    </row>
    <row r="1099" spans="1:9">
      <c r="A1099" t="s">
        <v>104</v>
      </c>
      <c r="B1099" t="s">
        <v>105</v>
      </c>
      <c r="C1099" t="s">
        <v>80</v>
      </c>
      <c r="D1099" t="s">
        <v>100</v>
      </c>
      <c r="E1099" t="s">
        <v>101</v>
      </c>
      <c r="F1099" t="s">
        <v>1</v>
      </c>
      <c r="G1099" t="s">
        <v>109</v>
      </c>
      <c r="H1099" s="62">
        <v>2039</v>
      </c>
      <c r="I1099">
        <v>10.118399999999999</v>
      </c>
    </row>
    <row r="1100" spans="1:9">
      <c r="A1100" t="s">
        <v>104</v>
      </c>
      <c r="B1100" t="s">
        <v>105</v>
      </c>
      <c r="C1100" t="s">
        <v>80</v>
      </c>
      <c r="D1100" t="s">
        <v>100</v>
      </c>
      <c r="E1100" t="s">
        <v>102</v>
      </c>
      <c r="F1100" t="s">
        <v>1</v>
      </c>
      <c r="G1100" t="s">
        <v>109</v>
      </c>
      <c r="H1100" s="62">
        <v>2039</v>
      </c>
      <c r="I1100">
        <v>3.0082</v>
      </c>
    </row>
    <row r="1101" spans="1:9">
      <c r="A1101" t="s">
        <v>104</v>
      </c>
      <c r="B1101" t="s">
        <v>105</v>
      </c>
      <c r="C1101" t="s">
        <v>80</v>
      </c>
      <c r="D1101" t="s">
        <v>100</v>
      </c>
      <c r="E1101" t="s">
        <v>111</v>
      </c>
      <c r="F1101" t="s">
        <v>1</v>
      </c>
      <c r="G1101" t="s">
        <v>109</v>
      </c>
      <c r="H1101" s="62">
        <v>2039</v>
      </c>
      <c r="I1101">
        <v>0</v>
      </c>
    </row>
    <row r="1102" spans="1:9">
      <c r="A1102" t="s">
        <v>104</v>
      </c>
      <c r="B1102" t="s">
        <v>105</v>
      </c>
      <c r="C1102" t="s">
        <v>80</v>
      </c>
      <c r="D1102" t="s">
        <v>100</v>
      </c>
      <c r="E1102" t="s">
        <v>112</v>
      </c>
      <c r="F1102" t="s">
        <v>1</v>
      </c>
      <c r="G1102" t="s">
        <v>109</v>
      </c>
      <c r="H1102" s="62">
        <v>2039</v>
      </c>
      <c r="I1102">
        <v>0</v>
      </c>
    </row>
    <row r="1103" spans="1:9">
      <c r="A1103" t="s">
        <v>104</v>
      </c>
      <c r="B1103" t="s">
        <v>105</v>
      </c>
      <c r="C1103" t="s">
        <v>80</v>
      </c>
      <c r="D1103" t="s">
        <v>83</v>
      </c>
      <c r="E1103" t="s">
        <v>84</v>
      </c>
      <c r="F1103" t="s">
        <v>1</v>
      </c>
      <c r="G1103" t="s">
        <v>109</v>
      </c>
      <c r="H1103" s="62">
        <v>2039</v>
      </c>
      <c r="I1103">
        <v>1.59</v>
      </c>
    </row>
    <row r="1104" spans="1:9">
      <c r="A1104" t="s">
        <v>104</v>
      </c>
      <c r="B1104" t="s">
        <v>105</v>
      </c>
      <c r="C1104" t="s">
        <v>80</v>
      </c>
      <c r="D1104" t="s">
        <v>83</v>
      </c>
      <c r="E1104" t="s">
        <v>85</v>
      </c>
      <c r="F1104" t="s">
        <v>1</v>
      </c>
      <c r="G1104" t="s">
        <v>109</v>
      </c>
      <c r="H1104" s="62">
        <v>2039</v>
      </c>
      <c r="I1104">
        <v>1.4197</v>
      </c>
    </row>
    <row r="1105" spans="1:9">
      <c r="A1105" t="s">
        <v>104</v>
      </c>
      <c r="B1105" t="s">
        <v>105</v>
      </c>
      <c r="C1105" t="s">
        <v>80</v>
      </c>
      <c r="D1105" t="s">
        <v>86</v>
      </c>
      <c r="E1105" t="s">
        <v>106</v>
      </c>
      <c r="F1105" t="s">
        <v>1</v>
      </c>
      <c r="G1105" t="s">
        <v>109</v>
      </c>
      <c r="H1105" s="62">
        <v>2039</v>
      </c>
      <c r="I1105">
        <v>1.1455</v>
      </c>
    </row>
    <row r="1106" spans="1:9">
      <c r="A1106" t="s">
        <v>104</v>
      </c>
      <c r="B1106" t="s">
        <v>105</v>
      </c>
      <c r="C1106" t="s">
        <v>80</v>
      </c>
      <c r="D1106" t="s">
        <v>86</v>
      </c>
      <c r="E1106" t="s">
        <v>87</v>
      </c>
      <c r="F1106" t="s">
        <v>1</v>
      </c>
      <c r="G1106" t="s">
        <v>109</v>
      </c>
      <c r="H1106" s="62">
        <v>2039</v>
      </c>
      <c r="I1106">
        <v>2.9144999999999999</v>
      </c>
    </row>
    <row r="1107" spans="1:9">
      <c r="A1107" t="s">
        <v>104</v>
      </c>
      <c r="B1107" t="s">
        <v>105</v>
      </c>
      <c r="C1107" t="s">
        <v>80</v>
      </c>
      <c r="D1107" t="s">
        <v>103</v>
      </c>
      <c r="E1107" t="s">
        <v>92</v>
      </c>
      <c r="F1107" t="s">
        <v>1</v>
      </c>
      <c r="G1107" t="s">
        <v>109</v>
      </c>
      <c r="H1107" s="62">
        <v>2039</v>
      </c>
      <c r="I1107">
        <v>3.0093000000000001</v>
      </c>
    </row>
    <row r="1108" spans="1:9">
      <c r="A1108" t="s">
        <v>104</v>
      </c>
      <c r="B1108" t="s">
        <v>105</v>
      </c>
      <c r="C1108" t="s">
        <v>80</v>
      </c>
      <c r="D1108" t="s">
        <v>103</v>
      </c>
      <c r="E1108" t="s">
        <v>89</v>
      </c>
      <c r="F1108" t="s">
        <v>1</v>
      </c>
      <c r="G1108" t="s">
        <v>109</v>
      </c>
      <c r="H1108" s="62">
        <v>2039</v>
      </c>
      <c r="I1108">
        <v>16.707999999999998</v>
      </c>
    </row>
    <row r="1109" spans="1:9">
      <c r="A1109" t="s">
        <v>104</v>
      </c>
      <c r="B1109" t="s">
        <v>105</v>
      </c>
      <c r="C1109" t="s">
        <v>107</v>
      </c>
      <c r="D1109" t="s">
        <v>107</v>
      </c>
      <c r="E1109" t="s">
        <v>107</v>
      </c>
      <c r="F1109" t="s">
        <v>1</v>
      </c>
      <c r="G1109" t="s">
        <v>109</v>
      </c>
      <c r="H1109" s="62">
        <v>2040</v>
      </c>
      <c r="I1109">
        <v>76.451400000000007</v>
      </c>
    </row>
    <row r="1110" spans="1:9">
      <c r="A1110" t="s">
        <v>104</v>
      </c>
      <c r="B1110" t="s">
        <v>105</v>
      </c>
      <c r="C1110" t="s">
        <v>107</v>
      </c>
      <c r="D1110" t="s">
        <v>108</v>
      </c>
      <c r="E1110" t="s">
        <v>108</v>
      </c>
      <c r="F1110" t="s">
        <v>1</v>
      </c>
      <c r="G1110" t="s">
        <v>109</v>
      </c>
      <c r="H1110" s="62">
        <v>2040</v>
      </c>
      <c r="I1110">
        <v>0.18279999999999999</v>
      </c>
    </row>
    <row r="1111" spans="1:9">
      <c r="A1111" t="s">
        <v>104</v>
      </c>
      <c r="B1111" t="s">
        <v>105</v>
      </c>
      <c r="C1111" t="s">
        <v>80</v>
      </c>
      <c r="D1111" t="s">
        <v>80</v>
      </c>
      <c r="E1111" t="s">
        <v>80</v>
      </c>
      <c r="F1111" t="s">
        <v>1</v>
      </c>
      <c r="G1111" t="s">
        <v>109</v>
      </c>
      <c r="H1111" s="62">
        <v>2040</v>
      </c>
      <c r="I1111">
        <v>76.268600000000006</v>
      </c>
    </row>
    <row r="1112" spans="1:9">
      <c r="A1112" t="s">
        <v>104</v>
      </c>
      <c r="B1112" t="s">
        <v>105</v>
      </c>
      <c r="C1112" t="s">
        <v>80</v>
      </c>
      <c r="D1112" t="s">
        <v>89</v>
      </c>
      <c r="E1112" t="s">
        <v>90</v>
      </c>
      <c r="F1112" t="s">
        <v>1</v>
      </c>
      <c r="G1112" t="s">
        <v>109</v>
      </c>
      <c r="H1112" s="62">
        <v>2040</v>
      </c>
      <c r="I1112">
        <v>-0.29859999999999998</v>
      </c>
    </row>
    <row r="1113" spans="1:9">
      <c r="A1113" t="s">
        <v>104</v>
      </c>
      <c r="B1113" t="s">
        <v>105</v>
      </c>
      <c r="C1113" t="s">
        <v>80</v>
      </c>
      <c r="D1113" t="s">
        <v>89</v>
      </c>
      <c r="E1113" t="s">
        <v>91</v>
      </c>
      <c r="F1113" t="s">
        <v>1</v>
      </c>
      <c r="G1113" t="s">
        <v>109</v>
      </c>
      <c r="H1113" s="62">
        <v>2040</v>
      </c>
      <c r="I1113">
        <v>3.3599999999999998E-2</v>
      </c>
    </row>
    <row r="1114" spans="1:9">
      <c r="A1114" t="s">
        <v>104</v>
      </c>
      <c r="B1114" t="s">
        <v>105</v>
      </c>
      <c r="C1114" t="s">
        <v>80</v>
      </c>
      <c r="D1114" t="s">
        <v>92</v>
      </c>
      <c r="E1114" t="s">
        <v>93</v>
      </c>
      <c r="F1114" t="s">
        <v>1</v>
      </c>
      <c r="G1114" t="s">
        <v>109</v>
      </c>
      <c r="H1114" s="62">
        <v>2040</v>
      </c>
      <c r="I1114">
        <v>-4.4211</v>
      </c>
    </row>
    <row r="1115" spans="1:9">
      <c r="A1115" t="s">
        <v>104</v>
      </c>
      <c r="B1115" t="s">
        <v>105</v>
      </c>
      <c r="C1115" t="s">
        <v>80</v>
      </c>
      <c r="D1115" t="s">
        <v>92</v>
      </c>
      <c r="E1115" t="s">
        <v>94</v>
      </c>
      <c r="F1115" t="s">
        <v>1</v>
      </c>
      <c r="G1115" t="s">
        <v>109</v>
      </c>
      <c r="H1115" s="62">
        <v>2040</v>
      </c>
      <c r="I1115">
        <v>20.386199999999999</v>
      </c>
    </row>
    <row r="1116" spans="1:9">
      <c r="A1116" t="s">
        <v>104</v>
      </c>
      <c r="B1116" t="s">
        <v>105</v>
      </c>
      <c r="C1116" t="s">
        <v>80</v>
      </c>
      <c r="D1116" t="s">
        <v>92</v>
      </c>
      <c r="E1116" t="s">
        <v>110</v>
      </c>
      <c r="F1116" t="s">
        <v>1</v>
      </c>
      <c r="G1116" t="s">
        <v>109</v>
      </c>
      <c r="H1116" s="62">
        <v>2040</v>
      </c>
      <c r="I1116">
        <v>5.5124000000000004</v>
      </c>
    </row>
    <row r="1117" spans="1:9">
      <c r="A1117" t="s">
        <v>104</v>
      </c>
      <c r="B1117" t="s">
        <v>105</v>
      </c>
      <c r="C1117" t="s">
        <v>80</v>
      </c>
      <c r="D1117" t="s">
        <v>92</v>
      </c>
      <c r="E1117" t="s">
        <v>95</v>
      </c>
      <c r="F1117" t="s">
        <v>1</v>
      </c>
      <c r="G1117" t="s">
        <v>109</v>
      </c>
      <c r="H1117" s="62">
        <v>2040</v>
      </c>
      <c r="I1117">
        <v>18.956800000000001</v>
      </c>
    </row>
    <row r="1118" spans="1:9">
      <c r="A1118" t="s">
        <v>104</v>
      </c>
      <c r="B1118" t="s">
        <v>105</v>
      </c>
      <c r="C1118" t="s">
        <v>80</v>
      </c>
      <c r="D1118" t="s">
        <v>96</v>
      </c>
      <c r="E1118" t="s">
        <v>92</v>
      </c>
      <c r="F1118" t="s">
        <v>1</v>
      </c>
      <c r="G1118" t="s">
        <v>109</v>
      </c>
      <c r="H1118" s="62">
        <v>2040</v>
      </c>
      <c r="I1118">
        <v>10.212199999999999</v>
      </c>
    </row>
    <row r="1119" spans="1:9">
      <c r="A1119" t="s">
        <v>104</v>
      </c>
      <c r="B1119" t="s">
        <v>105</v>
      </c>
      <c r="C1119" t="s">
        <v>80</v>
      </c>
      <c r="D1119" t="s">
        <v>96</v>
      </c>
      <c r="E1119" t="s">
        <v>89</v>
      </c>
      <c r="F1119" t="s">
        <v>1</v>
      </c>
      <c r="G1119" t="s">
        <v>109</v>
      </c>
      <c r="H1119" s="62">
        <v>2040</v>
      </c>
      <c r="I1119">
        <v>0.372</v>
      </c>
    </row>
    <row r="1120" spans="1:9">
      <c r="A1120" t="s">
        <v>104</v>
      </c>
      <c r="B1120" t="s">
        <v>105</v>
      </c>
      <c r="C1120" t="s">
        <v>80</v>
      </c>
      <c r="D1120" t="s">
        <v>97</v>
      </c>
      <c r="E1120" t="s">
        <v>98</v>
      </c>
      <c r="F1120" t="s">
        <v>1</v>
      </c>
      <c r="G1120" t="s">
        <v>109</v>
      </c>
      <c r="H1120" s="62">
        <v>2040</v>
      </c>
      <c r="I1120">
        <v>7.2312000000000003</v>
      </c>
    </row>
    <row r="1121" spans="1:9">
      <c r="A1121" t="s">
        <v>104</v>
      </c>
      <c r="B1121" t="s">
        <v>105</v>
      </c>
      <c r="C1121" t="s">
        <v>80</v>
      </c>
      <c r="D1121" t="s">
        <v>97</v>
      </c>
      <c r="E1121" t="s">
        <v>99</v>
      </c>
      <c r="F1121" t="s">
        <v>1</v>
      </c>
      <c r="G1121" t="s">
        <v>109</v>
      </c>
      <c r="H1121" s="62">
        <v>2040</v>
      </c>
      <c r="I1121">
        <v>6.0999999999999999E-2</v>
      </c>
    </row>
    <row r="1122" spans="1:9">
      <c r="A1122" t="s">
        <v>104</v>
      </c>
      <c r="B1122" t="s">
        <v>105</v>
      </c>
      <c r="C1122" t="s">
        <v>80</v>
      </c>
      <c r="D1122" t="s">
        <v>100</v>
      </c>
      <c r="E1122" t="s">
        <v>101</v>
      </c>
      <c r="F1122" t="s">
        <v>1</v>
      </c>
      <c r="G1122" t="s">
        <v>109</v>
      </c>
      <c r="H1122" s="62">
        <v>2040</v>
      </c>
      <c r="I1122">
        <v>11.4877</v>
      </c>
    </row>
    <row r="1123" spans="1:9">
      <c r="A1123" t="s">
        <v>104</v>
      </c>
      <c r="B1123" t="s">
        <v>105</v>
      </c>
      <c r="C1123" t="s">
        <v>80</v>
      </c>
      <c r="D1123" t="s">
        <v>100</v>
      </c>
      <c r="E1123" t="s">
        <v>102</v>
      </c>
      <c r="F1123" t="s">
        <v>1</v>
      </c>
      <c r="G1123" t="s">
        <v>109</v>
      </c>
      <c r="H1123" s="62">
        <v>2040</v>
      </c>
      <c r="I1123">
        <v>3.6543000000000001</v>
      </c>
    </row>
    <row r="1124" spans="1:9">
      <c r="A1124" t="s">
        <v>104</v>
      </c>
      <c r="B1124" t="s">
        <v>105</v>
      </c>
      <c r="C1124" t="s">
        <v>80</v>
      </c>
      <c r="D1124" t="s">
        <v>100</v>
      </c>
      <c r="E1124" t="s">
        <v>111</v>
      </c>
      <c r="F1124" t="s">
        <v>1</v>
      </c>
      <c r="G1124" t="s">
        <v>109</v>
      </c>
      <c r="H1124" s="62">
        <v>2040</v>
      </c>
      <c r="I1124">
        <v>0</v>
      </c>
    </row>
    <row r="1125" spans="1:9">
      <c r="A1125" t="s">
        <v>104</v>
      </c>
      <c r="B1125" t="s">
        <v>105</v>
      </c>
      <c r="C1125" t="s">
        <v>80</v>
      </c>
      <c r="D1125" t="s">
        <v>100</v>
      </c>
      <c r="E1125" t="s">
        <v>112</v>
      </c>
      <c r="F1125" t="s">
        <v>1</v>
      </c>
      <c r="G1125" t="s">
        <v>109</v>
      </c>
      <c r="H1125" s="62">
        <v>2040</v>
      </c>
      <c r="I1125">
        <v>0</v>
      </c>
    </row>
    <row r="1126" spans="1:9">
      <c r="A1126" t="s">
        <v>104</v>
      </c>
      <c r="B1126" t="s">
        <v>105</v>
      </c>
      <c r="C1126" t="s">
        <v>80</v>
      </c>
      <c r="D1126" t="s">
        <v>83</v>
      </c>
      <c r="E1126" t="s">
        <v>84</v>
      </c>
      <c r="F1126" t="s">
        <v>1</v>
      </c>
      <c r="G1126" t="s">
        <v>109</v>
      </c>
      <c r="H1126" s="62">
        <v>2040</v>
      </c>
      <c r="I1126">
        <v>1.6325000000000001</v>
      </c>
    </row>
    <row r="1127" spans="1:9">
      <c r="A1127" t="s">
        <v>104</v>
      </c>
      <c r="B1127" t="s">
        <v>105</v>
      </c>
      <c r="C1127" t="s">
        <v>80</v>
      </c>
      <c r="D1127" t="s">
        <v>83</v>
      </c>
      <c r="E1127" t="s">
        <v>85</v>
      </c>
      <c r="F1127" t="s">
        <v>1</v>
      </c>
      <c r="G1127" t="s">
        <v>109</v>
      </c>
      <c r="H1127" s="62">
        <v>2040</v>
      </c>
      <c r="I1127">
        <v>1.4483999999999999</v>
      </c>
    </row>
    <row r="1128" spans="1:9">
      <c r="A1128" t="s">
        <v>104</v>
      </c>
      <c r="B1128" t="s">
        <v>105</v>
      </c>
      <c r="C1128" t="s">
        <v>80</v>
      </c>
      <c r="D1128" t="s">
        <v>86</v>
      </c>
      <c r="E1128" t="s">
        <v>106</v>
      </c>
      <c r="F1128" t="s">
        <v>1</v>
      </c>
      <c r="G1128" t="s">
        <v>109</v>
      </c>
      <c r="H1128" s="62">
        <v>2040</v>
      </c>
      <c r="I1128">
        <v>1.163</v>
      </c>
    </row>
    <row r="1129" spans="1:9">
      <c r="A1129" t="s">
        <v>104</v>
      </c>
      <c r="B1129" t="s">
        <v>105</v>
      </c>
      <c r="C1129" t="s">
        <v>80</v>
      </c>
      <c r="D1129" t="s">
        <v>86</v>
      </c>
      <c r="E1129" t="s">
        <v>87</v>
      </c>
      <c r="F1129" t="s">
        <v>1</v>
      </c>
      <c r="G1129" t="s">
        <v>109</v>
      </c>
      <c r="H1129" s="62">
        <v>2040</v>
      </c>
      <c r="I1129">
        <v>3.2244999999999999</v>
      </c>
    </row>
    <row r="1130" spans="1:9">
      <c r="A1130" t="s">
        <v>104</v>
      </c>
      <c r="B1130" t="s">
        <v>105</v>
      </c>
      <c r="C1130" t="s">
        <v>80</v>
      </c>
      <c r="D1130" t="s">
        <v>103</v>
      </c>
      <c r="E1130" t="s">
        <v>92</v>
      </c>
      <c r="F1130" t="s">
        <v>1</v>
      </c>
      <c r="G1130" t="s">
        <v>109</v>
      </c>
      <c r="H1130" s="62">
        <v>2040</v>
      </c>
      <c r="I1130">
        <v>3.1463999999999999</v>
      </c>
    </row>
    <row r="1131" spans="1:9">
      <c r="A1131" t="s">
        <v>104</v>
      </c>
      <c r="B1131" t="s">
        <v>105</v>
      </c>
      <c r="C1131" t="s">
        <v>80</v>
      </c>
      <c r="D1131" t="s">
        <v>103</v>
      </c>
      <c r="E1131" t="s">
        <v>89</v>
      </c>
      <c r="F1131" t="s">
        <v>1</v>
      </c>
      <c r="G1131" t="s">
        <v>109</v>
      </c>
      <c r="H1131" s="62">
        <v>2040</v>
      </c>
      <c r="I1131">
        <v>17.429400000000001</v>
      </c>
    </row>
    <row r="1132" spans="1:9">
      <c r="A1132" t="s">
        <v>104</v>
      </c>
      <c r="B1132" t="s">
        <v>105</v>
      </c>
      <c r="C1132" t="s">
        <v>107</v>
      </c>
      <c r="D1132" t="s">
        <v>107</v>
      </c>
      <c r="E1132" t="s">
        <v>107</v>
      </c>
      <c r="F1132" t="s">
        <v>1</v>
      </c>
      <c r="G1132" t="s">
        <v>109</v>
      </c>
      <c r="H1132" s="62">
        <v>2041</v>
      </c>
      <c r="I1132">
        <v>77.195700000000002</v>
      </c>
    </row>
    <row r="1133" spans="1:9">
      <c r="A1133" t="s">
        <v>104</v>
      </c>
      <c r="B1133" t="s">
        <v>105</v>
      </c>
      <c r="C1133" t="s">
        <v>107</v>
      </c>
      <c r="D1133" t="s">
        <v>108</v>
      </c>
      <c r="E1133" t="s">
        <v>108</v>
      </c>
      <c r="F1133" t="s">
        <v>1</v>
      </c>
      <c r="G1133" t="s">
        <v>109</v>
      </c>
      <c r="H1133" s="62">
        <v>2041</v>
      </c>
      <c r="I1133">
        <v>0.19059999999999999</v>
      </c>
    </row>
    <row r="1134" spans="1:9">
      <c r="A1134" t="s">
        <v>104</v>
      </c>
      <c r="B1134" t="s">
        <v>105</v>
      </c>
      <c r="C1134" t="s">
        <v>80</v>
      </c>
      <c r="D1134" t="s">
        <v>80</v>
      </c>
      <c r="E1134" t="s">
        <v>80</v>
      </c>
      <c r="F1134" t="s">
        <v>1</v>
      </c>
      <c r="G1134" t="s">
        <v>109</v>
      </c>
      <c r="H1134" s="62">
        <v>2041</v>
      </c>
      <c r="I1134">
        <v>77.005200000000002</v>
      </c>
    </row>
    <row r="1135" spans="1:9">
      <c r="A1135" t="s">
        <v>104</v>
      </c>
      <c r="B1135" t="s">
        <v>105</v>
      </c>
      <c r="C1135" t="s">
        <v>80</v>
      </c>
      <c r="D1135" t="s">
        <v>89</v>
      </c>
      <c r="E1135" t="s">
        <v>90</v>
      </c>
      <c r="F1135" t="s">
        <v>1</v>
      </c>
      <c r="G1135" t="s">
        <v>109</v>
      </c>
      <c r="H1135" s="62">
        <v>2041</v>
      </c>
      <c r="I1135">
        <v>-0.73309999999999997</v>
      </c>
    </row>
    <row r="1136" spans="1:9">
      <c r="A1136" t="s">
        <v>104</v>
      </c>
      <c r="B1136" t="s">
        <v>105</v>
      </c>
      <c r="C1136" t="s">
        <v>80</v>
      </c>
      <c r="D1136" t="s">
        <v>89</v>
      </c>
      <c r="E1136" t="s">
        <v>91</v>
      </c>
      <c r="F1136" t="s">
        <v>1</v>
      </c>
      <c r="G1136" t="s">
        <v>109</v>
      </c>
      <c r="H1136" s="62">
        <v>2041</v>
      </c>
      <c r="I1136">
        <v>8.7099999999999997E-2</v>
      </c>
    </row>
    <row r="1137" spans="1:9">
      <c r="A1137" t="s">
        <v>104</v>
      </c>
      <c r="B1137" t="s">
        <v>105</v>
      </c>
      <c r="C1137" t="s">
        <v>80</v>
      </c>
      <c r="D1137" t="s">
        <v>92</v>
      </c>
      <c r="E1137" t="s">
        <v>93</v>
      </c>
      <c r="F1137" t="s">
        <v>1</v>
      </c>
      <c r="G1137" t="s">
        <v>109</v>
      </c>
      <c r="H1137" s="62">
        <v>2041</v>
      </c>
      <c r="I1137">
        <v>-4.7464000000000004</v>
      </c>
    </row>
    <row r="1138" spans="1:9">
      <c r="A1138" t="s">
        <v>104</v>
      </c>
      <c r="B1138" t="s">
        <v>105</v>
      </c>
      <c r="C1138" t="s">
        <v>80</v>
      </c>
      <c r="D1138" t="s">
        <v>92</v>
      </c>
      <c r="E1138" t="s">
        <v>94</v>
      </c>
      <c r="F1138" t="s">
        <v>1</v>
      </c>
      <c r="G1138" t="s">
        <v>109</v>
      </c>
      <c r="H1138" s="62">
        <v>2041</v>
      </c>
      <c r="I1138">
        <v>20.459599999999998</v>
      </c>
    </row>
    <row r="1139" spans="1:9">
      <c r="A1139" t="s">
        <v>104</v>
      </c>
      <c r="B1139" t="s">
        <v>105</v>
      </c>
      <c r="C1139" t="s">
        <v>80</v>
      </c>
      <c r="D1139" t="s">
        <v>92</v>
      </c>
      <c r="E1139" t="s">
        <v>110</v>
      </c>
      <c r="F1139" t="s">
        <v>1</v>
      </c>
      <c r="G1139" t="s">
        <v>109</v>
      </c>
      <c r="H1139" s="62">
        <v>2041</v>
      </c>
      <c r="I1139">
        <v>5.2740999999999998</v>
      </c>
    </row>
    <row r="1140" spans="1:9">
      <c r="A1140" t="s">
        <v>104</v>
      </c>
      <c r="B1140" t="s">
        <v>105</v>
      </c>
      <c r="C1140" t="s">
        <v>80</v>
      </c>
      <c r="D1140" t="s">
        <v>92</v>
      </c>
      <c r="E1140" t="s">
        <v>95</v>
      </c>
      <c r="F1140" t="s">
        <v>1</v>
      </c>
      <c r="G1140" t="s">
        <v>109</v>
      </c>
      <c r="H1140" s="62">
        <v>2041</v>
      </c>
      <c r="I1140">
        <v>19.4742</v>
      </c>
    </row>
    <row r="1141" spans="1:9">
      <c r="A1141" t="s">
        <v>104</v>
      </c>
      <c r="B1141" t="s">
        <v>105</v>
      </c>
      <c r="C1141" t="s">
        <v>80</v>
      </c>
      <c r="D1141" t="s">
        <v>96</v>
      </c>
      <c r="E1141" t="s">
        <v>92</v>
      </c>
      <c r="F1141" t="s">
        <v>1</v>
      </c>
      <c r="G1141" t="s">
        <v>109</v>
      </c>
      <c r="H1141" s="62">
        <v>2041</v>
      </c>
      <c r="I1141">
        <v>10.8674</v>
      </c>
    </row>
    <row r="1142" spans="1:9">
      <c r="A1142" t="s">
        <v>104</v>
      </c>
      <c r="B1142" t="s">
        <v>105</v>
      </c>
      <c r="C1142" t="s">
        <v>80</v>
      </c>
      <c r="D1142" t="s">
        <v>96</v>
      </c>
      <c r="E1142" t="s">
        <v>89</v>
      </c>
      <c r="F1142" t="s">
        <v>1</v>
      </c>
      <c r="G1142" t="s">
        <v>109</v>
      </c>
      <c r="H1142" s="62">
        <v>2041</v>
      </c>
      <c r="I1142">
        <v>0.40050000000000002</v>
      </c>
    </row>
    <row r="1143" spans="1:9">
      <c r="A1143" t="s">
        <v>104</v>
      </c>
      <c r="B1143" t="s">
        <v>105</v>
      </c>
      <c r="C1143" t="s">
        <v>80</v>
      </c>
      <c r="D1143" t="s">
        <v>97</v>
      </c>
      <c r="E1143" t="s">
        <v>98</v>
      </c>
      <c r="F1143" t="s">
        <v>1</v>
      </c>
      <c r="G1143" t="s">
        <v>109</v>
      </c>
      <c r="H1143" s="62">
        <v>2041</v>
      </c>
      <c r="I1143">
        <v>8.0410000000000004</v>
      </c>
    </row>
    <row r="1144" spans="1:9">
      <c r="A1144" t="s">
        <v>104</v>
      </c>
      <c r="B1144" t="s">
        <v>105</v>
      </c>
      <c r="C1144" t="s">
        <v>80</v>
      </c>
      <c r="D1144" t="s">
        <v>97</v>
      </c>
      <c r="E1144" t="s">
        <v>99</v>
      </c>
      <c r="F1144" t="s">
        <v>1</v>
      </c>
      <c r="G1144" t="s">
        <v>109</v>
      </c>
      <c r="H1144" s="62">
        <v>2041</v>
      </c>
      <c r="I1144">
        <v>7.3200000000000001E-2</v>
      </c>
    </row>
    <row r="1145" spans="1:9">
      <c r="A1145" t="s">
        <v>104</v>
      </c>
      <c r="B1145" t="s">
        <v>105</v>
      </c>
      <c r="C1145" t="s">
        <v>80</v>
      </c>
      <c r="D1145" t="s">
        <v>100</v>
      </c>
      <c r="E1145" t="s">
        <v>101</v>
      </c>
      <c r="F1145" t="s">
        <v>1</v>
      </c>
      <c r="G1145" t="s">
        <v>109</v>
      </c>
      <c r="H1145" s="62">
        <v>2041</v>
      </c>
      <c r="I1145">
        <v>11.9824</v>
      </c>
    </row>
    <row r="1146" spans="1:9">
      <c r="A1146" t="s">
        <v>104</v>
      </c>
      <c r="B1146" t="s">
        <v>105</v>
      </c>
      <c r="C1146" t="s">
        <v>80</v>
      </c>
      <c r="D1146" t="s">
        <v>100</v>
      </c>
      <c r="E1146" t="s">
        <v>102</v>
      </c>
      <c r="F1146" t="s">
        <v>1</v>
      </c>
      <c r="G1146" t="s">
        <v>109</v>
      </c>
      <c r="H1146" s="62">
        <v>2041</v>
      </c>
      <c r="I1146">
        <v>2.6619999999999999</v>
      </c>
    </row>
    <row r="1147" spans="1:9">
      <c r="A1147" t="s">
        <v>104</v>
      </c>
      <c r="B1147" t="s">
        <v>105</v>
      </c>
      <c r="C1147" t="s">
        <v>80</v>
      </c>
      <c r="D1147" t="s">
        <v>100</v>
      </c>
      <c r="E1147" t="s">
        <v>111</v>
      </c>
      <c r="F1147" t="s">
        <v>1</v>
      </c>
      <c r="G1147" t="s">
        <v>109</v>
      </c>
      <c r="H1147" s="62">
        <v>2041</v>
      </c>
      <c r="I1147">
        <v>0</v>
      </c>
    </row>
    <row r="1148" spans="1:9">
      <c r="A1148" t="s">
        <v>104</v>
      </c>
      <c r="B1148" t="s">
        <v>105</v>
      </c>
      <c r="C1148" t="s">
        <v>80</v>
      </c>
      <c r="D1148" t="s">
        <v>100</v>
      </c>
      <c r="E1148" t="s">
        <v>112</v>
      </c>
      <c r="F1148" t="s">
        <v>1</v>
      </c>
      <c r="G1148" t="s">
        <v>109</v>
      </c>
      <c r="H1148" s="62">
        <v>2041</v>
      </c>
      <c r="I1148">
        <v>0</v>
      </c>
    </row>
    <row r="1149" spans="1:9">
      <c r="A1149" t="s">
        <v>104</v>
      </c>
      <c r="B1149" t="s">
        <v>105</v>
      </c>
      <c r="C1149" t="s">
        <v>80</v>
      </c>
      <c r="D1149" t="s">
        <v>83</v>
      </c>
      <c r="E1149" t="s">
        <v>84</v>
      </c>
      <c r="F1149" t="s">
        <v>1</v>
      </c>
      <c r="G1149" t="s">
        <v>109</v>
      </c>
      <c r="H1149" s="62">
        <v>2041</v>
      </c>
      <c r="I1149">
        <v>1.6817</v>
      </c>
    </row>
    <row r="1150" spans="1:9">
      <c r="A1150" t="s">
        <v>104</v>
      </c>
      <c r="B1150" t="s">
        <v>105</v>
      </c>
      <c r="C1150" t="s">
        <v>80</v>
      </c>
      <c r="D1150" t="s">
        <v>83</v>
      </c>
      <c r="E1150" t="s">
        <v>85</v>
      </c>
      <c r="F1150" t="s">
        <v>1</v>
      </c>
      <c r="G1150" t="s">
        <v>109</v>
      </c>
      <c r="H1150" s="62">
        <v>2041</v>
      </c>
      <c r="I1150">
        <v>1.4815</v>
      </c>
    </row>
    <row r="1151" spans="1:9">
      <c r="A1151" t="s">
        <v>104</v>
      </c>
      <c r="B1151" t="s">
        <v>105</v>
      </c>
      <c r="C1151" t="s">
        <v>80</v>
      </c>
      <c r="D1151" t="s">
        <v>86</v>
      </c>
      <c r="E1151" t="s">
        <v>106</v>
      </c>
      <c r="F1151" t="s">
        <v>1</v>
      </c>
      <c r="G1151" t="s">
        <v>109</v>
      </c>
      <c r="H1151" s="62">
        <v>2041</v>
      </c>
      <c r="I1151">
        <v>1.1741999999999999</v>
      </c>
    </row>
    <row r="1152" spans="1:9">
      <c r="A1152" t="s">
        <v>104</v>
      </c>
      <c r="B1152" t="s">
        <v>105</v>
      </c>
      <c r="C1152" t="s">
        <v>80</v>
      </c>
      <c r="D1152" t="s">
        <v>86</v>
      </c>
      <c r="E1152" t="s">
        <v>87</v>
      </c>
      <c r="F1152" t="s">
        <v>1</v>
      </c>
      <c r="G1152" t="s">
        <v>109</v>
      </c>
      <c r="H1152" s="62">
        <v>2041</v>
      </c>
      <c r="I1152">
        <v>3.4851999999999999</v>
      </c>
    </row>
    <row r="1153" spans="1:9">
      <c r="A1153" t="s">
        <v>104</v>
      </c>
      <c r="B1153" t="s">
        <v>105</v>
      </c>
      <c r="C1153" t="s">
        <v>80</v>
      </c>
      <c r="D1153" t="s">
        <v>103</v>
      </c>
      <c r="E1153" t="s">
        <v>92</v>
      </c>
      <c r="F1153" t="s">
        <v>1</v>
      </c>
      <c r="G1153" t="s">
        <v>109</v>
      </c>
      <c r="H1153" s="62">
        <v>2041</v>
      </c>
      <c r="I1153">
        <v>3.2566999999999999</v>
      </c>
    </row>
    <row r="1154" spans="1:9">
      <c r="A1154" t="s">
        <v>104</v>
      </c>
      <c r="B1154" t="s">
        <v>105</v>
      </c>
      <c r="C1154" t="s">
        <v>80</v>
      </c>
      <c r="D1154" t="s">
        <v>103</v>
      </c>
      <c r="E1154" t="s">
        <v>89</v>
      </c>
      <c r="F1154" t="s">
        <v>1</v>
      </c>
      <c r="G1154" t="s">
        <v>109</v>
      </c>
      <c r="H1154" s="62">
        <v>2041</v>
      </c>
      <c r="I1154">
        <v>18.041599999999999</v>
      </c>
    </row>
    <row r="1155" spans="1:9">
      <c r="A1155" t="s">
        <v>104</v>
      </c>
      <c r="B1155" t="s">
        <v>105</v>
      </c>
      <c r="C1155" t="s">
        <v>107</v>
      </c>
      <c r="D1155" t="s">
        <v>107</v>
      </c>
      <c r="E1155" t="s">
        <v>107</v>
      </c>
      <c r="F1155" t="s">
        <v>1</v>
      </c>
      <c r="G1155" t="s">
        <v>109</v>
      </c>
      <c r="H1155" s="62">
        <v>2042</v>
      </c>
      <c r="I1155">
        <v>80.627700000000004</v>
      </c>
    </row>
    <row r="1156" spans="1:9">
      <c r="A1156" t="s">
        <v>104</v>
      </c>
      <c r="B1156" t="s">
        <v>105</v>
      </c>
      <c r="C1156" t="s">
        <v>107</v>
      </c>
      <c r="D1156" t="s">
        <v>108</v>
      </c>
      <c r="E1156" t="s">
        <v>108</v>
      </c>
      <c r="F1156" t="s">
        <v>1</v>
      </c>
      <c r="G1156" t="s">
        <v>109</v>
      </c>
      <c r="H1156" s="62">
        <v>2042</v>
      </c>
      <c r="I1156">
        <v>0.2014</v>
      </c>
    </row>
    <row r="1157" spans="1:9">
      <c r="A1157" t="s">
        <v>104</v>
      </c>
      <c r="B1157" t="s">
        <v>105</v>
      </c>
      <c r="C1157" t="s">
        <v>80</v>
      </c>
      <c r="D1157" t="s">
        <v>80</v>
      </c>
      <c r="E1157" t="s">
        <v>80</v>
      </c>
      <c r="F1157" t="s">
        <v>1</v>
      </c>
      <c r="G1157" t="s">
        <v>109</v>
      </c>
      <c r="H1157" s="62">
        <v>2042</v>
      </c>
      <c r="I1157">
        <v>80.426299999999998</v>
      </c>
    </row>
    <row r="1158" spans="1:9">
      <c r="A1158" t="s">
        <v>104</v>
      </c>
      <c r="B1158" t="s">
        <v>105</v>
      </c>
      <c r="C1158" t="s">
        <v>80</v>
      </c>
      <c r="D1158" t="s">
        <v>89</v>
      </c>
      <c r="E1158" t="s">
        <v>90</v>
      </c>
      <c r="F1158" t="s">
        <v>1</v>
      </c>
      <c r="G1158" t="s">
        <v>109</v>
      </c>
      <c r="H1158" s="62">
        <v>2042</v>
      </c>
      <c r="I1158">
        <v>-1.1801999999999999</v>
      </c>
    </row>
    <row r="1159" spans="1:9">
      <c r="A1159" t="s">
        <v>104</v>
      </c>
      <c r="B1159" t="s">
        <v>105</v>
      </c>
      <c r="C1159" t="s">
        <v>80</v>
      </c>
      <c r="D1159" t="s">
        <v>89</v>
      </c>
      <c r="E1159" t="s">
        <v>91</v>
      </c>
      <c r="F1159" t="s">
        <v>1</v>
      </c>
      <c r="G1159" t="s">
        <v>109</v>
      </c>
      <c r="H1159" s="62">
        <v>2042</v>
      </c>
      <c r="I1159">
        <v>0.14849999999999999</v>
      </c>
    </row>
    <row r="1160" spans="1:9">
      <c r="A1160" t="s">
        <v>104</v>
      </c>
      <c r="B1160" t="s">
        <v>105</v>
      </c>
      <c r="C1160" t="s">
        <v>80</v>
      </c>
      <c r="D1160" t="s">
        <v>92</v>
      </c>
      <c r="E1160" t="s">
        <v>93</v>
      </c>
      <c r="F1160" t="s">
        <v>1</v>
      </c>
      <c r="G1160" t="s">
        <v>109</v>
      </c>
      <c r="H1160" s="62">
        <v>2042</v>
      </c>
      <c r="I1160">
        <v>-5.1024000000000003</v>
      </c>
    </row>
    <row r="1161" spans="1:9">
      <c r="A1161" t="s">
        <v>104</v>
      </c>
      <c r="B1161" t="s">
        <v>105</v>
      </c>
      <c r="C1161" t="s">
        <v>80</v>
      </c>
      <c r="D1161" t="s">
        <v>92</v>
      </c>
      <c r="E1161" t="s">
        <v>94</v>
      </c>
      <c r="F1161" t="s">
        <v>1</v>
      </c>
      <c r="G1161" t="s">
        <v>109</v>
      </c>
      <c r="H1161" s="62">
        <v>2042</v>
      </c>
      <c r="I1161">
        <v>20.534600000000001</v>
      </c>
    </row>
    <row r="1162" spans="1:9">
      <c r="A1162" t="s">
        <v>104</v>
      </c>
      <c r="B1162" t="s">
        <v>105</v>
      </c>
      <c r="C1162" t="s">
        <v>80</v>
      </c>
      <c r="D1162" t="s">
        <v>92</v>
      </c>
      <c r="E1162" t="s">
        <v>110</v>
      </c>
      <c r="F1162" t="s">
        <v>1</v>
      </c>
      <c r="G1162" t="s">
        <v>109</v>
      </c>
      <c r="H1162" s="62">
        <v>2042</v>
      </c>
      <c r="I1162">
        <v>5.0358999999999998</v>
      </c>
    </row>
    <row r="1163" spans="1:9">
      <c r="A1163" t="s">
        <v>104</v>
      </c>
      <c r="B1163" t="s">
        <v>105</v>
      </c>
      <c r="C1163" t="s">
        <v>80</v>
      </c>
      <c r="D1163" t="s">
        <v>92</v>
      </c>
      <c r="E1163" t="s">
        <v>95</v>
      </c>
      <c r="F1163" t="s">
        <v>1</v>
      </c>
      <c r="G1163" t="s">
        <v>109</v>
      </c>
      <c r="H1163" s="62">
        <v>2042</v>
      </c>
      <c r="I1163">
        <v>20.017600000000002</v>
      </c>
    </row>
    <row r="1164" spans="1:9">
      <c r="A1164" t="s">
        <v>104</v>
      </c>
      <c r="B1164" t="s">
        <v>105</v>
      </c>
      <c r="C1164" t="s">
        <v>80</v>
      </c>
      <c r="D1164" t="s">
        <v>96</v>
      </c>
      <c r="E1164" t="s">
        <v>92</v>
      </c>
      <c r="F1164" t="s">
        <v>1</v>
      </c>
      <c r="G1164" t="s">
        <v>109</v>
      </c>
      <c r="H1164" s="62">
        <v>2042</v>
      </c>
      <c r="I1164">
        <v>11.488899999999999</v>
      </c>
    </row>
    <row r="1165" spans="1:9">
      <c r="A1165" t="s">
        <v>104</v>
      </c>
      <c r="B1165" t="s">
        <v>105</v>
      </c>
      <c r="C1165" t="s">
        <v>80</v>
      </c>
      <c r="D1165" t="s">
        <v>96</v>
      </c>
      <c r="E1165" t="s">
        <v>89</v>
      </c>
      <c r="F1165" t="s">
        <v>1</v>
      </c>
      <c r="G1165" t="s">
        <v>109</v>
      </c>
      <c r="H1165" s="62">
        <v>2042</v>
      </c>
      <c r="I1165">
        <v>0.42959999999999998</v>
      </c>
    </row>
    <row r="1166" spans="1:9">
      <c r="A1166" t="s">
        <v>104</v>
      </c>
      <c r="B1166" t="s">
        <v>105</v>
      </c>
      <c r="C1166" t="s">
        <v>80</v>
      </c>
      <c r="D1166" t="s">
        <v>97</v>
      </c>
      <c r="E1166" t="s">
        <v>98</v>
      </c>
      <c r="F1166" t="s">
        <v>1</v>
      </c>
      <c r="G1166" t="s">
        <v>109</v>
      </c>
      <c r="H1166" s="62">
        <v>2042</v>
      </c>
      <c r="I1166">
        <v>8.8667999999999996</v>
      </c>
    </row>
    <row r="1167" spans="1:9">
      <c r="A1167" t="s">
        <v>104</v>
      </c>
      <c r="B1167" t="s">
        <v>105</v>
      </c>
      <c r="C1167" t="s">
        <v>80</v>
      </c>
      <c r="D1167" t="s">
        <v>97</v>
      </c>
      <c r="E1167" t="s">
        <v>99</v>
      </c>
      <c r="F1167" t="s">
        <v>1</v>
      </c>
      <c r="G1167" t="s">
        <v>109</v>
      </c>
      <c r="H1167" s="62">
        <v>2042</v>
      </c>
      <c r="I1167">
        <v>8.6599999999999996E-2</v>
      </c>
    </row>
    <row r="1168" spans="1:9">
      <c r="A1168" t="s">
        <v>104</v>
      </c>
      <c r="B1168" t="s">
        <v>105</v>
      </c>
      <c r="C1168" t="s">
        <v>80</v>
      </c>
      <c r="D1168" t="s">
        <v>100</v>
      </c>
      <c r="E1168" t="s">
        <v>101</v>
      </c>
      <c r="F1168" t="s">
        <v>1</v>
      </c>
      <c r="G1168" t="s">
        <v>109</v>
      </c>
      <c r="H1168" s="62">
        <v>2042</v>
      </c>
      <c r="I1168">
        <v>12.8132</v>
      </c>
    </row>
    <row r="1169" spans="1:9">
      <c r="A1169" t="s">
        <v>104</v>
      </c>
      <c r="B1169" t="s">
        <v>105</v>
      </c>
      <c r="C1169" t="s">
        <v>80</v>
      </c>
      <c r="D1169" t="s">
        <v>100</v>
      </c>
      <c r="E1169" t="s">
        <v>102</v>
      </c>
      <c r="F1169" t="s">
        <v>1</v>
      </c>
      <c r="G1169" t="s">
        <v>109</v>
      </c>
      <c r="H1169" s="62">
        <v>2042</v>
      </c>
      <c r="I1169">
        <v>4.0430000000000001</v>
      </c>
    </row>
    <row r="1170" spans="1:9">
      <c r="A1170" t="s">
        <v>104</v>
      </c>
      <c r="B1170" t="s">
        <v>105</v>
      </c>
      <c r="C1170" t="s">
        <v>80</v>
      </c>
      <c r="D1170" t="s">
        <v>100</v>
      </c>
      <c r="E1170" t="s">
        <v>111</v>
      </c>
      <c r="F1170" t="s">
        <v>1</v>
      </c>
      <c r="G1170" t="s">
        <v>109</v>
      </c>
      <c r="H1170" s="62">
        <v>2042</v>
      </c>
      <c r="I1170">
        <v>0</v>
      </c>
    </row>
    <row r="1171" spans="1:9">
      <c r="A1171" t="s">
        <v>104</v>
      </c>
      <c r="B1171" t="s">
        <v>105</v>
      </c>
      <c r="C1171" t="s">
        <v>80</v>
      </c>
      <c r="D1171" t="s">
        <v>100</v>
      </c>
      <c r="E1171" t="s">
        <v>112</v>
      </c>
      <c r="F1171" t="s">
        <v>1</v>
      </c>
      <c r="G1171" t="s">
        <v>109</v>
      </c>
      <c r="H1171" s="62">
        <v>2042</v>
      </c>
      <c r="I1171">
        <v>0</v>
      </c>
    </row>
    <row r="1172" spans="1:9">
      <c r="A1172" t="s">
        <v>104</v>
      </c>
      <c r="B1172" t="s">
        <v>105</v>
      </c>
      <c r="C1172" t="s">
        <v>80</v>
      </c>
      <c r="D1172" t="s">
        <v>83</v>
      </c>
      <c r="E1172" t="s">
        <v>84</v>
      </c>
      <c r="F1172" t="s">
        <v>1</v>
      </c>
      <c r="G1172" t="s">
        <v>109</v>
      </c>
      <c r="H1172" s="62">
        <v>2042</v>
      </c>
      <c r="I1172">
        <v>1.7297</v>
      </c>
    </row>
    <row r="1173" spans="1:9">
      <c r="A1173" t="s">
        <v>104</v>
      </c>
      <c r="B1173" t="s">
        <v>105</v>
      </c>
      <c r="C1173" t="s">
        <v>80</v>
      </c>
      <c r="D1173" t="s">
        <v>83</v>
      </c>
      <c r="E1173" t="s">
        <v>85</v>
      </c>
      <c r="F1173" t="s">
        <v>1</v>
      </c>
      <c r="G1173" t="s">
        <v>109</v>
      </c>
      <c r="H1173" s="62">
        <v>2042</v>
      </c>
      <c r="I1173">
        <v>1.5145</v>
      </c>
    </row>
    <row r="1174" spans="1:9">
      <c r="A1174" t="s">
        <v>104</v>
      </c>
      <c r="B1174" t="s">
        <v>105</v>
      </c>
      <c r="C1174" t="s">
        <v>80</v>
      </c>
      <c r="D1174" t="s">
        <v>86</v>
      </c>
      <c r="E1174" t="s">
        <v>106</v>
      </c>
      <c r="F1174" t="s">
        <v>1</v>
      </c>
      <c r="G1174" t="s">
        <v>109</v>
      </c>
      <c r="H1174" s="62">
        <v>2042</v>
      </c>
      <c r="I1174">
        <v>1.1884999999999999</v>
      </c>
    </row>
    <row r="1175" spans="1:9">
      <c r="A1175" t="s">
        <v>104</v>
      </c>
      <c r="B1175" t="s">
        <v>105</v>
      </c>
      <c r="C1175" t="s">
        <v>80</v>
      </c>
      <c r="D1175" t="s">
        <v>86</v>
      </c>
      <c r="E1175" t="s">
        <v>87</v>
      </c>
      <c r="F1175" t="s">
        <v>1</v>
      </c>
      <c r="G1175" t="s">
        <v>109</v>
      </c>
      <c r="H1175" s="62">
        <v>2042</v>
      </c>
      <c r="I1175">
        <v>3.7654999999999998</v>
      </c>
    </row>
    <row r="1176" spans="1:9">
      <c r="A1176" t="s">
        <v>104</v>
      </c>
      <c r="B1176" t="s">
        <v>105</v>
      </c>
      <c r="C1176" t="s">
        <v>80</v>
      </c>
      <c r="D1176" t="s">
        <v>103</v>
      </c>
      <c r="E1176" t="s">
        <v>92</v>
      </c>
      <c r="F1176" t="s">
        <v>1</v>
      </c>
      <c r="G1176" t="s">
        <v>109</v>
      </c>
      <c r="H1176" s="62">
        <v>2042</v>
      </c>
      <c r="I1176">
        <v>3.3658000000000001</v>
      </c>
    </row>
    <row r="1177" spans="1:9">
      <c r="A1177" t="s">
        <v>104</v>
      </c>
      <c r="B1177" t="s">
        <v>105</v>
      </c>
      <c r="C1177" t="s">
        <v>80</v>
      </c>
      <c r="D1177" t="s">
        <v>103</v>
      </c>
      <c r="E1177" t="s">
        <v>89</v>
      </c>
      <c r="F1177" t="s">
        <v>1</v>
      </c>
      <c r="G1177" t="s">
        <v>109</v>
      </c>
      <c r="H1177" s="62">
        <v>2042</v>
      </c>
      <c r="I1177">
        <v>18.6965</v>
      </c>
    </row>
    <row r="1178" spans="1:9">
      <c r="A1178" t="s">
        <v>104</v>
      </c>
      <c r="B1178" t="s">
        <v>105</v>
      </c>
      <c r="C1178" t="s">
        <v>107</v>
      </c>
      <c r="D1178" t="s">
        <v>107</v>
      </c>
      <c r="E1178" t="s">
        <v>107</v>
      </c>
      <c r="F1178" t="s">
        <v>1</v>
      </c>
      <c r="G1178" t="s">
        <v>109</v>
      </c>
      <c r="H1178" s="62">
        <v>2043</v>
      </c>
      <c r="I1178">
        <v>81.983699999999999</v>
      </c>
    </row>
    <row r="1179" spans="1:9">
      <c r="A1179" t="s">
        <v>104</v>
      </c>
      <c r="B1179" t="s">
        <v>105</v>
      </c>
      <c r="C1179" t="s">
        <v>107</v>
      </c>
      <c r="D1179" t="s">
        <v>108</v>
      </c>
      <c r="E1179" t="s">
        <v>108</v>
      </c>
      <c r="F1179" t="s">
        <v>1</v>
      </c>
      <c r="G1179" t="s">
        <v>109</v>
      </c>
      <c r="H1179" s="62">
        <v>2043</v>
      </c>
      <c r="I1179">
        <v>0.19989999999999999</v>
      </c>
    </row>
    <row r="1180" spans="1:9">
      <c r="A1180" t="s">
        <v>104</v>
      </c>
      <c r="B1180" t="s">
        <v>105</v>
      </c>
      <c r="C1180" t="s">
        <v>80</v>
      </c>
      <c r="D1180" t="s">
        <v>80</v>
      </c>
      <c r="E1180" t="s">
        <v>80</v>
      </c>
      <c r="F1180" t="s">
        <v>1</v>
      </c>
      <c r="G1180" t="s">
        <v>109</v>
      </c>
      <c r="H1180" s="62">
        <v>2043</v>
      </c>
      <c r="I1180">
        <v>81.783900000000003</v>
      </c>
    </row>
    <row r="1181" spans="1:9">
      <c r="A1181" t="s">
        <v>104</v>
      </c>
      <c r="B1181" t="s">
        <v>105</v>
      </c>
      <c r="C1181" t="s">
        <v>80</v>
      </c>
      <c r="D1181" t="s">
        <v>89</v>
      </c>
      <c r="E1181" t="s">
        <v>90</v>
      </c>
      <c r="F1181" t="s">
        <v>1</v>
      </c>
      <c r="G1181" t="s">
        <v>109</v>
      </c>
      <c r="H1181" s="62">
        <v>2043</v>
      </c>
      <c r="I1181">
        <v>-1.6828000000000001</v>
      </c>
    </row>
    <row r="1182" spans="1:9">
      <c r="A1182" t="s">
        <v>104</v>
      </c>
      <c r="B1182" t="s">
        <v>105</v>
      </c>
      <c r="C1182" t="s">
        <v>80</v>
      </c>
      <c r="D1182" t="s">
        <v>89</v>
      </c>
      <c r="E1182" t="s">
        <v>91</v>
      </c>
      <c r="F1182" t="s">
        <v>1</v>
      </c>
      <c r="G1182" t="s">
        <v>109</v>
      </c>
      <c r="H1182" s="62">
        <v>2043</v>
      </c>
      <c r="I1182">
        <v>0.2258</v>
      </c>
    </row>
    <row r="1183" spans="1:9">
      <c r="A1183" t="s">
        <v>104</v>
      </c>
      <c r="B1183" t="s">
        <v>105</v>
      </c>
      <c r="C1183" t="s">
        <v>80</v>
      </c>
      <c r="D1183" t="s">
        <v>92</v>
      </c>
      <c r="E1183" t="s">
        <v>93</v>
      </c>
      <c r="F1183" t="s">
        <v>1</v>
      </c>
      <c r="G1183" t="s">
        <v>109</v>
      </c>
      <c r="H1183" s="62">
        <v>2043</v>
      </c>
      <c r="I1183">
        <v>-5.5439999999999996</v>
      </c>
    </row>
    <row r="1184" spans="1:9">
      <c r="A1184" t="s">
        <v>104</v>
      </c>
      <c r="B1184" t="s">
        <v>105</v>
      </c>
      <c r="C1184" t="s">
        <v>80</v>
      </c>
      <c r="D1184" t="s">
        <v>92</v>
      </c>
      <c r="E1184" t="s">
        <v>94</v>
      </c>
      <c r="F1184" t="s">
        <v>1</v>
      </c>
      <c r="G1184" t="s">
        <v>109</v>
      </c>
      <c r="H1184" s="62">
        <v>2043</v>
      </c>
      <c r="I1184">
        <v>20.7239</v>
      </c>
    </row>
    <row r="1185" spans="1:9">
      <c r="A1185" t="s">
        <v>104</v>
      </c>
      <c r="B1185" t="s">
        <v>105</v>
      </c>
      <c r="C1185" t="s">
        <v>80</v>
      </c>
      <c r="D1185" t="s">
        <v>92</v>
      </c>
      <c r="E1185" t="s">
        <v>110</v>
      </c>
      <c r="F1185" t="s">
        <v>1</v>
      </c>
      <c r="G1185" t="s">
        <v>109</v>
      </c>
      <c r="H1185" s="62">
        <v>2043</v>
      </c>
      <c r="I1185">
        <v>4.7976000000000001</v>
      </c>
    </row>
    <row r="1186" spans="1:9">
      <c r="A1186" t="s">
        <v>104</v>
      </c>
      <c r="B1186" t="s">
        <v>105</v>
      </c>
      <c r="C1186" t="s">
        <v>80</v>
      </c>
      <c r="D1186" t="s">
        <v>92</v>
      </c>
      <c r="E1186" t="s">
        <v>95</v>
      </c>
      <c r="F1186" t="s">
        <v>1</v>
      </c>
      <c r="G1186" t="s">
        <v>109</v>
      </c>
      <c r="H1186" s="62">
        <v>2043</v>
      </c>
      <c r="I1186">
        <v>20.593299999999999</v>
      </c>
    </row>
    <row r="1187" spans="1:9">
      <c r="A1187" t="s">
        <v>104</v>
      </c>
      <c r="B1187" t="s">
        <v>105</v>
      </c>
      <c r="C1187" t="s">
        <v>80</v>
      </c>
      <c r="D1187" t="s">
        <v>96</v>
      </c>
      <c r="E1187" t="s">
        <v>92</v>
      </c>
      <c r="F1187" t="s">
        <v>1</v>
      </c>
      <c r="G1187" t="s">
        <v>109</v>
      </c>
      <c r="H1187" s="62">
        <v>2043</v>
      </c>
      <c r="I1187">
        <v>11.848000000000001</v>
      </c>
    </row>
    <row r="1188" spans="1:9">
      <c r="A1188" t="s">
        <v>104</v>
      </c>
      <c r="B1188" t="s">
        <v>105</v>
      </c>
      <c r="C1188" t="s">
        <v>80</v>
      </c>
      <c r="D1188" t="s">
        <v>96</v>
      </c>
      <c r="E1188" t="s">
        <v>89</v>
      </c>
      <c r="F1188" t="s">
        <v>1</v>
      </c>
      <c r="G1188" t="s">
        <v>109</v>
      </c>
      <c r="H1188" s="62">
        <v>2043</v>
      </c>
      <c r="I1188">
        <v>0.46050000000000002</v>
      </c>
    </row>
    <row r="1189" spans="1:9">
      <c r="A1189" t="s">
        <v>104</v>
      </c>
      <c r="B1189" t="s">
        <v>105</v>
      </c>
      <c r="C1189" t="s">
        <v>80</v>
      </c>
      <c r="D1189" t="s">
        <v>97</v>
      </c>
      <c r="E1189" t="s">
        <v>98</v>
      </c>
      <c r="F1189" t="s">
        <v>1</v>
      </c>
      <c r="G1189" t="s">
        <v>109</v>
      </c>
      <c r="H1189" s="62">
        <v>2043</v>
      </c>
      <c r="I1189">
        <v>9.6959</v>
      </c>
    </row>
    <row r="1190" spans="1:9">
      <c r="A1190" t="s">
        <v>104</v>
      </c>
      <c r="B1190" t="s">
        <v>105</v>
      </c>
      <c r="C1190" t="s">
        <v>80</v>
      </c>
      <c r="D1190" t="s">
        <v>97</v>
      </c>
      <c r="E1190" t="s">
        <v>99</v>
      </c>
      <c r="F1190" t="s">
        <v>1</v>
      </c>
      <c r="G1190" t="s">
        <v>109</v>
      </c>
      <c r="H1190" s="62">
        <v>2043</v>
      </c>
      <c r="I1190">
        <v>0.1012</v>
      </c>
    </row>
    <row r="1191" spans="1:9">
      <c r="A1191" t="s">
        <v>104</v>
      </c>
      <c r="B1191" t="s">
        <v>105</v>
      </c>
      <c r="C1191" t="s">
        <v>80</v>
      </c>
      <c r="D1191" t="s">
        <v>100</v>
      </c>
      <c r="E1191" t="s">
        <v>101</v>
      </c>
      <c r="F1191" t="s">
        <v>1</v>
      </c>
      <c r="G1191" t="s">
        <v>109</v>
      </c>
      <c r="H1191" s="62">
        <v>2043</v>
      </c>
      <c r="I1191">
        <v>13.577999999999999</v>
      </c>
    </row>
    <row r="1192" spans="1:9">
      <c r="A1192" t="s">
        <v>104</v>
      </c>
      <c r="B1192" t="s">
        <v>105</v>
      </c>
      <c r="C1192" t="s">
        <v>80</v>
      </c>
      <c r="D1192" t="s">
        <v>100</v>
      </c>
      <c r="E1192" t="s">
        <v>102</v>
      </c>
      <c r="F1192" t="s">
        <v>1</v>
      </c>
      <c r="G1192" t="s">
        <v>109</v>
      </c>
      <c r="H1192" s="62">
        <v>2043</v>
      </c>
      <c r="I1192">
        <v>3.6734</v>
      </c>
    </row>
    <row r="1193" spans="1:9">
      <c r="A1193" t="s">
        <v>104</v>
      </c>
      <c r="B1193" t="s">
        <v>105</v>
      </c>
      <c r="C1193" t="s">
        <v>80</v>
      </c>
      <c r="D1193" t="s">
        <v>100</v>
      </c>
      <c r="E1193" t="s">
        <v>111</v>
      </c>
      <c r="F1193" t="s">
        <v>1</v>
      </c>
      <c r="G1193" t="s">
        <v>109</v>
      </c>
      <c r="H1193" s="62">
        <v>2043</v>
      </c>
      <c r="I1193">
        <v>0</v>
      </c>
    </row>
    <row r="1194" spans="1:9">
      <c r="A1194" t="s">
        <v>104</v>
      </c>
      <c r="B1194" t="s">
        <v>105</v>
      </c>
      <c r="C1194" t="s">
        <v>80</v>
      </c>
      <c r="D1194" t="s">
        <v>100</v>
      </c>
      <c r="E1194" t="s">
        <v>112</v>
      </c>
      <c r="F1194" t="s">
        <v>1</v>
      </c>
      <c r="G1194" t="s">
        <v>109</v>
      </c>
      <c r="H1194" s="62">
        <v>2043</v>
      </c>
      <c r="I1194">
        <v>0</v>
      </c>
    </row>
    <row r="1195" spans="1:9">
      <c r="A1195" t="s">
        <v>104</v>
      </c>
      <c r="B1195" t="s">
        <v>105</v>
      </c>
      <c r="C1195" t="s">
        <v>80</v>
      </c>
      <c r="D1195" t="s">
        <v>83</v>
      </c>
      <c r="E1195" t="s">
        <v>84</v>
      </c>
      <c r="F1195" t="s">
        <v>1</v>
      </c>
      <c r="G1195" t="s">
        <v>109</v>
      </c>
      <c r="H1195" s="62">
        <v>2043</v>
      </c>
      <c r="I1195">
        <v>1.7693000000000001</v>
      </c>
    </row>
    <row r="1196" spans="1:9">
      <c r="A1196" t="s">
        <v>104</v>
      </c>
      <c r="B1196" t="s">
        <v>105</v>
      </c>
      <c r="C1196" t="s">
        <v>80</v>
      </c>
      <c r="D1196" t="s">
        <v>83</v>
      </c>
      <c r="E1196" t="s">
        <v>85</v>
      </c>
      <c r="F1196" t="s">
        <v>1</v>
      </c>
      <c r="G1196" t="s">
        <v>109</v>
      </c>
      <c r="H1196" s="62">
        <v>2043</v>
      </c>
      <c r="I1196">
        <v>1.5437000000000001</v>
      </c>
    </row>
    <row r="1197" spans="1:9">
      <c r="A1197" t="s">
        <v>104</v>
      </c>
      <c r="B1197" t="s">
        <v>105</v>
      </c>
      <c r="C1197" t="s">
        <v>80</v>
      </c>
      <c r="D1197" t="s">
        <v>86</v>
      </c>
      <c r="E1197" t="s">
        <v>106</v>
      </c>
      <c r="F1197" t="s">
        <v>1</v>
      </c>
      <c r="G1197" t="s">
        <v>109</v>
      </c>
      <c r="H1197" s="62">
        <v>2043</v>
      </c>
      <c r="I1197">
        <v>1.2028000000000001</v>
      </c>
    </row>
    <row r="1198" spans="1:9">
      <c r="A1198" t="s">
        <v>104</v>
      </c>
      <c r="B1198" t="s">
        <v>105</v>
      </c>
      <c r="C1198" t="s">
        <v>80</v>
      </c>
      <c r="D1198" t="s">
        <v>86</v>
      </c>
      <c r="E1198" t="s">
        <v>87</v>
      </c>
      <c r="F1198" t="s">
        <v>1</v>
      </c>
      <c r="G1198" t="s">
        <v>109</v>
      </c>
      <c r="H1198" s="62">
        <v>2043</v>
      </c>
      <c r="I1198">
        <v>4.1154000000000002</v>
      </c>
    </row>
    <row r="1199" spans="1:9">
      <c r="A1199" t="s">
        <v>104</v>
      </c>
      <c r="B1199" t="s">
        <v>105</v>
      </c>
      <c r="C1199" t="s">
        <v>80</v>
      </c>
      <c r="D1199" t="s">
        <v>103</v>
      </c>
      <c r="E1199" t="s">
        <v>92</v>
      </c>
      <c r="F1199" t="s">
        <v>1</v>
      </c>
      <c r="G1199" t="s">
        <v>109</v>
      </c>
      <c r="H1199" s="62">
        <v>2043</v>
      </c>
      <c r="I1199">
        <v>3.4784999999999999</v>
      </c>
    </row>
    <row r="1200" spans="1:9">
      <c r="A1200" t="s">
        <v>104</v>
      </c>
      <c r="B1200" t="s">
        <v>105</v>
      </c>
      <c r="C1200" t="s">
        <v>80</v>
      </c>
      <c r="D1200" t="s">
        <v>103</v>
      </c>
      <c r="E1200" t="s">
        <v>89</v>
      </c>
      <c r="F1200" t="s">
        <v>1</v>
      </c>
      <c r="G1200" t="s">
        <v>109</v>
      </c>
      <c r="H1200" s="62">
        <v>2043</v>
      </c>
      <c r="I1200">
        <v>19.424900000000001</v>
      </c>
    </row>
    <row r="1201" spans="1:9">
      <c r="A1201" t="s">
        <v>104</v>
      </c>
      <c r="B1201" t="s">
        <v>105</v>
      </c>
      <c r="C1201" t="s">
        <v>107</v>
      </c>
      <c r="D1201" t="s">
        <v>107</v>
      </c>
      <c r="E1201" t="s">
        <v>107</v>
      </c>
      <c r="F1201" t="s">
        <v>1</v>
      </c>
      <c r="G1201" t="s">
        <v>109</v>
      </c>
      <c r="H1201" s="62">
        <v>2044</v>
      </c>
      <c r="I1201">
        <v>84.240899999999996</v>
      </c>
    </row>
    <row r="1202" spans="1:9">
      <c r="A1202" t="s">
        <v>104</v>
      </c>
      <c r="B1202" t="s">
        <v>105</v>
      </c>
      <c r="C1202" t="s">
        <v>107</v>
      </c>
      <c r="D1202" t="s">
        <v>108</v>
      </c>
      <c r="E1202" t="s">
        <v>108</v>
      </c>
      <c r="F1202" t="s">
        <v>1</v>
      </c>
      <c r="G1202" t="s">
        <v>109</v>
      </c>
      <c r="H1202" s="62">
        <v>2044</v>
      </c>
      <c r="I1202">
        <v>0.19489999999999999</v>
      </c>
    </row>
    <row r="1203" spans="1:9">
      <c r="A1203" t="s">
        <v>104</v>
      </c>
      <c r="B1203" t="s">
        <v>105</v>
      </c>
      <c r="C1203" t="s">
        <v>80</v>
      </c>
      <c r="D1203" t="s">
        <v>80</v>
      </c>
      <c r="E1203" t="s">
        <v>80</v>
      </c>
      <c r="F1203" t="s">
        <v>1</v>
      </c>
      <c r="G1203" t="s">
        <v>109</v>
      </c>
      <c r="H1203" s="62">
        <v>2044</v>
      </c>
      <c r="I1203">
        <v>84.045900000000003</v>
      </c>
    </row>
    <row r="1204" spans="1:9">
      <c r="A1204" t="s">
        <v>104</v>
      </c>
      <c r="B1204" t="s">
        <v>105</v>
      </c>
      <c r="C1204" t="s">
        <v>80</v>
      </c>
      <c r="D1204" t="s">
        <v>89</v>
      </c>
      <c r="E1204" t="s">
        <v>90</v>
      </c>
      <c r="F1204" t="s">
        <v>1</v>
      </c>
      <c r="G1204" t="s">
        <v>109</v>
      </c>
      <c r="H1204" s="62">
        <v>2044</v>
      </c>
      <c r="I1204">
        <v>-2.2389000000000001</v>
      </c>
    </row>
    <row r="1205" spans="1:9">
      <c r="A1205" t="s">
        <v>104</v>
      </c>
      <c r="B1205" t="s">
        <v>105</v>
      </c>
      <c r="C1205" t="s">
        <v>80</v>
      </c>
      <c r="D1205" t="s">
        <v>89</v>
      </c>
      <c r="E1205" t="s">
        <v>91</v>
      </c>
      <c r="F1205" t="s">
        <v>1</v>
      </c>
      <c r="G1205" t="s">
        <v>109</v>
      </c>
      <c r="H1205" s="62">
        <v>2044</v>
      </c>
      <c r="I1205">
        <v>0.3201</v>
      </c>
    </row>
    <row r="1206" spans="1:9">
      <c r="A1206" t="s">
        <v>104</v>
      </c>
      <c r="B1206" t="s">
        <v>105</v>
      </c>
      <c r="C1206" t="s">
        <v>80</v>
      </c>
      <c r="D1206" t="s">
        <v>92</v>
      </c>
      <c r="E1206" t="s">
        <v>93</v>
      </c>
      <c r="F1206" t="s">
        <v>1</v>
      </c>
      <c r="G1206" t="s">
        <v>109</v>
      </c>
      <c r="H1206" s="62">
        <v>2044</v>
      </c>
      <c r="I1206">
        <v>-6.0159000000000002</v>
      </c>
    </row>
    <row r="1207" spans="1:9">
      <c r="A1207" t="s">
        <v>104</v>
      </c>
      <c r="B1207" t="s">
        <v>105</v>
      </c>
      <c r="C1207" t="s">
        <v>80</v>
      </c>
      <c r="D1207" t="s">
        <v>92</v>
      </c>
      <c r="E1207" t="s">
        <v>94</v>
      </c>
      <c r="F1207" t="s">
        <v>1</v>
      </c>
      <c r="G1207" t="s">
        <v>109</v>
      </c>
      <c r="H1207" s="62">
        <v>2044</v>
      </c>
      <c r="I1207">
        <v>20.8782</v>
      </c>
    </row>
    <row r="1208" spans="1:9">
      <c r="A1208" t="s">
        <v>104</v>
      </c>
      <c r="B1208" t="s">
        <v>105</v>
      </c>
      <c r="C1208" t="s">
        <v>80</v>
      </c>
      <c r="D1208" t="s">
        <v>92</v>
      </c>
      <c r="E1208" t="s">
        <v>110</v>
      </c>
      <c r="F1208" t="s">
        <v>1</v>
      </c>
      <c r="G1208" t="s">
        <v>109</v>
      </c>
      <c r="H1208" s="62">
        <v>2044</v>
      </c>
      <c r="I1208">
        <v>4.5594000000000001</v>
      </c>
    </row>
    <row r="1209" spans="1:9">
      <c r="A1209" t="s">
        <v>104</v>
      </c>
      <c r="B1209" t="s">
        <v>105</v>
      </c>
      <c r="C1209" t="s">
        <v>80</v>
      </c>
      <c r="D1209" t="s">
        <v>92</v>
      </c>
      <c r="E1209" t="s">
        <v>95</v>
      </c>
      <c r="F1209" t="s">
        <v>1</v>
      </c>
      <c r="G1209" t="s">
        <v>109</v>
      </c>
      <c r="H1209" s="62">
        <v>2044</v>
      </c>
      <c r="I1209">
        <v>21.198399999999999</v>
      </c>
    </row>
    <row r="1210" spans="1:9">
      <c r="A1210" t="s">
        <v>104</v>
      </c>
      <c r="B1210" t="s">
        <v>105</v>
      </c>
      <c r="C1210" t="s">
        <v>80</v>
      </c>
      <c r="D1210" t="s">
        <v>96</v>
      </c>
      <c r="E1210" t="s">
        <v>92</v>
      </c>
      <c r="F1210" t="s">
        <v>1</v>
      </c>
      <c r="G1210" t="s">
        <v>109</v>
      </c>
      <c r="H1210" s="62">
        <v>2044</v>
      </c>
      <c r="I1210">
        <v>12.0913</v>
      </c>
    </row>
    <row r="1211" spans="1:9">
      <c r="A1211" t="s">
        <v>104</v>
      </c>
      <c r="B1211" t="s">
        <v>105</v>
      </c>
      <c r="C1211" t="s">
        <v>80</v>
      </c>
      <c r="D1211" t="s">
        <v>96</v>
      </c>
      <c r="E1211" t="s">
        <v>89</v>
      </c>
      <c r="F1211" t="s">
        <v>1</v>
      </c>
      <c r="G1211" t="s">
        <v>109</v>
      </c>
      <c r="H1211" s="62">
        <v>2044</v>
      </c>
      <c r="I1211">
        <v>0.49059999999999998</v>
      </c>
    </row>
    <row r="1212" spans="1:9">
      <c r="A1212" t="s">
        <v>104</v>
      </c>
      <c r="B1212" t="s">
        <v>105</v>
      </c>
      <c r="C1212" t="s">
        <v>80</v>
      </c>
      <c r="D1212" t="s">
        <v>97</v>
      </c>
      <c r="E1212" t="s">
        <v>98</v>
      </c>
      <c r="F1212" t="s">
        <v>1</v>
      </c>
      <c r="G1212" t="s">
        <v>109</v>
      </c>
      <c r="H1212" s="62">
        <v>2044</v>
      </c>
      <c r="I1212">
        <v>10.5517</v>
      </c>
    </row>
    <row r="1213" spans="1:9">
      <c r="A1213" t="s">
        <v>104</v>
      </c>
      <c r="B1213" t="s">
        <v>105</v>
      </c>
      <c r="C1213" t="s">
        <v>80</v>
      </c>
      <c r="D1213" t="s">
        <v>97</v>
      </c>
      <c r="E1213" t="s">
        <v>99</v>
      </c>
      <c r="F1213" t="s">
        <v>1</v>
      </c>
      <c r="G1213" t="s">
        <v>109</v>
      </c>
      <c r="H1213" s="62">
        <v>2044</v>
      </c>
      <c r="I1213">
        <v>0.1173</v>
      </c>
    </row>
    <row r="1214" spans="1:9">
      <c r="A1214" t="s">
        <v>104</v>
      </c>
      <c r="B1214" t="s">
        <v>105</v>
      </c>
      <c r="C1214" t="s">
        <v>80</v>
      </c>
      <c r="D1214" t="s">
        <v>100</v>
      </c>
      <c r="E1214" t="s">
        <v>101</v>
      </c>
      <c r="F1214" t="s">
        <v>1</v>
      </c>
      <c r="G1214" t="s">
        <v>109</v>
      </c>
      <c r="H1214" s="62">
        <v>2044</v>
      </c>
      <c r="I1214">
        <v>14.7203</v>
      </c>
    </row>
    <row r="1215" spans="1:9">
      <c r="A1215" t="s">
        <v>104</v>
      </c>
      <c r="B1215" t="s">
        <v>105</v>
      </c>
      <c r="C1215" t="s">
        <v>80</v>
      </c>
      <c r="D1215" t="s">
        <v>100</v>
      </c>
      <c r="E1215" t="s">
        <v>102</v>
      </c>
      <c r="F1215" t="s">
        <v>1</v>
      </c>
      <c r="G1215" t="s">
        <v>109</v>
      </c>
      <c r="H1215" s="62">
        <v>2044</v>
      </c>
      <c r="I1215">
        <v>4.0029000000000003</v>
      </c>
    </row>
    <row r="1216" spans="1:9">
      <c r="A1216" t="s">
        <v>104</v>
      </c>
      <c r="B1216" t="s">
        <v>105</v>
      </c>
      <c r="C1216" t="s">
        <v>80</v>
      </c>
      <c r="D1216" t="s">
        <v>100</v>
      </c>
      <c r="E1216" t="s">
        <v>111</v>
      </c>
      <c r="F1216" t="s">
        <v>1</v>
      </c>
      <c r="G1216" t="s">
        <v>109</v>
      </c>
      <c r="H1216" s="62">
        <v>2044</v>
      </c>
      <c r="I1216">
        <v>0</v>
      </c>
    </row>
    <row r="1217" spans="1:9">
      <c r="A1217" t="s">
        <v>104</v>
      </c>
      <c r="B1217" t="s">
        <v>105</v>
      </c>
      <c r="C1217" t="s">
        <v>80</v>
      </c>
      <c r="D1217" t="s">
        <v>100</v>
      </c>
      <c r="E1217" t="s">
        <v>112</v>
      </c>
      <c r="F1217" t="s">
        <v>1</v>
      </c>
      <c r="G1217" t="s">
        <v>109</v>
      </c>
      <c r="H1217" s="62">
        <v>2044</v>
      </c>
      <c r="I1217">
        <v>0</v>
      </c>
    </row>
    <row r="1218" spans="1:9">
      <c r="A1218" t="s">
        <v>104</v>
      </c>
      <c r="B1218" t="s">
        <v>105</v>
      </c>
      <c r="C1218" t="s">
        <v>80</v>
      </c>
      <c r="D1218" t="s">
        <v>83</v>
      </c>
      <c r="E1218" t="s">
        <v>84</v>
      </c>
      <c r="F1218" t="s">
        <v>1</v>
      </c>
      <c r="G1218" t="s">
        <v>109</v>
      </c>
      <c r="H1218" s="62">
        <v>2044</v>
      </c>
      <c r="I1218">
        <v>1.8012999999999999</v>
      </c>
    </row>
    <row r="1219" spans="1:9">
      <c r="A1219" t="s">
        <v>104</v>
      </c>
      <c r="B1219" t="s">
        <v>105</v>
      </c>
      <c r="C1219" t="s">
        <v>80</v>
      </c>
      <c r="D1219" t="s">
        <v>83</v>
      </c>
      <c r="E1219" t="s">
        <v>85</v>
      </c>
      <c r="F1219" t="s">
        <v>1</v>
      </c>
      <c r="G1219" t="s">
        <v>109</v>
      </c>
      <c r="H1219" s="62">
        <v>2044</v>
      </c>
      <c r="I1219">
        <v>1.5693999999999999</v>
      </c>
    </row>
    <row r="1220" spans="1:9">
      <c r="A1220" t="s">
        <v>104</v>
      </c>
      <c r="B1220" t="s">
        <v>105</v>
      </c>
      <c r="C1220" t="s">
        <v>80</v>
      </c>
      <c r="D1220" t="s">
        <v>86</v>
      </c>
      <c r="E1220" t="s">
        <v>106</v>
      </c>
      <c r="F1220" t="s">
        <v>1</v>
      </c>
      <c r="G1220" t="s">
        <v>109</v>
      </c>
      <c r="H1220" s="62">
        <v>2044</v>
      </c>
      <c r="I1220">
        <v>1.2203999999999999</v>
      </c>
    </row>
    <row r="1221" spans="1:9">
      <c r="A1221" t="s">
        <v>104</v>
      </c>
      <c r="B1221" t="s">
        <v>105</v>
      </c>
      <c r="C1221" t="s">
        <v>80</v>
      </c>
      <c r="D1221" t="s">
        <v>86</v>
      </c>
      <c r="E1221" t="s">
        <v>87</v>
      </c>
      <c r="F1221" t="s">
        <v>1</v>
      </c>
      <c r="G1221" t="s">
        <v>109</v>
      </c>
      <c r="H1221" s="62">
        <v>2044</v>
      </c>
      <c r="I1221">
        <v>4.4753999999999996</v>
      </c>
    </row>
    <row r="1222" spans="1:9">
      <c r="A1222" t="s">
        <v>104</v>
      </c>
      <c r="B1222" t="s">
        <v>105</v>
      </c>
      <c r="C1222" t="s">
        <v>80</v>
      </c>
      <c r="D1222" t="s">
        <v>103</v>
      </c>
      <c r="E1222" t="s">
        <v>92</v>
      </c>
      <c r="F1222" t="s">
        <v>1</v>
      </c>
      <c r="G1222" t="s">
        <v>109</v>
      </c>
      <c r="H1222" s="62">
        <v>2044</v>
      </c>
      <c r="I1222">
        <v>3.5952000000000002</v>
      </c>
    </row>
    <row r="1223" spans="1:9">
      <c r="A1223" t="s">
        <v>104</v>
      </c>
      <c r="B1223" t="s">
        <v>105</v>
      </c>
      <c r="C1223" t="s">
        <v>80</v>
      </c>
      <c r="D1223" t="s">
        <v>103</v>
      </c>
      <c r="E1223" t="s">
        <v>89</v>
      </c>
      <c r="F1223" t="s">
        <v>1</v>
      </c>
      <c r="G1223" t="s">
        <v>109</v>
      </c>
      <c r="H1223" s="62">
        <v>2044</v>
      </c>
      <c r="I1223">
        <v>20.228899999999999</v>
      </c>
    </row>
    <row r="1224" spans="1:9">
      <c r="A1224" t="s">
        <v>104</v>
      </c>
      <c r="B1224" t="s">
        <v>105</v>
      </c>
      <c r="C1224" t="s">
        <v>107</v>
      </c>
      <c r="D1224" t="s">
        <v>107</v>
      </c>
      <c r="E1224" t="s">
        <v>107</v>
      </c>
      <c r="F1224" t="s">
        <v>1</v>
      </c>
      <c r="G1224" t="s">
        <v>109</v>
      </c>
      <c r="H1224" s="62">
        <v>2045</v>
      </c>
      <c r="I1224">
        <v>85.958799999999997</v>
      </c>
    </row>
    <row r="1225" spans="1:9">
      <c r="A1225" t="s">
        <v>104</v>
      </c>
      <c r="B1225" t="s">
        <v>105</v>
      </c>
      <c r="C1225" t="s">
        <v>107</v>
      </c>
      <c r="D1225" t="s">
        <v>108</v>
      </c>
      <c r="E1225" t="s">
        <v>108</v>
      </c>
      <c r="F1225" t="s">
        <v>1</v>
      </c>
      <c r="G1225" t="s">
        <v>109</v>
      </c>
      <c r="H1225" s="62">
        <v>2045</v>
      </c>
      <c r="I1225">
        <v>0.19739999999999999</v>
      </c>
    </row>
    <row r="1226" spans="1:9">
      <c r="A1226" t="s">
        <v>104</v>
      </c>
      <c r="B1226" t="s">
        <v>105</v>
      </c>
      <c r="C1226" t="s">
        <v>80</v>
      </c>
      <c r="D1226" t="s">
        <v>80</v>
      </c>
      <c r="E1226" t="s">
        <v>80</v>
      </c>
      <c r="F1226" t="s">
        <v>1</v>
      </c>
      <c r="G1226" t="s">
        <v>109</v>
      </c>
      <c r="H1226" s="62">
        <v>2045</v>
      </c>
      <c r="I1226">
        <v>85.761399999999995</v>
      </c>
    </row>
    <row r="1227" spans="1:9">
      <c r="A1227" t="s">
        <v>104</v>
      </c>
      <c r="B1227" t="s">
        <v>105</v>
      </c>
      <c r="C1227" t="s">
        <v>80</v>
      </c>
      <c r="D1227" t="s">
        <v>89</v>
      </c>
      <c r="E1227" t="s">
        <v>90</v>
      </c>
      <c r="F1227" t="s">
        <v>1</v>
      </c>
      <c r="G1227" t="s">
        <v>109</v>
      </c>
      <c r="H1227" s="62">
        <v>2045</v>
      </c>
      <c r="I1227">
        <v>-2.7795999999999998</v>
      </c>
    </row>
    <row r="1228" spans="1:9">
      <c r="A1228" t="s">
        <v>104</v>
      </c>
      <c r="B1228" t="s">
        <v>105</v>
      </c>
      <c r="C1228" t="s">
        <v>80</v>
      </c>
      <c r="D1228" t="s">
        <v>89</v>
      </c>
      <c r="E1228" t="s">
        <v>91</v>
      </c>
      <c r="F1228" t="s">
        <v>1</v>
      </c>
      <c r="G1228" t="s">
        <v>109</v>
      </c>
      <c r="H1228" s="62">
        <v>2045</v>
      </c>
      <c r="I1228">
        <v>0.41160000000000002</v>
      </c>
    </row>
    <row r="1229" spans="1:9">
      <c r="A1229" t="s">
        <v>104</v>
      </c>
      <c r="B1229" t="s">
        <v>105</v>
      </c>
      <c r="C1229" t="s">
        <v>80</v>
      </c>
      <c r="D1229" t="s">
        <v>92</v>
      </c>
      <c r="E1229" t="s">
        <v>93</v>
      </c>
      <c r="F1229" t="s">
        <v>1</v>
      </c>
      <c r="G1229" t="s">
        <v>109</v>
      </c>
      <c r="H1229" s="62">
        <v>2045</v>
      </c>
      <c r="I1229">
        <v>-6.3452000000000002</v>
      </c>
    </row>
    <row r="1230" spans="1:9">
      <c r="A1230" t="s">
        <v>104</v>
      </c>
      <c r="B1230" t="s">
        <v>105</v>
      </c>
      <c r="C1230" t="s">
        <v>80</v>
      </c>
      <c r="D1230" t="s">
        <v>92</v>
      </c>
      <c r="E1230" t="s">
        <v>94</v>
      </c>
      <c r="F1230" t="s">
        <v>1</v>
      </c>
      <c r="G1230" t="s">
        <v>109</v>
      </c>
      <c r="H1230" s="62">
        <v>2045</v>
      </c>
      <c r="I1230">
        <v>21.017900000000001</v>
      </c>
    </row>
    <row r="1231" spans="1:9">
      <c r="A1231" t="s">
        <v>104</v>
      </c>
      <c r="B1231" t="s">
        <v>105</v>
      </c>
      <c r="C1231" t="s">
        <v>80</v>
      </c>
      <c r="D1231" t="s">
        <v>92</v>
      </c>
      <c r="E1231" t="s">
        <v>110</v>
      </c>
      <c r="F1231" t="s">
        <v>1</v>
      </c>
      <c r="G1231" t="s">
        <v>109</v>
      </c>
      <c r="H1231" s="62">
        <v>2045</v>
      </c>
      <c r="I1231">
        <v>4.3211000000000004</v>
      </c>
    </row>
    <row r="1232" spans="1:9">
      <c r="A1232" t="s">
        <v>104</v>
      </c>
      <c r="B1232" t="s">
        <v>105</v>
      </c>
      <c r="C1232" t="s">
        <v>80</v>
      </c>
      <c r="D1232" t="s">
        <v>92</v>
      </c>
      <c r="E1232" t="s">
        <v>95</v>
      </c>
      <c r="F1232" t="s">
        <v>1</v>
      </c>
      <c r="G1232" t="s">
        <v>109</v>
      </c>
      <c r="H1232" s="62">
        <v>2045</v>
      </c>
      <c r="I1232">
        <v>21.837</v>
      </c>
    </row>
    <row r="1233" spans="1:9">
      <c r="A1233" t="s">
        <v>104</v>
      </c>
      <c r="B1233" t="s">
        <v>105</v>
      </c>
      <c r="C1233" t="s">
        <v>80</v>
      </c>
      <c r="D1233" t="s">
        <v>96</v>
      </c>
      <c r="E1233" t="s">
        <v>92</v>
      </c>
      <c r="F1233" t="s">
        <v>1</v>
      </c>
      <c r="G1233" t="s">
        <v>109</v>
      </c>
      <c r="H1233" s="62">
        <v>2045</v>
      </c>
      <c r="I1233">
        <v>12.2639</v>
      </c>
    </row>
    <row r="1234" spans="1:9">
      <c r="A1234" t="s">
        <v>104</v>
      </c>
      <c r="B1234" t="s">
        <v>105</v>
      </c>
      <c r="C1234" t="s">
        <v>80</v>
      </c>
      <c r="D1234" t="s">
        <v>96</v>
      </c>
      <c r="E1234" t="s">
        <v>89</v>
      </c>
      <c r="F1234" t="s">
        <v>1</v>
      </c>
      <c r="G1234" t="s">
        <v>109</v>
      </c>
      <c r="H1234" s="62">
        <v>2045</v>
      </c>
      <c r="I1234">
        <v>0.52280000000000004</v>
      </c>
    </row>
    <row r="1235" spans="1:9">
      <c r="A1235" t="s">
        <v>104</v>
      </c>
      <c r="B1235" t="s">
        <v>105</v>
      </c>
      <c r="C1235" t="s">
        <v>80</v>
      </c>
      <c r="D1235" t="s">
        <v>97</v>
      </c>
      <c r="E1235" t="s">
        <v>98</v>
      </c>
      <c r="F1235" t="s">
        <v>1</v>
      </c>
      <c r="G1235" t="s">
        <v>109</v>
      </c>
      <c r="H1235" s="62">
        <v>2045</v>
      </c>
      <c r="I1235">
        <v>11.3522</v>
      </c>
    </row>
    <row r="1236" spans="1:9">
      <c r="A1236" t="s">
        <v>104</v>
      </c>
      <c r="B1236" t="s">
        <v>105</v>
      </c>
      <c r="C1236" t="s">
        <v>80</v>
      </c>
      <c r="D1236" t="s">
        <v>97</v>
      </c>
      <c r="E1236" t="s">
        <v>99</v>
      </c>
      <c r="F1236" t="s">
        <v>1</v>
      </c>
      <c r="G1236" t="s">
        <v>109</v>
      </c>
      <c r="H1236" s="62">
        <v>2045</v>
      </c>
      <c r="I1236">
        <v>0.1338</v>
      </c>
    </row>
    <row r="1237" spans="1:9">
      <c r="A1237" t="s">
        <v>104</v>
      </c>
      <c r="B1237" t="s">
        <v>105</v>
      </c>
      <c r="C1237" t="s">
        <v>80</v>
      </c>
      <c r="D1237" t="s">
        <v>100</v>
      </c>
      <c r="E1237" t="s">
        <v>101</v>
      </c>
      <c r="F1237" t="s">
        <v>1</v>
      </c>
      <c r="G1237" t="s">
        <v>109</v>
      </c>
      <c r="H1237" s="62">
        <v>2045</v>
      </c>
      <c r="I1237">
        <v>15.2507</v>
      </c>
    </row>
    <row r="1238" spans="1:9">
      <c r="A1238" t="s">
        <v>104</v>
      </c>
      <c r="B1238" t="s">
        <v>105</v>
      </c>
      <c r="C1238" t="s">
        <v>80</v>
      </c>
      <c r="D1238" t="s">
        <v>100</v>
      </c>
      <c r="E1238" t="s">
        <v>102</v>
      </c>
      <c r="F1238" t="s">
        <v>1</v>
      </c>
      <c r="G1238" t="s">
        <v>109</v>
      </c>
      <c r="H1238" s="62">
        <v>2045</v>
      </c>
      <c r="I1238">
        <v>4.3543000000000003</v>
      </c>
    </row>
    <row r="1239" spans="1:9">
      <c r="A1239" t="s">
        <v>104</v>
      </c>
      <c r="B1239" t="s">
        <v>105</v>
      </c>
      <c r="C1239" t="s">
        <v>80</v>
      </c>
      <c r="D1239" t="s">
        <v>100</v>
      </c>
      <c r="E1239" t="s">
        <v>111</v>
      </c>
      <c r="F1239" t="s">
        <v>1</v>
      </c>
      <c r="G1239" t="s">
        <v>109</v>
      </c>
      <c r="H1239" s="62">
        <v>2045</v>
      </c>
      <c r="I1239">
        <v>0</v>
      </c>
    </row>
    <row r="1240" spans="1:9">
      <c r="A1240" t="s">
        <v>104</v>
      </c>
      <c r="B1240" t="s">
        <v>105</v>
      </c>
      <c r="C1240" t="s">
        <v>80</v>
      </c>
      <c r="D1240" t="s">
        <v>100</v>
      </c>
      <c r="E1240" t="s">
        <v>112</v>
      </c>
      <c r="F1240" t="s">
        <v>1</v>
      </c>
      <c r="G1240" t="s">
        <v>109</v>
      </c>
      <c r="H1240" s="62">
        <v>2045</v>
      </c>
      <c r="I1240">
        <v>0</v>
      </c>
    </row>
    <row r="1241" spans="1:9">
      <c r="A1241" t="s">
        <v>104</v>
      </c>
      <c r="B1241" t="s">
        <v>105</v>
      </c>
      <c r="C1241" t="s">
        <v>80</v>
      </c>
      <c r="D1241" t="s">
        <v>83</v>
      </c>
      <c r="E1241" t="s">
        <v>84</v>
      </c>
      <c r="F1241" t="s">
        <v>1</v>
      </c>
      <c r="G1241" t="s">
        <v>109</v>
      </c>
      <c r="H1241" s="62">
        <v>2045</v>
      </c>
      <c r="I1241">
        <v>1.8280000000000001</v>
      </c>
    </row>
    <row r="1242" spans="1:9">
      <c r="A1242" t="s">
        <v>104</v>
      </c>
      <c r="B1242" t="s">
        <v>105</v>
      </c>
      <c r="C1242" t="s">
        <v>80</v>
      </c>
      <c r="D1242" t="s">
        <v>83</v>
      </c>
      <c r="E1242" t="s">
        <v>85</v>
      </c>
      <c r="F1242" t="s">
        <v>1</v>
      </c>
      <c r="G1242" t="s">
        <v>109</v>
      </c>
      <c r="H1242" s="62">
        <v>2045</v>
      </c>
      <c r="I1242">
        <v>1.5931</v>
      </c>
    </row>
    <row r="1243" spans="1:9">
      <c r="A1243" t="s">
        <v>104</v>
      </c>
      <c r="B1243" t="s">
        <v>105</v>
      </c>
      <c r="C1243" t="s">
        <v>80</v>
      </c>
      <c r="D1243" t="s">
        <v>86</v>
      </c>
      <c r="E1243" t="s">
        <v>106</v>
      </c>
      <c r="F1243" t="s">
        <v>1</v>
      </c>
      <c r="G1243" t="s">
        <v>109</v>
      </c>
      <c r="H1243" s="62">
        <v>2045</v>
      </c>
      <c r="I1243">
        <v>1.2314000000000001</v>
      </c>
    </row>
    <row r="1244" spans="1:9">
      <c r="A1244" t="s">
        <v>104</v>
      </c>
      <c r="B1244" t="s">
        <v>105</v>
      </c>
      <c r="C1244" t="s">
        <v>80</v>
      </c>
      <c r="D1244" t="s">
        <v>86</v>
      </c>
      <c r="E1244" t="s">
        <v>87</v>
      </c>
      <c r="F1244" t="s">
        <v>1</v>
      </c>
      <c r="G1244" t="s">
        <v>109</v>
      </c>
      <c r="H1244" s="62">
        <v>2045</v>
      </c>
      <c r="I1244">
        <v>4.7022000000000004</v>
      </c>
    </row>
    <row r="1245" spans="1:9">
      <c r="A1245" t="s">
        <v>104</v>
      </c>
      <c r="B1245" t="s">
        <v>105</v>
      </c>
      <c r="C1245" t="s">
        <v>80</v>
      </c>
      <c r="D1245" t="s">
        <v>103</v>
      </c>
      <c r="E1245" t="s">
        <v>92</v>
      </c>
      <c r="F1245" t="s">
        <v>1</v>
      </c>
      <c r="G1245" t="s">
        <v>109</v>
      </c>
      <c r="H1245" s="62">
        <v>2045</v>
      </c>
      <c r="I1245">
        <v>3.7025999999999999</v>
      </c>
    </row>
    <row r="1246" spans="1:9">
      <c r="A1246" t="s">
        <v>104</v>
      </c>
      <c r="B1246" t="s">
        <v>105</v>
      </c>
      <c r="C1246" t="s">
        <v>80</v>
      </c>
      <c r="D1246" t="s">
        <v>103</v>
      </c>
      <c r="E1246" t="s">
        <v>89</v>
      </c>
      <c r="F1246" t="s">
        <v>1</v>
      </c>
      <c r="G1246" t="s">
        <v>109</v>
      </c>
      <c r="H1246" s="62">
        <v>2045</v>
      </c>
      <c r="I1246">
        <v>20.951000000000001</v>
      </c>
    </row>
    <row r="1247" spans="1:9">
      <c r="A1247" t="s">
        <v>104</v>
      </c>
      <c r="B1247" t="s">
        <v>105</v>
      </c>
      <c r="C1247" t="s">
        <v>107</v>
      </c>
      <c r="D1247" t="s">
        <v>107</v>
      </c>
      <c r="E1247" t="s">
        <v>107</v>
      </c>
      <c r="F1247" t="s">
        <v>1</v>
      </c>
      <c r="G1247" t="s">
        <v>109</v>
      </c>
      <c r="H1247" s="62">
        <v>2046</v>
      </c>
      <c r="I1247">
        <v>88.4054</v>
      </c>
    </row>
    <row r="1248" spans="1:9">
      <c r="A1248" t="s">
        <v>104</v>
      </c>
      <c r="B1248" t="s">
        <v>105</v>
      </c>
      <c r="C1248" t="s">
        <v>107</v>
      </c>
      <c r="D1248" t="s">
        <v>108</v>
      </c>
      <c r="E1248" t="s">
        <v>108</v>
      </c>
      <c r="F1248" t="s">
        <v>1</v>
      </c>
      <c r="G1248" t="s">
        <v>109</v>
      </c>
      <c r="H1248" s="62">
        <v>2046</v>
      </c>
      <c r="I1248">
        <v>0.19900000000000001</v>
      </c>
    </row>
    <row r="1249" spans="1:9">
      <c r="A1249" t="s">
        <v>104</v>
      </c>
      <c r="B1249" t="s">
        <v>105</v>
      </c>
      <c r="C1249" t="s">
        <v>80</v>
      </c>
      <c r="D1249" t="s">
        <v>80</v>
      </c>
      <c r="E1249" t="s">
        <v>80</v>
      </c>
      <c r="F1249" t="s">
        <v>1</v>
      </c>
      <c r="G1249" t="s">
        <v>109</v>
      </c>
      <c r="H1249" s="62">
        <v>2046</v>
      </c>
      <c r="I1249">
        <v>88.206400000000002</v>
      </c>
    </row>
    <row r="1250" spans="1:9">
      <c r="A1250" t="s">
        <v>104</v>
      </c>
      <c r="B1250" t="s">
        <v>105</v>
      </c>
      <c r="C1250" t="s">
        <v>80</v>
      </c>
      <c r="D1250" t="s">
        <v>89</v>
      </c>
      <c r="E1250" t="s">
        <v>90</v>
      </c>
      <c r="F1250" t="s">
        <v>1</v>
      </c>
      <c r="G1250" t="s">
        <v>109</v>
      </c>
      <c r="H1250" s="62">
        <v>2046</v>
      </c>
      <c r="I1250">
        <v>-3.4685999999999999</v>
      </c>
    </row>
    <row r="1251" spans="1:9">
      <c r="A1251" t="s">
        <v>104</v>
      </c>
      <c r="B1251" t="s">
        <v>105</v>
      </c>
      <c r="C1251" t="s">
        <v>80</v>
      </c>
      <c r="D1251" t="s">
        <v>89</v>
      </c>
      <c r="E1251" t="s">
        <v>91</v>
      </c>
      <c r="F1251" t="s">
        <v>1</v>
      </c>
      <c r="G1251" t="s">
        <v>109</v>
      </c>
      <c r="H1251" s="62">
        <v>2046</v>
      </c>
      <c r="I1251">
        <v>0.53439999999999999</v>
      </c>
    </row>
    <row r="1252" spans="1:9">
      <c r="A1252" t="s">
        <v>104</v>
      </c>
      <c r="B1252" t="s">
        <v>105</v>
      </c>
      <c r="C1252" t="s">
        <v>80</v>
      </c>
      <c r="D1252" t="s">
        <v>92</v>
      </c>
      <c r="E1252" t="s">
        <v>93</v>
      </c>
      <c r="F1252" t="s">
        <v>1</v>
      </c>
      <c r="G1252" t="s">
        <v>109</v>
      </c>
      <c r="H1252" s="62">
        <v>2046</v>
      </c>
      <c r="I1252">
        <v>-6.7055999999999996</v>
      </c>
    </row>
    <row r="1253" spans="1:9">
      <c r="A1253" t="s">
        <v>104</v>
      </c>
      <c r="B1253" t="s">
        <v>105</v>
      </c>
      <c r="C1253" t="s">
        <v>80</v>
      </c>
      <c r="D1253" t="s">
        <v>92</v>
      </c>
      <c r="E1253" t="s">
        <v>94</v>
      </c>
      <c r="F1253" t="s">
        <v>1</v>
      </c>
      <c r="G1253" t="s">
        <v>109</v>
      </c>
      <c r="H1253" s="62">
        <v>2046</v>
      </c>
      <c r="I1253">
        <v>21.0107</v>
      </c>
    </row>
    <row r="1254" spans="1:9">
      <c r="A1254" t="s">
        <v>104</v>
      </c>
      <c r="B1254" t="s">
        <v>105</v>
      </c>
      <c r="C1254" t="s">
        <v>80</v>
      </c>
      <c r="D1254" t="s">
        <v>92</v>
      </c>
      <c r="E1254" t="s">
        <v>110</v>
      </c>
      <c r="F1254" t="s">
        <v>1</v>
      </c>
      <c r="G1254" t="s">
        <v>109</v>
      </c>
      <c r="H1254" s="62">
        <v>2046</v>
      </c>
      <c r="I1254">
        <v>4.0827999999999998</v>
      </c>
    </row>
    <row r="1255" spans="1:9">
      <c r="A1255" t="s">
        <v>104</v>
      </c>
      <c r="B1255" t="s">
        <v>105</v>
      </c>
      <c r="C1255" t="s">
        <v>80</v>
      </c>
      <c r="D1255" t="s">
        <v>92</v>
      </c>
      <c r="E1255" t="s">
        <v>95</v>
      </c>
      <c r="F1255" t="s">
        <v>1</v>
      </c>
      <c r="G1255" t="s">
        <v>109</v>
      </c>
      <c r="H1255" s="62">
        <v>2046</v>
      </c>
      <c r="I1255">
        <v>22.509799999999998</v>
      </c>
    </row>
    <row r="1256" spans="1:9">
      <c r="A1256" t="s">
        <v>104</v>
      </c>
      <c r="B1256" t="s">
        <v>105</v>
      </c>
      <c r="C1256" t="s">
        <v>80</v>
      </c>
      <c r="D1256" t="s">
        <v>96</v>
      </c>
      <c r="E1256" t="s">
        <v>92</v>
      </c>
      <c r="F1256" t="s">
        <v>1</v>
      </c>
      <c r="G1256" t="s">
        <v>109</v>
      </c>
      <c r="H1256" s="62">
        <v>2046</v>
      </c>
      <c r="I1256">
        <v>12.381</v>
      </c>
    </row>
    <row r="1257" spans="1:9">
      <c r="A1257" t="s">
        <v>104</v>
      </c>
      <c r="B1257" t="s">
        <v>105</v>
      </c>
      <c r="C1257" t="s">
        <v>80</v>
      </c>
      <c r="D1257" t="s">
        <v>96</v>
      </c>
      <c r="E1257" t="s">
        <v>89</v>
      </c>
      <c r="F1257" t="s">
        <v>1</v>
      </c>
      <c r="G1257" t="s">
        <v>109</v>
      </c>
      <c r="H1257" s="62">
        <v>2046</v>
      </c>
      <c r="I1257">
        <v>0.5544</v>
      </c>
    </row>
    <row r="1258" spans="1:9">
      <c r="A1258" t="s">
        <v>104</v>
      </c>
      <c r="B1258" t="s">
        <v>105</v>
      </c>
      <c r="C1258" t="s">
        <v>80</v>
      </c>
      <c r="D1258" t="s">
        <v>97</v>
      </c>
      <c r="E1258" t="s">
        <v>98</v>
      </c>
      <c r="F1258" t="s">
        <v>1</v>
      </c>
      <c r="G1258" t="s">
        <v>109</v>
      </c>
      <c r="H1258" s="62">
        <v>2046</v>
      </c>
      <c r="I1258">
        <v>12.1854</v>
      </c>
    </row>
    <row r="1259" spans="1:9">
      <c r="A1259" t="s">
        <v>104</v>
      </c>
      <c r="B1259" t="s">
        <v>105</v>
      </c>
      <c r="C1259" t="s">
        <v>80</v>
      </c>
      <c r="D1259" t="s">
        <v>97</v>
      </c>
      <c r="E1259" t="s">
        <v>99</v>
      </c>
      <c r="F1259" t="s">
        <v>1</v>
      </c>
      <c r="G1259" t="s">
        <v>109</v>
      </c>
      <c r="H1259" s="62">
        <v>2046</v>
      </c>
      <c r="I1259">
        <v>0.15179999999999999</v>
      </c>
    </row>
    <row r="1260" spans="1:9">
      <c r="A1260" t="s">
        <v>104</v>
      </c>
      <c r="B1260" t="s">
        <v>105</v>
      </c>
      <c r="C1260" t="s">
        <v>80</v>
      </c>
      <c r="D1260" t="s">
        <v>100</v>
      </c>
      <c r="E1260" t="s">
        <v>101</v>
      </c>
      <c r="F1260" t="s">
        <v>1</v>
      </c>
      <c r="G1260" t="s">
        <v>109</v>
      </c>
      <c r="H1260" s="62">
        <v>2046</v>
      </c>
      <c r="I1260">
        <v>16.053899999999999</v>
      </c>
    </row>
    <row r="1261" spans="1:9">
      <c r="A1261" t="s">
        <v>104</v>
      </c>
      <c r="B1261" t="s">
        <v>105</v>
      </c>
      <c r="C1261" t="s">
        <v>80</v>
      </c>
      <c r="D1261" t="s">
        <v>100</v>
      </c>
      <c r="E1261" t="s">
        <v>102</v>
      </c>
      <c r="F1261" t="s">
        <v>1</v>
      </c>
      <c r="G1261" t="s">
        <v>109</v>
      </c>
      <c r="H1261" s="62">
        <v>2046</v>
      </c>
      <c r="I1261">
        <v>5.4650999999999996</v>
      </c>
    </row>
    <row r="1262" spans="1:9">
      <c r="A1262" t="s">
        <v>104</v>
      </c>
      <c r="B1262" t="s">
        <v>105</v>
      </c>
      <c r="C1262" t="s">
        <v>80</v>
      </c>
      <c r="D1262" t="s">
        <v>100</v>
      </c>
      <c r="E1262" t="s">
        <v>111</v>
      </c>
      <c r="F1262" t="s">
        <v>1</v>
      </c>
      <c r="G1262" t="s">
        <v>109</v>
      </c>
      <c r="H1262" s="62">
        <v>2046</v>
      </c>
      <c r="I1262">
        <v>0</v>
      </c>
    </row>
    <row r="1263" spans="1:9">
      <c r="A1263" t="s">
        <v>104</v>
      </c>
      <c r="B1263" t="s">
        <v>105</v>
      </c>
      <c r="C1263" t="s">
        <v>80</v>
      </c>
      <c r="D1263" t="s">
        <v>100</v>
      </c>
      <c r="E1263" t="s">
        <v>112</v>
      </c>
      <c r="F1263" t="s">
        <v>1</v>
      </c>
      <c r="G1263" t="s">
        <v>109</v>
      </c>
      <c r="H1263" s="62">
        <v>2046</v>
      </c>
      <c r="I1263">
        <v>0</v>
      </c>
    </row>
    <row r="1264" spans="1:9">
      <c r="A1264" t="s">
        <v>104</v>
      </c>
      <c r="B1264" t="s">
        <v>105</v>
      </c>
      <c r="C1264" t="s">
        <v>80</v>
      </c>
      <c r="D1264" t="s">
        <v>83</v>
      </c>
      <c r="E1264" t="s">
        <v>84</v>
      </c>
      <c r="F1264" t="s">
        <v>1</v>
      </c>
      <c r="G1264" t="s">
        <v>109</v>
      </c>
      <c r="H1264" s="62">
        <v>2046</v>
      </c>
      <c r="I1264">
        <v>1.841</v>
      </c>
    </row>
    <row r="1265" spans="1:9">
      <c r="A1265" t="s">
        <v>104</v>
      </c>
      <c r="B1265" t="s">
        <v>105</v>
      </c>
      <c r="C1265" t="s">
        <v>80</v>
      </c>
      <c r="D1265" t="s">
        <v>83</v>
      </c>
      <c r="E1265" t="s">
        <v>85</v>
      </c>
      <c r="F1265" t="s">
        <v>1</v>
      </c>
      <c r="G1265" t="s">
        <v>109</v>
      </c>
      <c r="H1265" s="62">
        <v>2046</v>
      </c>
      <c r="I1265">
        <v>1.6102000000000001</v>
      </c>
    </row>
    <row r="1266" spans="1:9">
      <c r="A1266" t="s">
        <v>104</v>
      </c>
      <c r="B1266" t="s">
        <v>105</v>
      </c>
      <c r="C1266" t="s">
        <v>80</v>
      </c>
      <c r="D1266" t="s">
        <v>86</v>
      </c>
      <c r="E1266" t="s">
        <v>106</v>
      </c>
      <c r="F1266" t="s">
        <v>1</v>
      </c>
      <c r="G1266" t="s">
        <v>109</v>
      </c>
      <c r="H1266" s="62">
        <v>2046</v>
      </c>
      <c r="I1266">
        <v>1.2457</v>
      </c>
    </row>
    <row r="1267" spans="1:9">
      <c r="A1267" t="s">
        <v>104</v>
      </c>
      <c r="B1267" t="s">
        <v>105</v>
      </c>
      <c r="C1267" t="s">
        <v>80</v>
      </c>
      <c r="D1267" t="s">
        <v>86</v>
      </c>
      <c r="E1267" t="s">
        <v>87</v>
      </c>
      <c r="F1267" t="s">
        <v>1</v>
      </c>
      <c r="G1267" t="s">
        <v>109</v>
      </c>
      <c r="H1267" s="62">
        <v>2046</v>
      </c>
      <c r="I1267">
        <v>4.9253999999999998</v>
      </c>
    </row>
    <row r="1268" spans="1:9">
      <c r="A1268" t="s">
        <v>104</v>
      </c>
      <c r="B1268" t="s">
        <v>105</v>
      </c>
      <c r="C1268" t="s">
        <v>80</v>
      </c>
      <c r="D1268" t="s">
        <v>103</v>
      </c>
      <c r="E1268" t="s">
        <v>92</v>
      </c>
      <c r="F1268" t="s">
        <v>1</v>
      </c>
      <c r="G1268" t="s">
        <v>109</v>
      </c>
      <c r="H1268" s="62">
        <v>2046</v>
      </c>
      <c r="I1268">
        <v>3.8292999999999999</v>
      </c>
    </row>
    <row r="1269" spans="1:9">
      <c r="A1269" t="s">
        <v>104</v>
      </c>
      <c r="B1269" t="s">
        <v>105</v>
      </c>
      <c r="C1269" t="s">
        <v>80</v>
      </c>
      <c r="D1269" t="s">
        <v>103</v>
      </c>
      <c r="E1269" t="s">
        <v>89</v>
      </c>
      <c r="F1269" t="s">
        <v>1</v>
      </c>
      <c r="G1269" t="s">
        <v>109</v>
      </c>
      <c r="H1269" s="62">
        <v>2046</v>
      </c>
      <c r="I1269">
        <v>21.702100000000002</v>
      </c>
    </row>
    <row r="1270" spans="1:9">
      <c r="A1270" t="s">
        <v>104</v>
      </c>
      <c r="B1270" t="s">
        <v>105</v>
      </c>
      <c r="C1270" t="s">
        <v>107</v>
      </c>
      <c r="D1270" t="s">
        <v>107</v>
      </c>
      <c r="E1270" t="s">
        <v>107</v>
      </c>
      <c r="F1270" t="s">
        <v>1</v>
      </c>
      <c r="G1270" t="s">
        <v>109</v>
      </c>
      <c r="H1270" s="62">
        <v>2047</v>
      </c>
      <c r="I1270">
        <v>89.565700000000007</v>
      </c>
    </row>
    <row r="1271" spans="1:9">
      <c r="A1271" t="s">
        <v>104</v>
      </c>
      <c r="B1271" t="s">
        <v>105</v>
      </c>
      <c r="C1271" t="s">
        <v>107</v>
      </c>
      <c r="D1271" t="s">
        <v>108</v>
      </c>
      <c r="E1271" t="s">
        <v>108</v>
      </c>
      <c r="F1271" t="s">
        <v>1</v>
      </c>
      <c r="G1271" t="s">
        <v>109</v>
      </c>
      <c r="H1271" s="62">
        <v>2047</v>
      </c>
      <c r="I1271">
        <v>0.20119999999999999</v>
      </c>
    </row>
    <row r="1272" spans="1:9">
      <c r="A1272" t="s">
        <v>104</v>
      </c>
      <c r="B1272" t="s">
        <v>105</v>
      </c>
      <c r="C1272" t="s">
        <v>80</v>
      </c>
      <c r="D1272" t="s">
        <v>80</v>
      </c>
      <c r="E1272" t="s">
        <v>80</v>
      </c>
      <c r="F1272" t="s">
        <v>1</v>
      </c>
      <c r="G1272" t="s">
        <v>109</v>
      </c>
      <c r="H1272" s="62">
        <v>2047</v>
      </c>
      <c r="I1272">
        <v>89.364500000000007</v>
      </c>
    </row>
    <row r="1273" spans="1:9">
      <c r="A1273" t="s">
        <v>104</v>
      </c>
      <c r="B1273" t="s">
        <v>105</v>
      </c>
      <c r="C1273" t="s">
        <v>80</v>
      </c>
      <c r="D1273" t="s">
        <v>89</v>
      </c>
      <c r="E1273" t="s">
        <v>90</v>
      </c>
      <c r="F1273" t="s">
        <v>1</v>
      </c>
      <c r="G1273" t="s">
        <v>109</v>
      </c>
      <c r="H1273" s="62">
        <v>2047</v>
      </c>
      <c r="I1273">
        <v>-4.1881000000000004</v>
      </c>
    </row>
    <row r="1274" spans="1:9">
      <c r="A1274" t="s">
        <v>104</v>
      </c>
      <c r="B1274" t="s">
        <v>105</v>
      </c>
      <c r="C1274" t="s">
        <v>80</v>
      </c>
      <c r="D1274" t="s">
        <v>89</v>
      </c>
      <c r="E1274" t="s">
        <v>91</v>
      </c>
      <c r="F1274" t="s">
        <v>1</v>
      </c>
      <c r="G1274" t="s">
        <v>109</v>
      </c>
      <c r="H1274" s="62">
        <v>2047</v>
      </c>
      <c r="I1274">
        <v>0.67420000000000002</v>
      </c>
    </row>
    <row r="1275" spans="1:9">
      <c r="A1275" t="s">
        <v>104</v>
      </c>
      <c r="B1275" t="s">
        <v>105</v>
      </c>
      <c r="C1275" t="s">
        <v>80</v>
      </c>
      <c r="D1275" t="s">
        <v>92</v>
      </c>
      <c r="E1275" t="s">
        <v>93</v>
      </c>
      <c r="F1275" t="s">
        <v>1</v>
      </c>
      <c r="G1275" t="s">
        <v>109</v>
      </c>
      <c r="H1275" s="62">
        <v>2047</v>
      </c>
      <c r="I1275">
        <v>-7.1189</v>
      </c>
    </row>
    <row r="1276" spans="1:9">
      <c r="A1276" t="s">
        <v>104</v>
      </c>
      <c r="B1276" t="s">
        <v>105</v>
      </c>
      <c r="C1276" t="s">
        <v>80</v>
      </c>
      <c r="D1276" t="s">
        <v>92</v>
      </c>
      <c r="E1276" t="s">
        <v>94</v>
      </c>
      <c r="F1276" t="s">
        <v>1</v>
      </c>
      <c r="G1276" t="s">
        <v>109</v>
      </c>
      <c r="H1276" s="62">
        <v>2047</v>
      </c>
      <c r="I1276">
        <v>20.9956</v>
      </c>
    </row>
    <row r="1277" spans="1:9">
      <c r="A1277" t="s">
        <v>104</v>
      </c>
      <c r="B1277" t="s">
        <v>105</v>
      </c>
      <c r="C1277" t="s">
        <v>80</v>
      </c>
      <c r="D1277" t="s">
        <v>92</v>
      </c>
      <c r="E1277" t="s">
        <v>110</v>
      </c>
      <c r="F1277" t="s">
        <v>1</v>
      </c>
      <c r="G1277" t="s">
        <v>109</v>
      </c>
      <c r="H1277" s="62">
        <v>2047</v>
      </c>
      <c r="I1277">
        <v>3.8445999999999998</v>
      </c>
    </row>
    <row r="1278" spans="1:9">
      <c r="A1278" t="s">
        <v>104</v>
      </c>
      <c r="B1278" t="s">
        <v>105</v>
      </c>
      <c r="C1278" t="s">
        <v>80</v>
      </c>
      <c r="D1278" t="s">
        <v>92</v>
      </c>
      <c r="E1278" t="s">
        <v>95</v>
      </c>
      <c r="F1278" t="s">
        <v>1</v>
      </c>
      <c r="G1278" t="s">
        <v>109</v>
      </c>
      <c r="H1278" s="62">
        <v>2047</v>
      </c>
      <c r="I1278">
        <v>23.2227</v>
      </c>
    </row>
    <row r="1279" spans="1:9">
      <c r="A1279" t="s">
        <v>104</v>
      </c>
      <c r="B1279" t="s">
        <v>105</v>
      </c>
      <c r="C1279" t="s">
        <v>80</v>
      </c>
      <c r="D1279" t="s">
        <v>96</v>
      </c>
      <c r="E1279" t="s">
        <v>92</v>
      </c>
      <c r="F1279" t="s">
        <v>1</v>
      </c>
      <c r="G1279" t="s">
        <v>109</v>
      </c>
      <c r="H1279" s="62">
        <v>2047</v>
      </c>
      <c r="I1279">
        <v>12.7196</v>
      </c>
    </row>
    <row r="1280" spans="1:9">
      <c r="A1280" t="s">
        <v>104</v>
      </c>
      <c r="B1280" t="s">
        <v>105</v>
      </c>
      <c r="C1280" t="s">
        <v>80</v>
      </c>
      <c r="D1280" t="s">
        <v>96</v>
      </c>
      <c r="E1280" t="s">
        <v>89</v>
      </c>
      <c r="F1280" t="s">
        <v>1</v>
      </c>
      <c r="G1280" t="s">
        <v>109</v>
      </c>
      <c r="H1280" s="62">
        <v>2047</v>
      </c>
      <c r="I1280">
        <v>0.58889999999999998</v>
      </c>
    </row>
    <row r="1281" spans="1:9">
      <c r="A1281" t="s">
        <v>104</v>
      </c>
      <c r="B1281" t="s">
        <v>105</v>
      </c>
      <c r="C1281" t="s">
        <v>80</v>
      </c>
      <c r="D1281" t="s">
        <v>97</v>
      </c>
      <c r="E1281" t="s">
        <v>98</v>
      </c>
      <c r="F1281" t="s">
        <v>1</v>
      </c>
      <c r="G1281" t="s">
        <v>109</v>
      </c>
      <c r="H1281" s="62">
        <v>2047</v>
      </c>
      <c r="I1281">
        <v>13.014699999999999</v>
      </c>
    </row>
    <row r="1282" spans="1:9">
      <c r="A1282" t="s">
        <v>104</v>
      </c>
      <c r="B1282" t="s">
        <v>105</v>
      </c>
      <c r="C1282" t="s">
        <v>80</v>
      </c>
      <c r="D1282" t="s">
        <v>97</v>
      </c>
      <c r="E1282" t="s">
        <v>99</v>
      </c>
      <c r="F1282" t="s">
        <v>1</v>
      </c>
      <c r="G1282" t="s">
        <v>109</v>
      </c>
      <c r="H1282" s="62">
        <v>2047</v>
      </c>
      <c r="I1282">
        <v>0.1709</v>
      </c>
    </row>
    <row r="1283" spans="1:9">
      <c r="A1283" t="s">
        <v>104</v>
      </c>
      <c r="B1283" t="s">
        <v>105</v>
      </c>
      <c r="C1283" t="s">
        <v>80</v>
      </c>
      <c r="D1283" t="s">
        <v>100</v>
      </c>
      <c r="E1283" t="s">
        <v>101</v>
      </c>
      <c r="F1283" t="s">
        <v>1</v>
      </c>
      <c r="G1283" t="s">
        <v>109</v>
      </c>
      <c r="H1283" s="62">
        <v>2047</v>
      </c>
      <c r="I1283">
        <v>16.689299999999999</v>
      </c>
    </row>
    <row r="1284" spans="1:9">
      <c r="A1284" t="s">
        <v>104</v>
      </c>
      <c r="B1284" t="s">
        <v>105</v>
      </c>
      <c r="C1284" t="s">
        <v>80</v>
      </c>
      <c r="D1284" t="s">
        <v>100</v>
      </c>
      <c r="E1284" t="s">
        <v>102</v>
      </c>
      <c r="F1284" t="s">
        <v>1</v>
      </c>
      <c r="G1284" t="s">
        <v>109</v>
      </c>
      <c r="H1284" s="62">
        <v>2047</v>
      </c>
      <c r="I1284">
        <v>5.2563000000000004</v>
      </c>
    </row>
    <row r="1285" spans="1:9">
      <c r="A1285" t="s">
        <v>104</v>
      </c>
      <c r="B1285" t="s">
        <v>105</v>
      </c>
      <c r="C1285" t="s">
        <v>80</v>
      </c>
      <c r="D1285" t="s">
        <v>100</v>
      </c>
      <c r="E1285" t="s">
        <v>111</v>
      </c>
      <c r="F1285" t="s">
        <v>1</v>
      </c>
      <c r="G1285" t="s">
        <v>109</v>
      </c>
      <c r="H1285" s="62">
        <v>2047</v>
      </c>
      <c r="I1285">
        <v>0</v>
      </c>
    </row>
    <row r="1286" spans="1:9">
      <c r="A1286" t="s">
        <v>104</v>
      </c>
      <c r="B1286" t="s">
        <v>105</v>
      </c>
      <c r="C1286" t="s">
        <v>80</v>
      </c>
      <c r="D1286" t="s">
        <v>100</v>
      </c>
      <c r="E1286" t="s">
        <v>112</v>
      </c>
      <c r="F1286" t="s">
        <v>1</v>
      </c>
      <c r="G1286" t="s">
        <v>109</v>
      </c>
      <c r="H1286" s="62">
        <v>2047</v>
      </c>
      <c r="I1286">
        <v>0</v>
      </c>
    </row>
    <row r="1287" spans="1:9">
      <c r="A1287" t="s">
        <v>104</v>
      </c>
      <c r="B1287" t="s">
        <v>105</v>
      </c>
      <c r="C1287" t="s">
        <v>80</v>
      </c>
      <c r="D1287" t="s">
        <v>83</v>
      </c>
      <c r="E1287" t="s">
        <v>84</v>
      </c>
      <c r="F1287" t="s">
        <v>1</v>
      </c>
      <c r="G1287" t="s">
        <v>109</v>
      </c>
      <c r="H1287" s="62">
        <v>2047</v>
      </c>
      <c r="I1287">
        <v>1.8620000000000001</v>
      </c>
    </row>
    <row r="1288" spans="1:9">
      <c r="A1288" t="s">
        <v>104</v>
      </c>
      <c r="B1288" t="s">
        <v>105</v>
      </c>
      <c r="C1288" t="s">
        <v>80</v>
      </c>
      <c r="D1288" t="s">
        <v>83</v>
      </c>
      <c r="E1288" t="s">
        <v>85</v>
      </c>
      <c r="F1288" t="s">
        <v>1</v>
      </c>
      <c r="G1288" t="s">
        <v>109</v>
      </c>
      <c r="H1288" s="62">
        <v>2047</v>
      </c>
      <c r="I1288">
        <v>1.6326000000000001</v>
      </c>
    </row>
    <row r="1289" spans="1:9">
      <c r="A1289" t="s">
        <v>104</v>
      </c>
      <c r="B1289" t="s">
        <v>105</v>
      </c>
      <c r="C1289" t="s">
        <v>80</v>
      </c>
      <c r="D1289" t="s">
        <v>86</v>
      </c>
      <c r="E1289" t="s">
        <v>106</v>
      </c>
      <c r="F1289" t="s">
        <v>1</v>
      </c>
      <c r="G1289" t="s">
        <v>109</v>
      </c>
      <c r="H1289" s="62">
        <v>2047</v>
      </c>
      <c r="I1289">
        <v>1.2601</v>
      </c>
    </row>
    <row r="1290" spans="1:9">
      <c r="A1290" t="s">
        <v>104</v>
      </c>
      <c r="B1290" t="s">
        <v>105</v>
      </c>
      <c r="C1290" t="s">
        <v>80</v>
      </c>
      <c r="D1290" t="s">
        <v>86</v>
      </c>
      <c r="E1290" t="s">
        <v>87</v>
      </c>
      <c r="F1290" t="s">
        <v>1</v>
      </c>
      <c r="G1290" t="s">
        <v>109</v>
      </c>
      <c r="H1290" s="62">
        <v>2047</v>
      </c>
      <c r="I1290">
        <v>5.1845999999999997</v>
      </c>
    </row>
    <row r="1291" spans="1:9">
      <c r="A1291" t="s">
        <v>104</v>
      </c>
      <c r="B1291" t="s">
        <v>105</v>
      </c>
      <c r="C1291" t="s">
        <v>80</v>
      </c>
      <c r="D1291" t="s">
        <v>103</v>
      </c>
      <c r="E1291" t="s">
        <v>92</v>
      </c>
      <c r="F1291" t="s">
        <v>1</v>
      </c>
      <c r="G1291" t="s">
        <v>109</v>
      </c>
      <c r="H1291" s="62">
        <v>2047</v>
      </c>
      <c r="I1291">
        <v>3.9739</v>
      </c>
    </row>
    <row r="1292" spans="1:9">
      <c r="A1292" t="s">
        <v>104</v>
      </c>
      <c r="B1292" t="s">
        <v>105</v>
      </c>
      <c r="C1292" t="s">
        <v>80</v>
      </c>
      <c r="D1292" t="s">
        <v>103</v>
      </c>
      <c r="E1292" t="s">
        <v>89</v>
      </c>
      <c r="F1292" t="s">
        <v>1</v>
      </c>
      <c r="G1292" t="s">
        <v>109</v>
      </c>
      <c r="H1292" s="62">
        <v>2047</v>
      </c>
      <c r="I1292">
        <v>22.4909</v>
      </c>
    </row>
    <row r="1293" spans="1:9">
      <c r="A1293" t="s">
        <v>104</v>
      </c>
      <c r="B1293" t="s">
        <v>105</v>
      </c>
      <c r="C1293" t="s">
        <v>107</v>
      </c>
      <c r="D1293" t="s">
        <v>107</v>
      </c>
      <c r="E1293" t="s">
        <v>107</v>
      </c>
      <c r="F1293" t="s">
        <v>1</v>
      </c>
      <c r="G1293" t="s">
        <v>109</v>
      </c>
      <c r="H1293" s="62">
        <v>2048</v>
      </c>
      <c r="I1293">
        <v>89.195400000000006</v>
      </c>
    </row>
    <row r="1294" spans="1:9">
      <c r="A1294" t="s">
        <v>104</v>
      </c>
      <c r="B1294" t="s">
        <v>105</v>
      </c>
      <c r="C1294" t="s">
        <v>107</v>
      </c>
      <c r="D1294" t="s">
        <v>108</v>
      </c>
      <c r="E1294" t="s">
        <v>108</v>
      </c>
      <c r="F1294" t="s">
        <v>1</v>
      </c>
      <c r="G1294" t="s">
        <v>109</v>
      </c>
      <c r="H1294" s="62">
        <v>2048</v>
      </c>
      <c r="I1294">
        <v>0.2024</v>
      </c>
    </row>
    <row r="1295" spans="1:9">
      <c r="A1295" t="s">
        <v>104</v>
      </c>
      <c r="B1295" t="s">
        <v>105</v>
      </c>
      <c r="C1295" t="s">
        <v>80</v>
      </c>
      <c r="D1295" t="s">
        <v>80</v>
      </c>
      <c r="E1295" t="s">
        <v>80</v>
      </c>
      <c r="F1295" t="s">
        <v>1</v>
      </c>
      <c r="G1295" t="s">
        <v>109</v>
      </c>
      <c r="H1295" s="62">
        <v>2048</v>
      </c>
      <c r="I1295">
        <v>88.992900000000006</v>
      </c>
    </row>
    <row r="1296" spans="1:9">
      <c r="A1296" t="s">
        <v>104</v>
      </c>
      <c r="B1296" t="s">
        <v>105</v>
      </c>
      <c r="C1296" t="s">
        <v>80</v>
      </c>
      <c r="D1296" t="s">
        <v>89</v>
      </c>
      <c r="E1296" t="s">
        <v>90</v>
      </c>
      <c r="F1296" t="s">
        <v>1</v>
      </c>
      <c r="G1296" t="s">
        <v>109</v>
      </c>
      <c r="H1296" s="62">
        <v>2048</v>
      </c>
      <c r="I1296">
        <v>-4.9515000000000002</v>
      </c>
    </row>
    <row r="1297" spans="1:9">
      <c r="A1297" t="s">
        <v>104</v>
      </c>
      <c r="B1297" t="s">
        <v>105</v>
      </c>
      <c r="C1297" t="s">
        <v>80</v>
      </c>
      <c r="D1297" t="s">
        <v>89</v>
      </c>
      <c r="E1297" t="s">
        <v>91</v>
      </c>
      <c r="F1297" t="s">
        <v>1</v>
      </c>
      <c r="G1297" t="s">
        <v>109</v>
      </c>
      <c r="H1297" s="62">
        <v>2048</v>
      </c>
      <c r="I1297">
        <v>0.83299999999999996</v>
      </c>
    </row>
    <row r="1298" spans="1:9">
      <c r="A1298" t="s">
        <v>104</v>
      </c>
      <c r="B1298" t="s">
        <v>105</v>
      </c>
      <c r="C1298" t="s">
        <v>80</v>
      </c>
      <c r="D1298" t="s">
        <v>92</v>
      </c>
      <c r="E1298" t="s">
        <v>93</v>
      </c>
      <c r="F1298" t="s">
        <v>1</v>
      </c>
      <c r="G1298" t="s">
        <v>109</v>
      </c>
      <c r="H1298" s="62">
        <v>2048</v>
      </c>
      <c r="I1298">
        <v>-7.5612000000000004</v>
      </c>
    </row>
    <row r="1299" spans="1:9">
      <c r="A1299" t="s">
        <v>104</v>
      </c>
      <c r="B1299" t="s">
        <v>105</v>
      </c>
      <c r="C1299" t="s">
        <v>80</v>
      </c>
      <c r="D1299" t="s">
        <v>92</v>
      </c>
      <c r="E1299" t="s">
        <v>94</v>
      </c>
      <c r="F1299" t="s">
        <v>1</v>
      </c>
      <c r="G1299" t="s">
        <v>109</v>
      </c>
      <c r="H1299" s="62">
        <v>2048</v>
      </c>
      <c r="I1299">
        <v>20.971599999999999</v>
      </c>
    </row>
    <row r="1300" spans="1:9">
      <c r="A1300" t="s">
        <v>104</v>
      </c>
      <c r="B1300" t="s">
        <v>105</v>
      </c>
      <c r="C1300" t="s">
        <v>80</v>
      </c>
      <c r="D1300" t="s">
        <v>92</v>
      </c>
      <c r="E1300" t="s">
        <v>110</v>
      </c>
      <c r="F1300" t="s">
        <v>1</v>
      </c>
      <c r="G1300" t="s">
        <v>109</v>
      </c>
      <c r="H1300" s="62">
        <v>2048</v>
      </c>
      <c r="I1300">
        <v>3.6063000000000001</v>
      </c>
    </row>
    <row r="1301" spans="1:9">
      <c r="A1301" t="s">
        <v>104</v>
      </c>
      <c r="B1301" t="s">
        <v>105</v>
      </c>
      <c r="C1301" t="s">
        <v>80</v>
      </c>
      <c r="D1301" t="s">
        <v>92</v>
      </c>
      <c r="E1301" t="s">
        <v>95</v>
      </c>
      <c r="F1301" t="s">
        <v>1</v>
      </c>
      <c r="G1301" t="s">
        <v>109</v>
      </c>
      <c r="H1301" s="62">
        <v>2048</v>
      </c>
      <c r="I1301">
        <v>23.975899999999999</v>
      </c>
    </row>
    <row r="1302" spans="1:9">
      <c r="A1302" t="s">
        <v>104</v>
      </c>
      <c r="B1302" t="s">
        <v>105</v>
      </c>
      <c r="C1302" t="s">
        <v>80</v>
      </c>
      <c r="D1302" t="s">
        <v>96</v>
      </c>
      <c r="E1302" t="s">
        <v>92</v>
      </c>
      <c r="F1302" t="s">
        <v>1</v>
      </c>
      <c r="G1302" t="s">
        <v>109</v>
      </c>
      <c r="H1302" s="62">
        <v>2048</v>
      </c>
      <c r="I1302">
        <v>12.743399999999999</v>
      </c>
    </row>
    <row r="1303" spans="1:9">
      <c r="A1303" t="s">
        <v>104</v>
      </c>
      <c r="B1303" t="s">
        <v>105</v>
      </c>
      <c r="C1303" t="s">
        <v>80</v>
      </c>
      <c r="D1303" t="s">
        <v>96</v>
      </c>
      <c r="E1303" t="s">
        <v>89</v>
      </c>
      <c r="F1303" t="s">
        <v>1</v>
      </c>
      <c r="G1303" t="s">
        <v>109</v>
      </c>
      <c r="H1303" s="62">
        <v>2048</v>
      </c>
      <c r="I1303">
        <v>0.62070000000000003</v>
      </c>
    </row>
    <row r="1304" spans="1:9">
      <c r="A1304" t="s">
        <v>104</v>
      </c>
      <c r="B1304" t="s">
        <v>105</v>
      </c>
      <c r="C1304" t="s">
        <v>80</v>
      </c>
      <c r="D1304" t="s">
        <v>97</v>
      </c>
      <c r="E1304" t="s">
        <v>98</v>
      </c>
      <c r="F1304" t="s">
        <v>1</v>
      </c>
      <c r="G1304" t="s">
        <v>109</v>
      </c>
      <c r="H1304" s="62">
        <v>2048</v>
      </c>
      <c r="I1304">
        <v>13.8772</v>
      </c>
    </row>
    <row r="1305" spans="1:9">
      <c r="A1305" t="s">
        <v>104</v>
      </c>
      <c r="B1305" t="s">
        <v>105</v>
      </c>
      <c r="C1305" t="s">
        <v>80</v>
      </c>
      <c r="D1305" t="s">
        <v>97</v>
      </c>
      <c r="E1305" t="s">
        <v>99</v>
      </c>
      <c r="F1305" t="s">
        <v>1</v>
      </c>
      <c r="G1305" t="s">
        <v>109</v>
      </c>
      <c r="H1305" s="62">
        <v>2048</v>
      </c>
      <c r="I1305">
        <v>0.19170000000000001</v>
      </c>
    </row>
    <row r="1306" spans="1:9">
      <c r="A1306" t="s">
        <v>104</v>
      </c>
      <c r="B1306" t="s">
        <v>105</v>
      </c>
      <c r="C1306" t="s">
        <v>80</v>
      </c>
      <c r="D1306" t="s">
        <v>100</v>
      </c>
      <c r="E1306" t="s">
        <v>101</v>
      </c>
      <c r="F1306" t="s">
        <v>1</v>
      </c>
      <c r="G1306" t="s">
        <v>109</v>
      </c>
      <c r="H1306" s="62">
        <v>2048</v>
      </c>
      <c r="I1306">
        <v>17.216100000000001</v>
      </c>
    </row>
    <row r="1307" spans="1:9">
      <c r="A1307" t="s">
        <v>104</v>
      </c>
      <c r="B1307" t="s">
        <v>105</v>
      </c>
      <c r="C1307" t="s">
        <v>80</v>
      </c>
      <c r="D1307" t="s">
        <v>100</v>
      </c>
      <c r="E1307" t="s">
        <v>102</v>
      </c>
      <c r="F1307" t="s">
        <v>1</v>
      </c>
      <c r="G1307" t="s">
        <v>109</v>
      </c>
      <c r="H1307" s="62">
        <v>2048</v>
      </c>
      <c r="I1307">
        <v>3.9533999999999998</v>
      </c>
    </row>
    <row r="1308" spans="1:9">
      <c r="A1308" t="s">
        <v>104</v>
      </c>
      <c r="B1308" t="s">
        <v>105</v>
      </c>
      <c r="C1308" t="s">
        <v>80</v>
      </c>
      <c r="D1308" t="s">
        <v>100</v>
      </c>
      <c r="E1308" t="s">
        <v>111</v>
      </c>
      <c r="F1308" t="s">
        <v>1</v>
      </c>
      <c r="G1308" t="s">
        <v>109</v>
      </c>
      <c r="H1308" s="62">
        <v>2048</v>
      </c>
      <c r="I1308">
        <v>0</v>
      </c>
    </row>
    <row r="1309" spans="1:9">
      <c r="A1309" t="s">
        <v>104</v>
      </c>
      <c r="B1309" t="s">
        <v>105</v>
      </c>
      <c r="C1309" t="s">
        <v>80</v>
      </c>
      <c r="D1309" t="s">
        <v>100</v>
      </c>
      <c r="E1309" t="s">
        <v>112</v>
      </c>
      <c r="F1309" t="s">
        <v>1</v>
      </c>
      <c r="G1309" t="s">
        <v>109</v>
      </c>
      <c r="H1309" s="62">
        <v>2048</v>
      </c>
      <c r="I1309">
        <v>0</v>
      </c>
    </row>
    <row r="1310" spans="1:9">
      <c r="A1310" t="s">
        <v>104</v>
      </c>
      <c r="B1310" t="s">
        <v>105</v>
      </c>
      <c r="C1310" t="s">
        <v>80</v>
      </c>
      <c r="D1310" t="s">
        <v>83</v>
      </c>
      <c r="E1310" t="s">
        <v>84</v>
      </c>
      <c r="F1310" t="s">
        <v>1</v>
      </c>
      <c r="G1310" t="s">
        <v>109</v>
      </c>
      <c r="H1310" s="62">
        <v>2048</v>
      </c>
      <c r="I1310">
        <v>1.8685</v>
      </c>
    </row>
    <row r="1311" spans="1:9">
      <c r="A1311" t="s">
        <v>104</v>
      </c>
      <c r="B1311" t="s">
        <v>105</v>
      </c>
      <c r="C1311" t="s">
        <v>80</v>
      </c>
      <c r="D1311" t="s">
        <v>83</v>
      </c>
      <c r="E1311" t="s">
        <v>85</v>
      </c>
      <c r="F1311" t="s">
        <v>1</v>
      </c>
      <c r="G1311" t="s">
        <v>109</v>
      </c>
      <c r="H1311" s="62">
        <v>2048</v>
      </c>
      <c r="I1311">
        <v>1.6479999999999999</v>
      </c>
    </row>
    <row r="1312" spans="1:9">
      <c r="A1312" t="s">
        <v>104</v>
      </c>
      <c r="B1312" t="s">
        <v>105</v>
      </c>
      <c r="C1312" t="s">
        <v>80</v>
      </c>
      <c r="D1312" t="s">
        <v>86</v>
      </c>
      <c r="E1312" t="s">
        <v>106</v>
      </c>
      <c r="F1312" t="s">
        <v>1</v>
      </c>
      <c r="G1312" t="s">
        <v>109</v>
      </c>
      <c r="H1312" s="62">
        <v>2048</v>
      </c>
      <c r="I1312">
        <v>1.2779</v>
      </c>
    </row>
    <row r="1313" spans="1:9">
      <c r="A1313" t="s">
        <v>104</v>
      </c>
      <c r="B1313" t="s">
        <v>105</v>
      </c>
      <c r="C1313" t="s">
        <v>80</v>
      </c>
      <c r="D1313" t="s">
        <v>86</v>
      </c>
      <c r="E1313" t="s">
        <v>87</v>
      </c>
      <c r="F1313" t="s">
        <v>1</v>
      </c>
      <c r="G1313" t="s">
        <v>109</v>
      </c>
      <c r="H1313" s="62">
        <v>2048</v>
      </c>
      <c r="I1313">
        <v>5.4504000000000001</v>
      </c>
    </row>
    <row r="1314" spans="1:9">
      <c r="A1314" t="s">
        <v>104</v>
      </c>
      <c r="B1314" t="s">
        <v>105</v>
      </c>
      <c r="C1314" t="s">
        <v>80</v>
      </c>
      <c r="D1314" t="s">
        <v>103</v>
      </c>
      <c r="E1314" t="s">
        <v>92</v>
      </c>
      <c r="F1314" t="s">
        <v>1</v>
      </c>
      <c r="G1314" t="s">
        <v>109</v>
      </c>
      <c r="H1314" s="62">
        <v>2048</v>
      </c>
      <c r="I1314">
        <v>4.1367000000000003</v>
      </c>
    </row>
    <row r="1315" spans="1:9">
      <c r="A1315" t="s">
        <v>104</v>
      </c>
      <c r="B1315" t="s">
        <v>105</v>
      </c>
      <c r="C1315" t="s">
        <v>80</v>
      </c>
      <c r="D1315" t="s">
        <v>103</v>
      </c>
      <c r="E1315" t="s">
        <v>89</v>
      </c>
      <c r="F1315" t="s">
        <v>1</v>
      </c>
      <c r="G1315" t="s">
        <v>109</v>
      </c>
      <c r="H1315" s="62">
        <v>2048</v>
      </c>
      <c r="I1315">
        <v>23.349599999999999</v>
      </c>
    </row>
    <row r="1316" spans="1:9">
      <c r="A1316" t="s">
        <v>104</v>
      </c>
      <c r="B1316" t="s">
        <v>105</v>
      </c>
      <c r="C1316" t="s">
        <v>107</v>
      </c>
      <c r="D1316" t="s">
        <v>107</v>
      </c>
      <c r="E1316" t="s">
        <v>107</v>
      </c>
      <c r="F1316" t="s">
        <v>1</v>
      </c>
      <c r="G1316" t="s">
        <v>109</v>
      </c>
      <c r="H1316" s="62">
        <v>2049</v>
      </c>
      <c r="I1316">
        <v>91.714799999999997</v>
      </c>
    </row>
    <row r="1317" spans="1:9">
      <c r="A1317" t="s">
        <v>104</v>
      </c>
      <c r="B1317" t="s">
        <v>105</v>
      </c>
      <c r="C1317" t="s">
        <v>107</v>
      </c>
      <c r="D1317" t="s">
        <v>108</v>
      </c>
      <c r="E1317" t="s">
        <v>108</v>
      </c>
      <c r="F1317" t="s">
        <v>1</v>
      </c>
      <c r="G1317" t="s">
        <v>109</v>
      </c>
      <c r="H1317" s="62">
        <v>2049</v>
      </c>
      <c r="I1317">
        <v>0.2036</v>
      </c>
    </row>
    <row r="1318" spans="1:9">
      <c r="A1318" t="s">
        <v>104</v>
      </c>
      <c r="B1318" t="s">
        <v>105</v>
      </c>
      <c r="C1318" t="s">
        <v>80</v>
      </c>
      <c r="D1318" t="s">
        <v>80</v>
      </c>
      <c r="E1318" t="s">
        <v>80</v>
      </c>
      <c r="F1318" t="s">
        <v>1</v>
      </c>
      <c r="G1318" t="s">
        <v>109</v>
      </c>
      <c r="H1318" s="62">
        <v>2049</v>
      </c>
      <c r="I1318">
        <v>91.511200000000002</v>
      </c>
    </row>
    <row r="1319" spans="1:9">
      <c r="A1319" t="s">
        <v>104</v>
      </c>
      <c r="B1319" t="s">
        <v>105</v>
      </c>
      <c r="C1319" t="s">
        <v>80</v>
      </c>
      <c r="D1319" t="s">
        <v>89</v>
      </c>
      <c r="E1319" t="s">
        <v>90</v>
      </c>
      <c r="F1319" t="s">
        <v>1</v>
      </c>
      <c r="G1319" t="s">
        <v>109</v>
      </c>
      <c r="H1319" s="62">
        <v>2049</v>
      </c>
      <c r="I1319">
        <v>-5.6574</v>
      </c>
    </row>
    <row r="1320" spans="1:9">
      <c r="A1320" t="s">
        <v>104</v>
      </c>
      <c r="B1320" t="s">
        <v>105</v>
      </c>
      <c r="C1320" t="s">
        <v>80</v>
      </c>
      <c r="D1320" t="s">
        <v>89</v>
      </c>
      <c r="E1320" t="s">
        <v>91</v>
      </c>
      <c r="F1320" t="s">
        <v>1</v>
      </c>
      <c r="G1320" t="s">
        <v>109</v>
      </c>
      <c r="H1320" s="62">
        <v>2049</v>
      </c>
      <c r="I1320">
        <v>0.99660000000000004</v>
      </c>
    </row>
    <row r="1321" spans="1:9">
      <c r="A1321" t="s">
        <v>104</v>
      </c>
      <c r="B1321" t="s">
        <v>105</v>
      </c>
      <c r="C1321" t="s">
        <v>80</v>
      </c>
      <c r="D1321" t="s">
        <v>92</v>
      </c>
      <c r="E1321" t="s">
        <v>93</v>
      </c>
      <c r="F1321" t="s">
        <v>1</v>
      </c>
      <c r="G1321" t="s">
        <v>109</v>
      </c>
      <c r="H1321" s="62">
        <v>2049</v>
      </c>
      <c r="I1321">
        <v>-8.0823</v>
      </c>
    </row>
    <row r="1322" spans="1:9">
      <c r="A1322" t="s">
        <v>104</v>
      </c>
      <c r="B1322" t="s">
        <v>105</v>
      </c>
      <c r="C1322" t="s">
        <v>80</v>
      </c>
      <c r="D1322" t="s">
        <v>92</v>
      </c>
      <c r="E1322" t="s">
        <v>94</v>
      </c>
      <c r="F1322" t="s">
        <v>1</v>
      </c>
      <c r="G1322" t="s">
        <v>109</v>
      </c>
      <c r="H1322" s="62">
        <v>2049</v>
      </c>
      <c r="I1322">
        <v>21.110900000000001</v>
      </c>
    </row>
    <row r="1323" spans="1:9">
      <c r="A1323" t="s">
        <v>104</v>
      </c>
      <c r="B1323" t="s">
        <v>105</v>
      </c>
      <c r="C1323" t="s">
        <v>80</v>
      </c>
      <c r="D1323" t="s">
        <v>92</v>
      </c>
      <c r="E1323" t="s">
        <v>110</v>
      </c>
      <c r="F1323" t="s">
        <v>1</v>
      </c>
      <c r="G1323" t="s">
        <v>109</v>
      </c>
      <c r="H1323" s="62">
        <v>2049</v>
      </c>
      <c r="I1323">
        <v>3.3681000000000001</v>
      </c>
    </row>
    <row r="1324" spans="1:9">
      <c r="A1324" t="s">
        <v>104</v>
      </c>
      <c r="B1324" t="s">
        <v>105</v>
      </c>
      <c r="C1324" t="s">
        <v>80</v>
      </c>
      <c r="D1324" t="s">
        <v>92</v>
      </c>
      <c r="E1324" t="s">
        <v>95</v>
      </c>
      <c r="F1324" t="s">
        <v>1</v>
      </c>
      <c r="G1324" t="s">
        <v>109</v>
      </c>
      <c r="H1324" s="62">
        <v>2049</v>
      </c>
      <c r="I1324">
        <v>24.770800000000001</v>
      </c>
    </row>
    <row r="1325" spans="1:9">
      <c r="A1325" t="s">
        <v>104</v>
      </c>
      <c r="B1325" t="s">
        <v>105</v>
      </c>
      <c r="C1325" t="s">
        <v>80</v>
      </c>
      <c r="D1325" t="s">
        <v>96</v>
      </c>
      <c r="E1325" t="s">
        <v>92</v>
      </c>
      <c r="F1325" t="s">
        <v>1</v>
      </c>
      <c r="G1325" t="s">
        <v>109</v>
      </c>
      <c r="H1325" s="62">
        <v>2049</v>
      </c>
      <c r="I1325">
        <v>12.6234</v>
      </c>
    </row>
    <row r="1326" spans="1:9">
      <c r="A1326" t="s">
        <v>104</v>
      </c>
      <c r="B1326" t="s">
        <v>105</v>
      </c>
      <c r="C1326" t="s">
        <v>80</v>
      </c>
      <c r="D1326" t="s">
        <v>96</v>
      </c>
      <c r="E1326" t="s">
        <v>89</v>
      </c>
      <c r="F1326" t="s">
        <v>1</v>
      </c>
      <c r="G1326" t="s">
        <v>109</v>
      </c>
      <c r="H1326" s="62">
        <v>2049</v>
      </c>
      <c r="I1326">
        <v>0.65500000000000003</v>
      </c>
    </row>
    <row r="1327" spans="1:9">
      <c r="A1327" t="s">
        <v>104</v>
      </c>
      <c r="B1327" t="s">
        <v>105</v>
      </c>
      <c r="C1327" t="s">
        <v>80</v>
      </c>
      <c r="D1327" t="s">
        <v>97</v>
      </c>
      <c r="E1327" t="s">
        <v>98</v>
      </c>
      <c r="F1327" t="s">
        <v>1</v>
      </c>
      <c r="G1327" t="s">
        <v>109</v>
      </c>
      <c r="H1327" s="62">
        <v>2049</v>
      </c>
      <c r="I1327">
        <v>14.669</v>
      </c>
    </row>
    <row r="1328" spans="1:9">
      <c r="A1328" t="s">
        <v>104</v>
      </c>
      <c r="B1328" t="s">
        <v>105</v>
      </c>
      <c r="C1328" t="s">
        <v>80</v>
      </c>
      <c r="D1328" t="s">
        <v>97</v>
      </c>
      <c r="E1328" t="s">
        <v>99</v>
      </c>
      <c r="F1328" t="s">
        <v>1</v>
      </c>
      <c r="G1328" t="s">
        <v>109</v>
      </c>
      <c r="H1328" s="62">
        <v>2049</v>
      </c>
      <c r="I1328">
        <v>0.21249999999999999</v>
      </c>
    </row>
    <row r="1329" spans="1:9">
      <c r="A1329" t="s">
        <v>104</v>
      </c>
      <c r="B1329" t="s">
        <v>105</v>
      </c>
      <c r="C1329" t="s">
        <v>80</v>
      </c>
      <c r="D1329" t="s">
        <v>100</v>
      </c>
      <c r="E1329" t="s">
        <v>101</v>
      </c>
      <c r="F1329" t="s">
        <v>1</v>
      </c>
      <c r="G1329" t="s">
        <v>109</v>
      </c>
      <c r="H1329" s="62">
        <v>2049</v>
      </c>
      <c r="I1329">
        <v>17.982399999999998</v>
      </c>
    </row>
    <row r="1330" spans="1:9">
      <c r="A1330" t="s">
        <v>104</v>
      </c>
      <c r="B1330" t="s">
        <v>105</v>
      </c>
      <c r="C1330" t="s">
        <v>80</v>
      </c>
      <c r="D1330" t="s">
        <v>100</v>
      </c>
      <c r="E1330" t="s">
        <v>102</v>
      </c>
      <c r="F1330" t="s">
        <v>1</v>
      </c>
      <c r="G1330" t="s">
        <v>109</v>
      </c>
      <c r="H1330" s="62">
        <v>2049</v>
      </c>
      <c r="I1330">
        <v>5.3223000000000003</v>
      </c>
    </row>
    <row r="1331" spans="1:9">
      <c r="A1331" t="s">
        <v>104</v>
      </c>
      <c r="B1331" t="s">
        <v>105</v>
      </c>
      <c r="C1331" t="s">
        <v>80</v>
      </c>
      <c r="D1331" t="s">
        <v>100</v>
      </c>
      <c r="E1331" t="s">
        <v>111</v>
      </c>
      <c r="F1331" t="s">
        <v>1</v>
      </c>
      <c r="G1331" t="s">
        <v>109</v>
      </c>
      <c r="H1331" s="62">
        <v>2049</v>
      </c>
      <c r="I1331">
        <v>0</v>
      </c>
    </row>
    <row r="1332" spans="1:9">
      <c r="A1332" t="s">
        <v>104</v>
      </c>
      <c r="B1332" t="s">
        <v>105</v>
      </c>
      <c r="C1332" t="s">
        <v>80</v>
      </c>
      <c r="D1332" t="s">
        <v>100</v>
      </c>
      <c r="E1332" t="s">
        <v>112</v>
      </c>
      <c r="F1332" t="s">
        <v>1</v>
      </c>
      <c r="G1332" t="s">
        <v>109</v>
      </c>
      <c r="H1332" s="62">
        <v>2049</v>
      </c>
      <c r="I1332">
        <v>0</v>
      </c>
    </row>
    <row r="1333" spans="1:9">
      <c r="A1333" t="s">
        <v>104</v>
      </c>
      <c r="B1333" t="s">
        <v>105</v>
      </c>
      <c r="C1333" t="s">
        <v>80</v>
      </c>
      <c r="D1333" t="s">
        <v>83</v>
      </c>
      <c r="E1333" t="s">
        <v>84</v>
      </c>
      <c r="F1333" t="s">
        <v>1</v>
      </c>
      <c r="G1333" t="s">
        <v>109</v>
      </c>
      <c r="H1333" s="62">
        <v>2049</v>
      </c>
      <c r="I1333">
        <v>1.8754</v>
      </c>
    </row>
    <row r="1334" spans="1:9">
      <c r="A1334" t="s">
        <v>104</v>
      </c>
      <c r="B1334" t="s">
        <v>105</v>
      </c>
      <c r="C1334" t="s">
        <v>80</v>
      </c>
      <c r="D1334" t="s">
        <v>83</v>
      </c>
      <c r="E1334" t="s">
        <v>85</v>
      </c>
      <c r="F1334" t="s">
        <v>1</v>
      </c>
      <c r="G1334" t="s">
        <v>109</v>
      </c>
      <c r="H1334" s="62">
        <v>2049</v>
      </c>
      <c r="I1334">
        <v>1.6647000000000001</v>
      </c>
    </row>
    <row r="1335" spans="1:9">
      <c r="A1335" t="s">
        <v>104</v>
      </c>
      <c r="B1335" t="s">
        <v>105</v>
      </c>
      <c r="C1335" t="s">
        <v>80</v>
      </c>
      <c r="D1335" t="s">
        <v>86</v>
      </c>
      <c r="E1335" t="s">
        <v>106</v>
      </c>
      <c r="F1335" t="s">
        <v>1</v>
      </c>
      <c r="G1335" t="s">
        <v>109</v>
      </c>
      <c r="H1335" s="62">
        <v>2049</v>
      </c>
      <c r="I1335">
        <v>1.2887</v>
      </c>
    </row>
    <row r="1336" spans="1:9">
      <c r="A1336" t="s">
        <v>104</v>
      </c>
      <c r="B1336" t="s">
        <v>105</v>
      </c>
      <c r="C1336" t="s">
        <v>80</v>
      </c>
      <c r="D1336" t="s">
        <v>86</v>
      </c>
      <c r="E1336" t="s">
        <v>87</v>
      </c>
      <c r="F1336" t="s">
        <v>1</v>
      </c>
      <c r="G1336" t="s">
        <v>109</v>
      </c>
      <c r="H1336" s="62">
        <v>2049</v>
      </c>
      <c r="I1336">
        <v>5.7969999999999997</v>
      </c>
    </row>
    <row r="1337" spans="1:9">
      <c r="A1337" t="s">
        <v>104</v>
      </c>
      <c r="B1337" t="s">
        <v>105</v>
      </c>
      <c r="C1337" t="s">
        <v>80</v>
      </c>
      <c r="D1337" t="s">
        <v>103</v>
      </c>
      <c r="E1337" t="s">
        <v>92</v>
      </c>
      <c r="F1337" t="s">
        <v>1</v>
      </c>
      <c r="G1337" t="s">
        <v>109</v>
      </c>
      <c r="H1337" s="62">
        <v>2049</v>
      </c>
      <c r="I1337">
        <v>4.2812999999999999</v>
      </c>
    </row>
    <row r="1338" spans="1:9">
      <c r="A1338" t="s">
        <v>104</v>
      </c>
      <c r="B1338" t="s">
        <v>105</v>
      </c>
      <c r="C1338" t="s">
        <v>80</v>
      </c>
      <c r="D1338" t="s">
        <v>103</v>
      </c>
      <c r="E1338" t="s">
        <v>89</v>
      </c>
      <c r="F1338" t="s">
        <v>1</v>
      </c>
      <c r="G1338" t="s">
        <v>109</v>
      </c>
      <c r="H1338" s="62">
        <v>2049</v>
      </c>
      <c r="I1338">
        <v>24.075500000000002</v>
      </c>
    </row>
    <row r="1339" spans="1:9">
      <c r="A1339" t="s">
        <v>104</v>
      </c>
      <c r="B1339" t="s">
        <v>105</v>
      </c>
      <c r="C1339" t="s">
        <v>107</v>
      </c>
      <c r="D1339" t="s">
        <v>107</v>
      </c>
      <c r="E1339" t="s">
        <v>107</v>
      </c>
      <c r="F1339" t="s">
        <v>1</v>
      </c>
      <c r="G1339" t="s">
        <v>109</v>
      </c>
      <c r="H1339" s="62">
        <v>2050</v>
      </c>
      <c r="I1339">
        <v>92.373199999999997</v>
      </c>
    </row>
    <row r="1340" spans="1:9">
      <c r="A1340" t="s">
        <v>104</v>
      </c>
      <c r="B1340" t="s">
        <v>105</v>
      </c>
      <c r="C1340" t="s">
        <v>107</v>
      </c>
      <c r="D1340" t="s">
        <v>108</v>
      </c>
      <c r="E1340" t="s">
        <v>108</v>
      </c>
      <c r="F1340" t="s">
        <v>1</v>
      </c>
      <c r="G1340" t="s">
        <v>109</v>
      </c>
      <c r="H1340" s="62">
        <v>2050</v>
      </c>
      <c r="I1340">
        <v>0.20499999999999999</v>
      </c>
    </row>
    <row r="1341" spans="1:9">
      <c r="A1341" t="s">
        <v>104</v>
      </c>
      <c r="B1341" t="s">
        <v>105</v>
      </c>
      <c r="C1341" t="s">
        <v>80</v>
      </c>
      <c r="D1341" t="s">
        <v>80</v>
      </c>
      <c r="E1341" t="s">
        <v>80</v>
      </c>
      <c r="F1341" t="s">
        <v>1</v>
      </c>
      <c r="G1341" t="s">
        <v>109</v>
      </c>
      <c r="H1341" s="62">
        <v>2050</v>
      </c>
      <c r="I1341">
        <v>92.168199999999999</v>
      </c>
    </row>
    <row r="1342" spans="1:9">
      <c r="A1342" t="s">
        <v>104</v>
      </c>
      <c r="B1342" t="s">
        <v>105</v>
      </c>
      <c r="C1342" t="s">
        <v>80</v>
      </c>
      <c r="D1342" t="s">
        <v>89</v>
      </c>
      <c r="E1342" t="s">
        <v>90</v>
      </c>
      <c r="F1342" t="s">
        <v>1</v>
      </c>
      <c r="G1342" t="s">
        <v>109</v>
      </c>
      <c r="H1342" s="62">
        <v>2050</v>
      </c>
      <c r="I1342">
        <v>-6.1878000000000002</v>
      </c>
    </row>
    <row r="1343" spans="1:9">
      <c r="A1343" t="s">
        <v>104</v>
      </c>
      <c r="B1343" t="s">
        <v>105</v>
      </c>
      <c r="C1343" t="s">
        <v>80</v>
      </c>
      <c r="D1343" t="s">
        <v>89</v>
      </c>
      <c r="E1343" t="s">
        <v>91</v>
      </c>
      <c r="F1343" t="s">
        <v>1</v>
      </c>
      <c r="G1343" t="s">
        <v>109</v>
      </c>
      <c r="H1343" s="62">
        <v>2050</v>
      </c>
      <c r="I1343">
        <v>1.1545000000000001</v>
      </c>
    </row>
    <row r="1344" spans="1:9">
      <c r="A1344" t="s">
        <v>104</v>
      </c>
      <c r="B1344" t="s">
        <v>105</v>
      </c>
      <c r="C1344" t="s">
        <v>80</v>
      </c>
      <c r="D1344" t="s">
        <v>92</v>
      </c>
      <c r="E1344" t="s">
        <v>93</v>
      </c>
      <c r="F1344" t="s">
        <v>1</v>
      </c>
      <c r="G1344" t="s">
        <v>109</v>
      </c>
      <c r="H1344" s="62">
        <v>2050</v>
      </c>
      <c r="I1344">
        <v>-8.7445000000000004</v>
      </c>
    </row>
    <row r="1345" spans="1:9">
      <c r="A1345" t="s">
        <v>104</v>
      </c>
      <c r="B1345" t="s">
        <v>105</v>
      </c>
      <c r="C1345" t="s">
        <v>80</v>
      </c>
      <c r="D1345" t="s">
        <v>92</v>
      </c>
      <c r="E1345" t="s">
        <v>94</v>
      </c>
      <c r="F1345" t="s">
        <v>1</v>
      </c>
      <c r="G1345" t="s">
        <v>109</v>
      </c>
      <c r="H1345" s="62">
        <v>2050</v>
      </c>
      <c r="I1345">
        <v>21.256699999999999</v>
      </c>
    </row>
    <row r="1346" spans="1:9">
      <c r="A1346" t="s">
        <v>104</v>
      </c>
      <c r="B1346" t="s">
        <v>105</v>
      </c>
      <c r="C1346" t="s">
        <v>80</v>
      </c>
      <c r="D1346" t="s">
        <v>92</v>
      </c>
      <c r="E1346" t="s">
        <v>110</v>
      </c>
      <c r="F1346" t="s">
        <v>1</v>
      </c>
      <c r="G1346" t="s">
        <v>109</v>
      </c>
      <c r="H1346" s="62">
        <v>2050</v>
      </c>
      <c r="I1346">
        <v>3.1297999999999999</v>
      </c>
    </row>
    <row r="1347" spans="1:9">
      <c r="A1347" t="s">
        <v>104</v>
      </c>
      <c r="B1347" t="s">
        <v>105</v>
      </c>
      <c r="C1347" t="s">
        <v>80</v>
      </c>
      <c r="D1347" t="s">
        <v>92</v>
      </c>
      <c r="E1347" t="s">
        <v>95</v>
      </c>
      <c r="F1347" t="s">
        <v>1</v>
      </c>
      <c r="G1347" t="s">
        <v>109</v>
      </c>
      <c r="H1347" s="62">
        <v>2050</v>
      </c>
      <c r="I1347">
        <v>25.611999999999998</v>
      </c>
    </row>
    <row r="1348" spans="1:9">
      <c r="A1348" t="s">
        <v>104</v>
      </c>
      <c r="B1348" t="s">
        <v>105</v>
      </c>
      <c r="C1348" t="s">
        <v>80</v>
      </c>
      <c r="D1348" t="s">
        <v>96</v>
      </c>
      <c r="E1348" t="s">
        <v>92</v>
      </c>
      <c r="F1348" t="s">
        <v>1</v>
      </c>
      <c r="G1348" t="s">
        <v>109</v>
      </c>
      <c r="H1348" s="62">
        <v>2050</v>
      </c>
      <c r="I1348">
        <v>12.4693</v>
      </c>
    </row>
    <row r="1349" spans="1:9">
      <c r="A1349" t="s">
        <v>104</v>
      </c>
      <c r="B1349" t="s">
        <v>105</v>
      </c>
      <c r="C1349" t="s">
        <v>80</v>
      </c>
      <c r="D1349" t="s">
        <v>96</v>
      </c>
      <c r="E1349" t="s">
        <v>89</v>
      </c>
      <c r="F1349" t="s">
        <v>1</v>
      </c>
      <c r="G1349" t="s">
        <v>109</v>
      </c>
      <c r="H1349" s="62">
        <v>2050</v>
      </c>
      <c r="I1349">
        <v>0.68600000000000005</v>
      </c>
    </row>
    <row r="1350" spans="1:9">
      <c r="A1350" t="s">
        <v>104</v>
      </c>
      <c r="B1350" t="s">
        <v>105</v>
      </c>
      <c r="C1350" t="s">
        <v>80</v>
      </c>
      <c r="D1350" t="s">
        <v>97</v>
      </c>
      <c r="E1350" t="s">
        <v>98</v>
      </c>
      <c r="F1350" t="s">
        <v>1</v>
      </c>
      <c r="G1350" t="s">
        <v>109</v>
      </c>
      <c r="H1350" s="62">
        <v>2050</v>
      </c>
      <c r="I1350">
        <v>15.4962</v>
      </c>
    </row>
    <row r="1351" spans="1:9">
      <c r="A1351" t="s">
        <v>104</v>
      </c>
      <c r="B1351" t="s">
        <v>105</v>
      </c>
      <c r="C1351" t="s">
        <v>80</v>
      </c>
      <c r="D1351" t="s">
        <v>97</v>
      </c>
      <c r="E1351" t="s">
        <v>99</v>
      </c>
      <c r="F1351" t="s">
        <v>1</v>
      </c>
      <c r="G1351" t="s">
        <v>109</v>
      </c>
      <c r="H1351" s="62">
        <v>2050</v>
      </c>
      <c r="I1351">
        <v>0.23499999999999999</v>
      </c>
    </row>
    <row r="1352" spans="1:9">
      <c r="A1352" t="s">
        <v>104</v>
      </c>
      <c r="B1352" t="s">
        <v>105</v>
      </c>
      <c r="C1352" t="s">
        <v>80</v>
      </c>
      <c r="D1352" t="s">
        <v>100</v>
      </c>
      <c r="E1352" t="s">
        <v>101</v>
      </c>
      <c r="F1352" t="s">
        <v>1</v>
      </c>
      <c r="G1352" t="s">
        <v>109</v>
      </c>
      <c r="H1352" s="62">
        <v>2050</v>
      </c>
      <c r="I1352">
        <v>18.8399</v>
      </c>
    </row>
    <row r="1353" spans="1:9">
      <c r="A1353" t="s">
        <v>104</v>
      </c>
      <c r="B1353" t="s">
        <v>105</v>
      </c>
      <c r="C1353" t="s">
        <v>80</v>
      </c>
      <c r="D1353" t="s">
        <v>100</v>
      </c>
      <c r="E1353" t="s">
        <v>102</v>
      </c>
      <c r="F1353" t="s">
        <v>1</v>
      </c>
      <c r="G1353" t="s">
        <v>109</v>
      </c>
      <c r="H1353" s="62">
        <v>2050</v>
      </c>
      <c r="I1353">
        <v>4.6444000000000001</v>
      </c>
    </row>
    <row r="1354" spans="1:9">
      <c r="A1354" t="s">
        <v>104</v>
      </c>
      <c r="B1354" t="s">
        <v>105</v>
      </c>
      <c r="C1354" t="s">
        <v>80</v>
      </c>
      <c r="D1354" t="s">
        <v>100</v>
      </c>
      <c r="E1354" t="s">
        <v>111</v>
      </c>
      <c r="F1354" t="s">
        <v>1</v>
      </c>
      <c r="G1354" t="s">
        <v>109</v>
      </c>
      <c r="H1354" s="62">
        <v>2050</v>
      </c>
      <c r="I1354">
        <v>0</v>
      </c>
    </row>
    <row r="1355" spans="1:9">
      <c r="A1355" t="s">
        <v>104</v>
      </c>
      <c r="B1355" t="s">
        <v>105</v>
      </c>
      <c r="C1355" t="s">
        <v>80</v>
      </c>
      <c r="D1355" t="s">
        <v>100</v>
      </c>
      <c r="E1355" t="s">
        <v>112</v>
      </c>
      <c r="F1355" t="s">
        <v>1</v>
      </c>
      <c r="G1355" t="s">
        <v>109</v>
      </c>
      <c r="H1355" s="62">
        <v>2050</v>
      </c>
      <c r="I1355">
        <v>0</v>
      </c>
    </row>
    <row r="1356" spans="1:9">
      <c r="A1356" t="s">
        <v>104</v>
      </c>
      <c r="B1356" t="s">
        <v>105</v>
      </c>
      <c r="C1356" t="s">
        <v>80</v>
      </c>
      <c r="D1356" t="s">
        <v>83</v>
      </c>
      <c r="E1356" t="s">
        <v>84</v>
      </c>
      <c r="F1356" t="s">
        <v>1</v>
      </c>
      <c r="G1356" t="s">
        <v>109</v>
      </c>
      <c r="H1356" s="62">
        <v>2050</v>
      </c>
      <c r="I1356">
        <v>1.8900999999999999</v>
      </c>
    </row>
    <row r="1357" spans="1:9">
      <c r="A1357" t="s">
        <v>104</v>
      </c>
      <c r="B1357" t="s">
        <v>105</v>
      </c>
      <c r="C1357" t="s">
        <v>80</v>
      </c>
      <c r="D1357" t="s">
        <v>83</v>
      </c>
      <c r="E1357" t="s">
        <v>85</v>
      </c>
      <c r="F1357" t="s">
        <v>1</v>
      </c>
      <c r="G1357" t="s">
        <v>109</v>
      </c>
      <c r="H1357" s="62">
        <v>2050</v>
      </c>
      <c r="I1357">
        <v>1.6866000000000001</v>
      </c>
    </row>
    <row r="1358" spans="1:9">
      <c r="A1358" t="s">
        <v>104</v>
      </c>
      <c r="B1358" t="s">
        <v>105</v>
      </c>
      <c r="C1358" t="s">
        <v>80</v>
      </c>
      <c r="D1358" t="s">
        <v>86</v>
      </c>
      <c r="E1358" t="s">
        <v>106</v>
      </c>
      <c r="F1358" t="s">
        <v>1</v>
      </c>
      <c r="G1358" t="s">
        <v>109</v>
      </c>
      <c r="H1358" s="62">
        <v>2050</v>
      </c>
      <c r="I1358">
        <v>1.3029999999999999</v>
      </c>
    </row>
    <row r="1359" spans="1:9">
      <c r="A1359" t="s">
        <v>104</v>
      </c>
      <c r="B1359" t="s">
        <v>105</v>
      </c>
      <c r="C1359" t="s">
        <v>80</v>
      </c>
      <c r="D1359" t="s">
        <v>86</v>
      </c>
      <c r="E1359" t="s">
        <v>87</v>
      </c>
      <c r="F1359" t="s">
        <v>1</v>
      </c>
      <c r="G1359" t="s">
        <v>109</v>
      </c>
      <c r="H1359" s="62">
        <v>2050</v>
      </c>
      <c r="I1359">
        <v>6.2869999999999999</v>
      </c>
    </row>
    <row r="1360" spans="1:9">
      <c r="A1360" t="s">
        <v>104</v>
      </c>
      <c r="B1360" t="s">
        <v>105</v>
      </c>
      <c r="C1360" t="s">
        <v>80</v>
      </c>
      <c r="D1360" t="s">
        <v>103</v>
      </c>
      <c r="E1360" t="s">
        <v>92</v>
      </c>
      <c r="F1360" t="s">
        <v>1</v>
      </c>
      <c r="G1360" t="s">
        <v>109</v>
      </c>
      <c r="H1360" s="62">
        <v>2050</v>
      </c>
      <c r="I1360">
        <v>4.4295</v>
      </c>
    </row>
    <row r="1361" spans="1:9">
      <c r="A1361" t="s">
        <v>104</v>
      </c>
      <c r="B1361" t="s">
        <v>105</v>
      </c>
      <c r="C1361" t="s">
        <v>80</v>
      </c>
      <c r="D1361" t="s">
        <v>103</v>
      </c>
      <c r="E1361" t="s">
        <v>89</v>
      </c>
      <c r="F1361" t="s">
        <v>1</v>
      </c>
      <c r="G1361" t="s">
        <v>109</v>
      </c>
      <c r="H1361" s="62">
        <v>2050</v>
      </c>
      <c r="I1361">
        <v>24.785299999999999</v>
      </c>
    </row>
    <row r="1362" spans="1:9">
      <c r="A1362" t="s">
        <v>104</v>
      </c>
      <c r="B1362" t="s">
        <v>105</v>
      </c>
      <c r="C1362" t="s">
        <v>107</v>
      </c>
      <c r="D1362" t="s">
        <v>107</v>
      </c>
      <c r="E1362" t="s">
        <v>107</v>
      </c>
      <c r="F1362" t="s">
        <v>1</v>
      </c>
      <c r="G1362" t="s">
        <v>109</v>
      </c>
      <c r="H1362" s="62">
        <v>2051</v>
      </c>
      <c r="I1362">
        <v>94.477800000000002</v>
      </c>
    </row>
    <row r="1363" spans="1:9">
      <c r="A1363" t="s">
        <v>104</v>
      </c>
      <c r="B1363" t="s">
        <v>105</v>
      </c>
      <c r="C1363" t="s">
        <v>107</v>
      </c>
      <c r="D1363" t="s">
        <v>108</v>
      </c>
      <c r="E1363" t="s">
        <v>108</v>
      </c>
      <c r="F1363" t="s">
        <v>1</v>
      </c>
      <c r="G1363" t="s">
        <v>109</v>
      </c>
      <c r="H1363" s="62">
        <v>2051</v>
      </c>
      <c r="I1363">
        <v>0.2082</v>
      </c>
    </row>
    <row r="1364" spans="1:9">
      <c r="A1364" t="s">
        <v>104</v>
      </c>
      <c r="B1364" t="s">
        <v>105</v>
      </c>
      <c r="C1364" t="s">
        <v>80</v>
      </c>
      <c r="D1364" t="s">
        <v>80</v>
      </c>
      <c r="E1364" t="s">
        <v>80</v>
      </c>
      <c r="F1364" t="s">
        <v>1</v>
      </c>
      <c r="G1364" t="s">
        <v>109</v>
      </c>
      <c r="H1364" s="62">
        <v>2051</v>
      </c>
      <c r="I1364">
        <v>94.269599999999997</v>
      </c>
    </row>
    <row r="1365" spans="1:9">
      <c r="A1365" t="s">
        <v>104</v>
      </c>
      <c r="B1365" t="s">
        <v>105</v>
      </c>
      <c r="C1365" t="s">
        <v>80</v>
      </c>
      <c r="D1365" t="s">
        <v>89</v>
      </c>
      <c r="E1365" t="s">
        <v>90</v>
      </c>
      <c r="F1365" t="s">
        <v>1</v>
      </c>
      <c r="G1365" t="s">
        <v>109</v>
      </c>
      <c r="H1365" s="62">
        <v>2051</v>
      </c>
      <c r="I1365">
        <v>-6.6844000000000001</v>
      </c>
    </row>
    <row r="1366" spans="1:9">
      <c r="A1366" t="s">
        <v>104</v>
      </c>
      <c r="B1366" t="s">
        <v>105</v>
      </c>
      <c r="C1366" t="s">
        <v>80</v>
      </c>
      <c r="D1366" t="s">
        <v>89</v>
      </c>
      <c r="E1366" t="s">
        <v>91</v>
      </c>
      <c r="F1366" t="s">
        <v>1</v>
      </c>
      <c r="G1366" t="s">
        <v>109</v>
      </c>
      <c r="H1366" s="62">
        <v>2051</v>
      </c>
      <c r="I1366">
        <v>1.2985</v>
      </c>
    </row>
    <row r="1367" spans="1:9">
      <c r="A1367" t="s">
        <v>104</v>
      </c>
      <c r="B1367" t="s">
        <v>105</v>
      </c>
      <c r="C1367" t="s">
        <v>80</v>
      </c>
      <c r="D1367" t="s">
        <v>92</v>
      </c>
      <c r="E1367" t="s">
        <v>93</v>
      </c>
      <c r="F1367" t="s">
        <v>1</v>
      </c>
      <c r="G1367" t="s">
        <v>109</v>
      </c>
      <c r="H1367" s="62">
        <v>2051</v>
      </c>
      <c r="I1367">
        <v>-9.3073999999999995</v>
      </c>
    </row>
    <row r="1368" spans="1:9">
      <c r="A1368" t="s">
        <v>104</v>
      </c>
      <c r="B1368" t="s">
        <v>105</v>
      </c>
      <c r="C1368" t="s">
        <v>80</v>
      </c>
      <c r="D1368" t="s">
        <v>92</v>
      </c>
      <c r="E1368" t="s">
        <v>94</v>
      </c>
      <c r="F1368" t="s">
        <v>1</v>
      </c>
      <c r="G1368" t="s">
        <v>109</v>
      </c>
      <c r="H1368" s="62">
        <v>2051</v>
      </c>
      <c r="I1368">
        <v>21.4084</v>
      </c>
    </row>
    <row r="1369" spans="1:9">
      <c r="A1369" t="s">
        <v>104</v>
      </c>
      <c r="B1369" t="s">
        <v>105</v>
      </c>
      <c r="C1369" t="s">
        <v>80</v>
      </c>
      <c r="D1369" t="s">
        <v>92</v>
      </c>
      <c r="E1369" t="s">
        <v>110</v>
      </c>
      <c r="F1369" t="s">
        <v>1</v>
      </c>
      <c r="G1369" t="s">
        <v>109</v>
      </c>
      <c r="H1369" s="62">
        <v>2051</v>
      </c>
      <c r="I1369">
        <v>2.9015</v>
      </c>
    </row>
    <row r="1370" spans="1:9">
      <c r="A1370" t="s">
        <v>104</v>
      </c>
      <c r="B1370" t="s">
        <v>105</v>
      </c>
      <c r="C1370" t="s">
        <v>80</v>
      </c>
      <c r="D1370" t="s">
        <v>92</v>
      </c>
      <c r="E1370" t="s">
        <v>95</v>
      </c>
      <c r="F1370" t="s">
        <v>1</v>
      </c>
      <c r="G1370" t="s">
        <v>109</v>
      </c>
      <c r="H1370" s="62">
        <v>2051</v>
      </c>
      <c r="I1370">
        <v>26.504999999999999</v>
      </c>
    </row>
    <row r="1371" spans="1:9">
      <c r="A1371" t="s">
        <v>104</v>
      </c>
      <c r="B1371" t="s">
        <v>105</v>
      </c>
      <c r="C1371" t="s">
        <v>80</v>
      </c>
      <c r="D1371" t="s">
        <v>96</v>
      </c>
      <c r="E1371" t="s">
        <v>92</v>
      </c>
      <c r="F1371" t="s">
        <v>1</v>
      </c>
      <c r="G1371" t="s">
        <v>109</v>
      </c>
      <c r="H1371" s="62">
        <v>2051</v>
      </c>
      <c r="I1371">
        <v>12.7278</v>
      </c>
    </row>
    <row r="1372" spans="1:9">
      <c r="A1372" t="s">
        <v>104</v>
      </c>
      <c r="B1372" t="s">
        <v>105</v>
      </c>
      <c r="C1372" t="s">
        <v>80</v>
      </c>
      <c r="D1372" t="s">
        <v>96</v>
      </c>
      <c r="E1372" t="s">
        <v>89</v>
      </c>
      <c r="F1372" t="s">
        <v>1</v>
      </c>
      <c r="G1372" t="s">
        <v>109</v>
      </c>
      <c r="H1372" s="62">
        <v>2051</v>
      </c>
      <c r="I1372">
        <v>0.7016</v>
      </c>
    </row>
    <row r="1373" spans="1:9">
      <c r="A1373" t="s">
        <v>104</v>
      </c>
      <c r="B1373" t="s">
        <v>105</v>
      </c>
      <c r="C1373" t="s">
        <v>80</v>
      </c>
      <c r="D1373" t="s">
        <v>97</v>
      </c>
      <c r="E1373" t="s">
        <v>98</v>
      </c>
      <c r="F1373" t="s">
        <v>1</v>
      </c>
      <c r="G1373" t="s">
        <v>109</v>
      </c>
      <c r="H1373" s="62">
        <v>2051</v>
      </c>
      <c r="I1373">
        <v>16.324300000000001</v>
      </c>
    </row>
    <row r="1374" spans="1:9">
      <c r="A1374" t="s">
        <v>104</v>
      </c>
      <c r="B1374" t="s">
        <v>105</v>
      </c>
      <c r="C1374" t="s">
        <v>80</v>
      </c>
      <c r="D1374" t="s">
        <v>97</v>
      </c>
      <c r="E1374" t="s">
        <v>99</v>
      </c>
      <c r="F1374" t="s">
        <v>1</v>
      </c>
      <c r="G1374" t="s">
        <v>109</v>
      </c>
      <c r="H1374" s="62">
        <v>2051</v>
      </c>
      <c r="I1374">
        <v>0.24640000000000001</v>
      </c>
    </row>
    <row r="1375" spans="1:9">
      <c r="A1375" t="s">
        <v>104</v>
      </c>
      <c r="B1375" t="s">
        <v>105</v>
      </c>
      <c r="C1375" t="s">
        <v>80</v>
      </c>
      <c r="D1375" t="s">
        <v>100</v>
      </c>
      <c r="E1375" t="s">
        <v>101</v>
      </c>
      <c r="F1375" t="s">
        <v>1</v>
      </c>
      <c r="G1375" t="s">
        <v>109</v>
      </c>
      <c r="H1375" s="62">
        <v>2051</v>
      </c>
      <c r="I1375">
        <v>19.234500000000001</v>
      </c>
    </row>
    <row r="1376" spans="1:9">
      <c r="A1376" t="s">
        <v>104</v>
      </c>
      <c r="B1376" t="s">
        <v>105</v>
      </c>
      <c r="C1376" t="s">
        <v>80</v>
      </c>
      <c r="D1376" t="s">
        <v>100</v>
      </c>
      <c r="E1376" t="s">
        <v>102</v>
      </c>
      <c r="F1376" t="s">
        <v>1</v>
      </c>
      <c r="G1376" t="s">
        <v>109</v>
      </c>
      <c r="H1376" s="62">
        <v>2051</v>
      </c>
      <c r="I1376">
        <v>5.2706</v>
      </c>
    </row>
    <row r="1377" spans="1:9">
      <c r="A1377" t="s">
        <v>104</v>
      </c>
      <c r="B1377" t="s">
        <v>105</v>
      </c>
      <c r="C1377" t="s">
        <v>80</v>
      </c>
      <c r="D1377" t="s">
        <v>100</v>
      </c>
      <c r="E1377" t="s">
        <v>111</v>
      </c>
      <c r="F1377" t="s">
        <v>1</v>
      </c>
      <c r="G1377" t="s">
        <v>109</v>
      </c>
      <c r="H1377" s="62">
        <v>2051</v>
      </c>
      <c r="I1377">
        <v>0</v>
      </c>
    </row>
    <row r="1378" spans="1:9">
      <c r="A1378" t="s">
        <v>104</v>
      </c>
      <c r="B1378" t="s">
        <v>105</v>
      </c>
      <c r="C1378" t="s">
        <v>80</v>
      </c>
      <c r="D1378" t="s">
        <v>100</v>
      </c>
      <c r="E1378" t="s">
        <v>112</v>
      </c>
      <c r="F1378" t="s">
        <v>1</v>
      </c>
      <c r="G1378" t="s">
        <v>109</v>
      </c>
      <c r="H1378" s="62">
        <v>2051</v>
      </c>
      <c r="I1378">
        <v>0</v>
      </c>
    </row>
    <row r="1379" spans="1:9">
      <c r="A1379" t="s">
        <v>104</v>
      </c>
      <c r="B1379" t="s">
        <v>105</v>
      </c>
      <c r="C1379" t="s">
        <v>80</v>
      </c>
      <c r="D1379" t="s">
        <v>83</v>
      </c>
      <c r="E1379" t="s">
        <v>84</v>
      </c>
      <c r="F1379" t="s">
        <v>1</v>
      </c>
      <c r="G1379" t="s">
        <v>109</v>
      </c>
      <c r="H1379" s="62">
        <v>2051</v>
      </c>
      <c r="I1379">
        <v>1.9231</v>
      </c>
    </row>
    <row r="1380" spans="1:9">
      <c r="A1380" t="s">
        <v>104</v>
      </c>
      <c r="B1380" t="s">
        <v>105</v>
      </c>
      <c r="C1380" t="s">
        <v>80</v>
      </c>
      <c r="D1380" t="s">
        <v>83</v>
      </c>
      <c r="E1380" t="s">
        <v>85</v>
      </c>
      <c r="F1380" t="s">
        <v>1</v>
      </c>
      <c r="G1380" t="s">
        <v>109</v>
      </c>
      <c r="H1380" s="62">
        <v>2051</v>
      </c>
      <c r="I1380">
        <v>1.7198</v>
      </c>
    </row>
    <row r="1381" spans="1:9">
      <c r="A1381" t="s">
        <v>104</v>
      </c>
      <c r="B1381" t="s">
        <v>105</v>
      </c>
      <c r="C1381" t="s">
        <v>80</v>
      </c>
      <c r="D1381" t="s">
        <v>86</v>
      </c>
      <c r="E1381" t="s">
        <v>106</v>
      </c>
      <c r="F1381" t="s">
        <v>1</v>
      </c>
      <c r="G1381" t="s">
        <v>109</v>
      </c>
      <c r="H1381" s="62">
        <v>2051</v>
      </c>
      <c r="I1381">
        <v>1.3172999999999999</v>
      </c>
    </row>
    <row r="1382" spans="1:9">
      <c r="A1382" t="s">
        <v>104</v>
      </c>
      <c r="B1382" t="s">
        <v>105</v>
      </c>
      <c r="C1382" t="s">
        <v>80</v>
      </c>
      <c r="D1382" t="s">
        <v>86</v>
      </c>
      <c r="E1382" t="s">
        <v>87</v>
      </c>
      <c r="F1382" t="s">
        <v>1</v>
      </c>
      <c r="G1382" t="s">
        <v>109</v>
      </c>
      <c r="H1382" s="62">
        <v>2051</v>
      </c>
      <c r="I1382">
        <v>6.6916000000000002</v>
      </c>
    </row>
    <row r="1383" spans="1:9">
      <c r="A1383" t="s">
        <v>104</v>
      </c>
      <c r="B1383" t="s">
        <v>105</v>
      </c>
      <c r="C1383" t="s">
        <v>80</v>
      </c>
      <c r="D1383" t="s">
        <v>103</v>
      </c>
      <c r="E1383" t="s">
        <v>92</v>
      </c>
      <c r="F1383" t="s">
        <v>1</v>
      </c>
      <c r="G1383" t="s">
        <v>109</v>
      </c>
      <c r="H1383" s="62">
        <v>2051</v>
      </c>
      <c r="I1383">
        <v>4.5777000000000001</v>
      </c>
    </row>
    <row r="1384" spans="1:9">
      <c r="A1384" t="s">
        <v>104</v>
      </c>
      <c r="B1384" t="s">
        <v>105</v>
      </c>
      <c r="C1384" t="s">
        <v>80</v>
      </c>
      <c r="D1384" t="s">
        <v>103</v>
      </c>
      <c r="E1384" t="s">
        <v>89</v>
      </c>
      <c r="F1384" t="s">
        <v>1</v>
      </c>
      <c r="G1384" t="s">
        <v>109</v>
      </c>
      <c r="H1384" s="62">
        <v>2051</v>
      </c>
      <c r="I1384">
        <v>25.4529</v>
      </c>
    </row>
    <row r="1385" spans="1:9">
      <c r="A1385" t="s">
        <v>104</v>
      </c>
      <c r="B1385" t="s">
        <v>105</v>
      </c>
      <c r="C1385" t="s">
        <v>107</v>
      </c>
      <c r="D1385" t="s">
        <v>107</v>
      </c>
      <c r="E1385" t="s">
        <v>107</v>
      </c>
      <c r="F1385" t="s">
        <v>1</v>
      </c>
      <c r="G1385" t="s">
        <v>109</v>
      </c>
      <c r="H1385" s="62">
        <v>2052</v>
      </c>
      <c r="I1385">
        <v>97.559700000000007</v>
      </c>
    </row>
    <row r="1386" spans="1:9">
      <c r="A1386" t="s">
        <v>104</v>
      </c>
      <c r="B1386" t="s">
        <v>105</v>
      </c>
      <c r="C1386" t="s">
        <v>107</v>
      </c>
      <c r="D1386" t="s">
        <v>108</v>
      </c>
      <c r="E1386" t="s">
        <v>108</v>
      </c>
      <c r="F1386" t="s">
        <v>1</v>
      </c>
      <c r="G1386" t="s">
        <v>109</v>
      </c>
      <c r="H1386" s="62">
        <v>2052</v>
      </c>
      <c r="I1386">
        <v>0.2135</v>
      </c>
    </row>
    <row r="1387" spans="1:9">
      <c r="A1387" t="s">
        <v>104</v>
      </c>
      <c r="B1387" t="s">
        <v>105</v>
      </c>
      <c r="C1387" t="s">
        <v>80</v>
      </c>
      <c r="D1387" t="s">
        <v>80</v>
      </c>
      <c r="E1387" t="s">
        <v>80</v>
      </c>
      <c r="F1387" t="s">
        <v>1</v>
      </c>
      <c r="G1387" t="s">
        <v>109</v>
      </c>
      <c r="H1387" s="62">
        <v>2052</v>
      </c>
      <c r="I1387">
        <v>97.346199999999996</v>
      </c>
    </row>
    <row r="1388" spans="1:9">
      <c r="A1388" t="s">
        <v>104</v>
      </c>
      <c r="B1388" t="s">
        <v>105</v>
      </c>
      <c r="C1388" t="s">
        <v>80</v>
      </c>
      <c r="D1388" t="s">
        <v>89</v>
      </c>
      <c r="E1388" t="s">
        <v>90</v>
      </c>
      <c r="F1388" t="s">
        <v>1</v>
      </c>
      <c r="G1388" t="s">
        <v>109</v>
      </c>
      <c r="H1388" s="62">
        <v>2052</v>
      </c>
      <c r="I1388">
        <v>-7.1844000000000001</v>
      </c>
    </row>
    <row r="1389" spans="1:9">
      <c r="A1389" t="s">
        <v>104</v>
      </c>
      <c r="B1389" t="s">
        <v>105</v>
      </c>
      <c r="C1389" t="s">
        <v>80</v>
      </c>
      <c r="D1389" t="s">
        <v>89</v>
      </c>
      <c r="E1389" t="s">
        <v>91</v>
      </c>
      <c r="F1389" t="s">
        <v>1</v>
      </c>
      <c r="G1389" t="s">
        <v>109</v>
      </c>
      <c r="H1389" s="62">
        <v>2052</v>
      </c>
      <c r="I1389">
        <v>1.4357</v>
      </c>
    </row>
    <row r="1390" spans="1:9">
      <c r="A1390" t="s">
        <v>104</v>
      </c>
      <c r="B1390" t="s">
        <v>105</v>
      </c>
      <c r="C1390" t="s">
        <v>80</v>
      </c>
      <c r="D1390" t="s">
        <v>92</v>
      </c>
      <c r="E1390" t="s">
        <v>93</v>
      </c>
      <c r="F1390" t="s">
        <v>1</v>
      </c>
      <c r="G1390" t="s">
        <v>109</v>
      </c>
      <c r="H1390" s="62">
        <v>2052</v>
      </c>
      <c r="I1390">
        <v>-9.7948000000000004</v>
      </c>
    </row>
    <row r="1391" spans="1:9">
      <c r="A1391" t="s">
        <v>104</v>
      </c>
      <c r="B1391" t="s">
        <v>105</v>
      </c>
      <c r="C1391" t="s">
        <v>80</v>
      </c>
      <c r="D1391" t="s">
        <v>92</v>
      </c>
      <c r="E1391" t="s">
        <v>94</v>
      </c>
      <c r="F1391" t="s">
        <v>1</v>
      </c>
      <c r="G1391" t="s">
        <v>109</v>
      </c>
      <c r="H1391" s="62">
        <v>2052</v>
      </c>
      <c r="I1391">
        <v>21.562999999999999</v>
      </c>
    </row>
    <row r="1392" spans="1:9">
      <c r="A1392" t="s">
        <v>104</v>
      </c>
      <c r="B1392" t="s">
        <v>105</v>
      </c>
      <c r="C1392" t="s">
        <v>80</v>
      </c>
      <c r="D1392" t="s">
        <v>92</v>
      </c>
      <c r="E1392" t="s">
        <v>110</v>
      </c>
      <c r="F1392" t="s">
        <v>1</v>
      </c>
      <c r="G1392" t="s">
        <v>109</v>
      </c>
      <c r="H1392" s="62">
        <v>2052</v>
      </c>
      <c r="I1392">
        <v>2.7923</v>
      </c>
    </row>
    <row r="1393" spans="1:9">
      <c r="A1393" t="s">
        <v>104</v>
      </c>
      <c r="B1393" t="s">
        <v>105</v>
      </c>
      <c r="C1393" t="s">
        <v>80</v>
      </c>
      <c r="D1393" t="s">
        <v>92</v>
      </c>
      <c r="E1393" t="s">
        <v>95</v>
      </c>
      <c r="F1393" t="s">
        <v>1</v>
      </c>
      <c r="G1393" t="s">
        <v>109</v>
      </c>
      <c r="H1393" s="62">
        <v>2052</v>
      </c>
      <c r="I1393">
        <v>27.450399999999998</v>
      </c>
    </row>
    <row r="1394" spans="1:9">
      <c r="A1394" t="s">
        <v>104</v>
      </c>
      <c r="B1394" t="s">
        <v>105</v>
      </c>
      <c r="C1394" t="s">
        <v>80</v>
      </c>
      <c r="D1394" t="s">
        <v>96</v>
      </c>
      <c r="E1394" t="s">
        <v>92</v>
      </c>
      <c r="F1394" t="s">
        <v>1</v>
      </c>
      <c r="G1394" t="s">
        <v>109</v>
      </c>
      <c r="H1394" s="62">
        <v>2052</v>
      </c>
      <c r="I1394">
        <v>13.356400000000001</v>
      </c>
    </row>
    <row r="1395" spans="1:9">
      <c r="A1395" t="s">
        <v>104</v>
      </c>
      <c r="B1395" t="s">
        <v>105</v>
      </c>
      <c r="C1395" t="s">
        <v>80</v>
      </c>
      <c r="D1395" t="s">
        <v>96</v>
      </c>
      <c r="E1395" t="s">
        <v>89</v>
      </c>
      <c r="F1395" t="s">
        <v>1</v>
      </c>
      <c r="G1395" t="s">
        <v>109</v>
      </c>
      <c r="H1395" s="62">
        <v>2052</v>
      </c>
      <c r="I1395">
        <v>0.71179999999999999</v>
      </c>
    </row>
    <row r="1396" spans="1:9">
      <c r="A1396" t="s">
        <v>104</v>
      </c>
      <c r="B1396" t="s">
        <v>105</v>
      </c>
      <c r="C1396" t="s">
        <v>80</v>
      </c>
      <c r="D1396" t="s">
        <v>97</v>
      </c>
      <c r="E1396" t="s">
        <v>98</v>
      </c>
      <c r="F1396" t="s">
        <v>1</v>
      </c>
      <c r="G1396" t="s">
        <v>109</v>
      </c>
      <c r="H1396" s="62">
        <v>2052</v>
      </c>
      <c r="I1396">
        <v>17.2104</v>
      </c>
    </row>
    <row r="1397" spans="1:9">
      <c r="A1397" t="s">
        <v>104</v>
      </c>
      <c r="B1397" t="s">
        <v>105</v>
      </c>
      <c r="C1397" t="s">
        <v>80</v>
      </c>
      <c r="D1397" t="s">
        <v>97</v>
      </c>
      <c r="E1397" t="s">
        <v>99</v>
      </c>
      <c r="F1397" t="s">
        <v>1</v>
      </c>
      <c r="G1397" t="s">
        <v>109</v>
      </c>
      <c r="H1397" s="62">
        <v>2052</v>
      </c>
      <c r="I1397">
        <v>0.25840000000000002</v>
      </c>
    </row>
    <row r="1398" spans="1:9">
      <c r="A1398" t="s">
        <v>104</v>
      </c>
      <c r="B1398" t="s">
        <v>105</v>
      </c>
      <c r="C1398" t="s">
        <v>80</v>
      </c>
      <c r="D1398" t="s">
        <v>100</v>
      </c>
      <c r="E1398" t="s">
        <v>101</v>
      </c>
      <c r="F1398" t="s">
        <v>1</v>
      </c>
      <c r="G1398" t="s">
        <v>109</v>
      </c>
      <c r="H1398" s="62">
        <v>2052</v>
      </c>
      <c r="I1398">
        <v>19.972300000000001</v>
      </c>
    </row>
    <row r="1399" spans="1:9">
      <c r="A1399" t="s">
        <v>104</v>
      </c>
      <c r="B1399" t="s">
        <v>105</v>
      </c>
      <c r="C1399" t="s">
        <v>80</v>
      </c>
      <c r="D1399" t="s">
        <v>100</v>
      </c>
      <c r="E1399" t="s">
        <v>102</v>
      </c>
      <c r="F1399" t="s">
        <v>1</v>
      </c>
      <c r="G1399" t="s">
        <v>109</v>
      </c>
      <c r="H1399" s="62">
        <v>2052</v>
      </c>
      <c r="I1399">
        <v>5.8334999999999999</v>
      </c>
    </row>
    <row r="1400" spans="1:9">
      <c r="A1400" t="s">
        <v>104</v>
      </c>
      <c r="B1400" t="s">
        <v>105</v>
      </c>
      <c r="C1400" t="s">
        <v>80</v>
      </c>
      <c r="D1400" t="s">
        <v>100</v>
      </c>
      <c r="E1400" t="s">
        <v>111</v>
      </c>
      <c r="F1400" t="s">
        <v>1</v>
      </c>
      <c r="G1400" t="s">
        <v>109</v>
      </c>
      <c r="H1400" s="62">
        <v>2052</v>
      </c>
      <c r="I1400">
        <v>0</v>
      </c>
    </row>
    <row r="1401" spans="1:9">
      <c r="A1401" t="s">
        <v>104</v>
      </c>
      <c r="B1401" t="s">
        <v>105</v>
      </c>
      <c r="C1401" t="s">
        <v>80</v>
      </c>
      <c r="D1401" t="s">
        <v>100</v>
      </c>
      <c r="E1401" t="s">
        <v>112</v>
      </c>
      <c r="F1401" t="s">
        <v>1</v>
      </c>
      <c r="G1401" t="s">
        <v>109</v>
      </c>
      <c r="H1401" s="62">
        <v>2052</v>
      </c>
      <c r="I1401">
        <v>0</v>
      </c>
    </row>
    <row r="1402" spans="1:9">
      <c r="A1402" t="s">
        <v>104</v>
      </c>
      <c r="B1402" t="s">
        <v>105</v>
      </c>
      <c r="C1402" t="s">
        <v>80</v>
      </c>
      <c r="D1402" t="s">
        <v>83</v>
      </c>
      <c r="E1402" t="s">
        <v>84</v>
      </c>
      <c r="F1402" t="s">
        <v>1</v>
      </c>
      <c r="G1402" t="s">
        <v>109</v>
      </c>
      <c r="H1402" s="62">
        <v>2052</v>
      </c>
      <c r="I1402">
        <v>1.9743999999999999</v>
      </c>
    </row>
    <row r="1403" spans="1:9">
      <c r="A1403" t="s">
        <v>104</v>
      </c>
      <c r="B1403" t="s">
        <v>105</v>
      </c>
      <c r="C1403" t="s">
        <v>80</v>
      </c>
      <c r="D1403" t="s">
        <v>83</v>
      </c>
      <c r="E1403" t="s">
        <v>85</v>
      </c>
      <c r="F1403" t="s">
        <v>1</v>
      </c>
      <c r="G1403" t="s">
        <v>109</v>
      </c>
      <c r="H1403" s="62">
        <v>2052</v>
      </c>
      <c r="I1403">
        <v>1.7668999999999999</v>
      </c>
    </row>
    <row r="1404" spans="1:9">
      <c r="A1404" t="s">
        <v>104</v>
      </c>
      <c r="B1404" t="s">
        <v>105</v>
      </c>
      <c r="C1404" t="s">
        <v>80</v>
      </c>
      <c r="D1404" t="s">
        <v>86</v>
      </c>
      <c r="E1404" t="s">
        <v>106</v>
      </c>
      <c r="F1404" t="s">
        <v>1</v>
      </c>
      <c r="G1404" t="s">
        <v>109</v>
      </c>
      <c r="H1404" s="62">
        <v>2052</v>
      </c>
      <c r="I1404">
        <v>1.3352999999999999</v>
      </c>
    </row>
    <row r="1405" spans="1:9">
      <c r="A1405" t="s">
        <v>104</v>
      </c>
      <c r="B1405" t="s">
        <v>105</v>
      </c>
      <c r="C1405" t="s">
        <v>80</v>
      </c>
      <c r="D1405" t="s">
        <v>86</v>
      </c>
      <c r="E1405" t="s">
        <v>87</v>
      </c>
      <c r="F1405" t="s">
        <v>1</v>
      </c>
      <c r="G1405" t="s">
        <v>109</v>
      </c>
      <c r="H1405" s="62">
        <v>2052</v>
      </c>
      <c r="I1405">
        <v>7.0237999999999996</v>
      </c>
    </row>
    <row r="1406" spans="1:9">
      <c r="A1406" t="s">
        <v>104</v>
      </c>
      <c r="B1406" t="s">
        <v>105</v>
      </c>
      <c r="C1406" t="s">
        <v>80</v>
      </c>
      <c r="D1406" t="s">
        <v>103</v>
      </c>
      <c r="E1406" t="s">
        <v>92</v>
      </c>
      <c r="F1406" t="s">
        <v>1</v>
      </c>
      <c r="G1406" t="s">
        <v>109</v>
      </c>
      <c r="H1406" s="62">
        <v>2052</v>
      </c>
      <c r="I1406">
        <v>4.7378</v>
      </c>
    </row>
    <row r="1407" spans="1:9">
      <c r="A1407" t="s">
        <v>104</v>
      </c>
      <c r="B1407" t="s">
        <v>105</v>
      </c>
      <c r="C1407" t="s">
        <v>80</v>
      </c>
      <c r="D1407" t="s">
        <v>103</v>
      </c>
      <c r="E1407" t="s">
        <v>89</v>
      </c>
      <c r="F1407" t="s">
        <v>1</v>
      </c>
      <c r="G1407" t="s">
        <v>109</v>
      </c>
      <c r="H1407" s="62">
        <v>2052</v>
      </c>
      <c r="I1407">
        <v>26.153199999999998</v>
      </c>
    </row>
    <row r="1408" spans="1:9">
      <c r="A1408" t="s">
        <v>104</v>
      </c>
      <c r="B1408" t="s">
        <v>105</v>
      </c>
      <c r="C1408" t="s">
        <v>107</v>
      </c>
      <c r="D1408" t="s">
        <v>107</v>
      </c>
      <c r="E1408" t="s">
        <v>107</v>
      </c>
      <c r="F1408" t="s">
        <v>1</v>
      </c>
      <c r="G1408" t="s">
        <v>109</v>
      </c>
      <c r="H1408" s="62">
        <v>2053</v>
      </c>
      <c r="I1408">
        <v>100.7899</v>
      </c>
    </row>
    <row r="1409" spans="1:9">
      <c r="A1409" t="s">
        <v>104</v>
      </c>
      <c r="B1409" t="s">
        <v>105</v>
      </c>
      <c r="C1409" t="s">
        <v>107</v>
      </c>
      <c r="D1409" t="s">
        <v>108</v>
      </c>
      <c r="E1409" t="s">
        <v>108</v>
      </c>
      <c r="F1409" t="s">
        <v>1</v>
      </c>
      <c r="G1409" t="s">
        <v>109</v>
      </c>
      <c r="H1409" s="62">
        <v>2053</v>
      </c>
      <c r="I1409">
        <v>0.21929999999999999</v>
      </c>
    </row>
    <row r="1410" spans="1:9">
      <c r="A1410" t="s">
        <v>104</v>
      </c>
      <c r="B1410" t="s">
        <v>105</v>
      </c>
      <c r="C1410" t="s">
        <v>80</v>
      </c>
      <c r="D1410" t="s">
        <v>80</v>
      </c>
      <c r="E1410" t="s">
        <v>80</v>
      </c>
      <c r="F1410" t="s">
        <v>1</v>
      </c>
      <c r="G1410" t="s">
        <v>109</v>
      </c>
      <c r="H1410" s="62">
        <v>2053</v>
      </c>
      <c r="I1410">
        <v>100.5706</v>
      </c>
    </row>
    <row r="1411" spans="1:9">
      <c r="A1411" t="s">
        <v>104</v>
      </c>
      <c r="B1411" t="s">
        <v>105</v>
      </c>
      <c r="C1411" t="s">
        <v>80</v>
      </c>
      <c r="D1411" t="s">
        <v>89</v>
      </c>
      <c r="E1411" t="s">
        <v>90</v>
      </c>
      <c r="F1411" t="s">
        <v>1</v>
      </c>
      <c r="G1411" t="s">
        <v>109</v>
      </c>
      <c r="H1411" s="62">
        <v>2053</v>
      </c>
      <c r="I1411">
        <v>-7.6401000000000003</v>
      </c>
    </row>
    <row r="1412" spans="1:9">
      <c r="A1412" t="s">
        <v>104</v>
      </c>
      <c r="B1412" t="s">
        <v>105</v>
      </c>
      <c r="C1412" t="s">
        <v>80</v>
      </c>
      <c r="D1412" t="s">
        <v>89</v>
      </c>
      <c r="E1412" t="s">
        <v>91</v>
      </c>
      <c r="F1412" t="s">
        <v>1</v>
      </c>
      <c r="G1412" t="s">
        <v>109</v>
      </c>
      <c r="H1412" s="62">
        <v>2053</v>
      </c>
      <c r="I1412">
        <v>1.5565</v>
      </c>
    </row>
    <row r="1413" spans="1:9">
      <c r="A1413" t="s">
        <v>104</v>
      </c>
      <c r="B1413" t="s">
        <v>105</v>
      </c>
      <c r="C1413" t="s">
        <v>80</v>
      </c>
      <c r="D1413" t="s">
        <v>92</v>
      </c>
      <c r="E1413" t="s">
        <v>93</v>
      </c>
      <c r="F1413" t="s">
        <v>1</v>
      </c>
      <c r="G1413" t="s">
        <v>109</v>
      </c>
      <c r="H1413" s="62">
        <v>2053</v>
      </c>
      <c r="I1413">
        <v>-10.2262</v>
      </c>
    </row>
    <row r="1414" spans="1:9">
      <c r="A1414" t="s">
        <v>104</v>
      </c>
      <c r="B1414" t="s">
        <v>105</v>
      </c>
      <c r="C1414" t="s">
        <v>80</v>
      </c>
      <c r="D1414" t="s">
        <v>92</v>
      </c>
      <c r="E1414" t="s">
        <v>94</v>
      </c>
      <c r="F1414" t="s">
        <v>1</v>
      </c>
      <c r="G1414" t="s">
        <v>109</v>
      </c>
      <c r="H1414" s="62">
        <v>2053</v>
      </c>
      <c r="I1414">
        <v>21.744800000000001</v>
      </c>
    </row>
    <row r="1415" spans="1:9">
      <c r="A1415" t="s">
        <v>104</v>
      </c>
      <c r="B1415" t="s">
        <v>105</v>
      </c>
      <c r="C1415" t="s">
        <v>80</v>
      </c>
      <c r="D1415" t="s">
        <v>92</v>
      </c>
      <c r="E1415" t="s">
        <v>110</v>
      </c>
      <c r="F1415" t="s">
        <v>1</v>
      </c>
      <c r="G1415" t="s">
        <v>109</v>
      </c>
      <c r="H1415" s="62">
        <v>2053</v>
      </c>
      <c r="I1415">
        <v>2.7923</v>
      </c>
    </row>
    <row r="1416" spans="1:9">
      <c r="A1416" t="s">
        <v>104</v>
      </c>
      <c r="B1416" t="s">
        <v>105</v>
      </c>
      <c r="C1416" t="s">
        <v>80</v>
      </c>
      <c r="D1416" t="s">
        <v>92</v>
      </c>
      <c r="E1416" t="s">
        <v>95</v>
      </c>
      <c r="F1416" t="s">
        <v>1</v>
      </c>
      <c r="G1416" t="s">
        <v>109</v>
      </c>
      <c r="H1416" s="62">
        <v>2053</v>
      </c>
      <c r="I1416">
        <v>28.4495</v>
      </c>
    </row>
    <row r="1417" spans="1:9">
      <c r="A1417" t="s">
        <v>104</v>
      </c>
      <c r="B1417" t="s">
        <v>105</v>
      </c>
      <c r="C1417" t="s">
        <v>80</v>
      </c>
      <c r="D1417" t="s">
        <v>96</v>
      </c>
      <c r="E1417" t="s">
        <v>92</v>
      </c>
      <c r="F1417" t="s">
        <v>1</v>
      </c>
      <c r="G1417" t="s">
        <v>109</v>
      </c>
      <c r="H1417" s="62">
        <v>2053</v>
      </c>
      <c r="I1417">
        <v>13.981199999999999</v>
      </c>
    </row>
    <row r="1418" spans="1:9">
      <c r="A1418" t="s">
        <v>104</v>
      </c>
      <c r="B1418" t="s">
        <v>105</v>
      </c>
      <c r="C1418" t="s">
        <v>80</v>
      </c>
      <c r="D1418" t="s">
        <v>96</v>
      </c>
      <c r="E1418" t="s">
        <v>89</v>
      </c>
      <c r="F1418" t="s">
        <v>1</v>
      </c>
      <c r="G1418" t="s">
        <v>109</v>
      </c>
      <c r="H1418" s="62">
        <v>2053</v>
      </c>
      <c r="I1418">
        <v>0.72419999999999995</v>
      </c>
    </row>
    <row r="1419" spans="1:9">
      <c r="A1419" t="s">
        <v>104</v>
      </c>
      <c r="B1419" t="s">
        <v>105</v>
      </c>
      <c r="C1419" t="s">
        <v>80</v>
      </c>
      <c r="D1419" t="s">
        <v>97</v>
      </c>
      <c r="E1419" t="s">
        <v>98</v>
      </c>
      <c r="F1419" t="s">
        <v>1</v>
      </c>
      <c r="G1419" t="s">
        <v>109</v>
      </c>
      <c r="H1419" s="62">
        <v>2053</v>
      </c>
      <c r="I1419">
        <v>17.982700000000001</v>
      </c>
    </row>
    <row r="1420" spans="1:9">
      <c r="A1420" t="s">
        <v>104</v>
      </c>
      <c r="B1420" t="s">
        <v>105</v>
      </c>
      <c r="C1420" t="s">
        <v>80</v>
      </c>
      <c r="D1420" t="s">
        <v>97</v>
      </c>
      <c r="E1420" t="s">
        <v>99</v>
      </c>
      <c r="F1420" t="s">
        <v>1</v>
      </c>
      <c r="G1420" t="s">
        <v>109</v>
      </c>
      <c r="H1420" s="62">
        <v>2053</v>
      </c>
      <c r="I1420">
        <v>0.26900000000000002</v>
      </c>
    </row>
    <row r="1421" spans="1:9">
      <c r="A1421" t="s">
        <v>104</v>
      </c>
      <c r="B1421" t="s">
        <v>105</v>
      </c>
      <c r="C1421" t="s">
        <v>80</v>
      </c>
      <c r="D1421" t="s">
        <v>100</v>
      </c>
      <c r="E1421" t="s">
        <v>101</v>
      </c>
      <c r="F1421" t="s">
        <v>1</v>
      </c>
      <c r="G1421" t="s">
        <v>109</v>
      </c>
      <c r="H1421" s="62">
        <v>2053</v>
      </c>
      <c r="I1421">
        <v>21.262899999999998</v>
      </c>
    </row>
    <row r="1422" spans="1:9">
      <c r="A1422" t="s">
        <v>104</v>
      </c>
      <c r="B1422" t="s">
        <v>105</v>
      </c>
      <c r="C1422" t="s">
        <v>80</v>
      </c>
      <c r="D1422" t="s">
        <v>100</v>
      </c>
      <c r="E1422" t="s">
        <v>102</v>
      </c>
      <c r="F1422" t="s">
        <v>1</v>
      </c>
      <c r="G1422" t="s">
        <v>109</v>
      </c>
      <c r="H1422" s="62">
        <v>2053</v>
      </c>
      <c r="I1422">
        <v>5.8334999999999999</v>
      </c>
    </row>
    <row r="1423" spans="1:9">
      <c r="A1423" t="s">
        <v>104</v>
      </c>
      <c r="B1423" t="s">
        <v>105</v>
      </c>
      <c r="C1423" t="s">
        <v>80</v>
      </c>
      <c r="D1423" t="s">
        <v>100</v>
      </c>
      <c r="E1423" t="s">
        <v>111</v>
      </c>
      <c r="F1423" t="s">
        <v>1</v>
      </c>
      <c r="G1423" t="s">
        <v>109</v>
      </c>
      <c r="H1423" s="62">
        <v>2053</v>
      </c>
      <c r="I1423">
        <v>0</v>
      </c>
    </row>
    <row r="1424" spans="1:9">
      <c r="A1424" t="s">
        <v>104</v>
      </c>
      <c r="B1424" t="s">
        <v>105</v>
      </c>
      <c r="C1424" t="s">
        <v>80</v>
      </c>
      <c r="D1424" t="s">
        <v>100</v>
      </c>
      <c r="E1424" t="s">
        <v>112</v>
      </c>
      <c r="F1424" t="s">
        <v>1</v>
      </c>
      <c r="G1424" t="s">
        <v>109</v>
      </c>
      <c r="H1424" s="62">
        <v>2053</v>
      </c>
      <c r="I1424">
        <v>0</v>
      </c>
    </row>
    <row r="1425" spans="1:9">
      <c r="A1425" t="s">
        <v>104</v>
      </c>
      <c r="B1425" t="s">
        <v>105</v>
      </c>
      <c r="C1425" t="s">
        <v>80</v>
      </c>
      <c r="D1425" t="s">
        <v>83</v>
      </c>
      <c r="E1425" t="s">
        <v>84</v>
      </c>
      <c r="F1425" t="s">
        <v>1</v>
      </c>
      <c r="G1425" t="s">
        <v>109</v>
      </c>
      <c r="H1425" s="62">
        <v>2053</v>
      </c>
      <c r="I1425">
        <v>2.0236999999999998</v>
      </c>
    </row>
    <row r="1426" spans="1:9">
      <c r="A1426" t="s">
        <v>104</v>
      </c>
      <c r="B1426" t="s">
        <v>105</v>
      </c>
      <c r="C1426" t="s">
        <v>80</v>
      </c>
      <c r="D1426" t="s">
        <v>83</v>
      </c>
      <c r="E1426" t="s">
        <v>85</v>
      </c>
      <c r="F1426" t="s">
        <v>1</v>
      </c>
      <c r="G1426" t="s">
        <v>109</v>
      </c>
      <c r="H1426" s="62">
        <v>2053</v>
      </c>
      <c r="I1426">
        <v>1.8166</v>
      </c>
    </row>
    <row r="1427" spans="1:9">
      <c r="A1427" t="s">
        <v>104</v>
      </c>
      <c r="B1427" t="s">
        <v>105</v>
      </c>
      <c r="C1427" t="s">
        <v>80</v>
      </c>
      <c r="D1427" t="s">
        <v>86</v>
      </c>
      <c r="E1427" t="s">
        <v>106</v>
      </c>
      <c r="F1427" t="s">
        <v>1</v>
      </c>
      <c r="G1427" t="s">
        <v>109</v>
      </c>
      <c r="H1427" s="62">
        <v>2053</v>
      </c>
      <c r="I1427">
        <v>1.3459000000000001</v>
      </c>
    </row>
    <row r="1428" spans="1:9">
      <c r="A1428" t="s">
        <v>104</v>
      </c>
      <c r="B1428" t="s">
        <v>105</v>
      </c>
      <c r="C1428" t="s">
        <v>80</v>
      </c>
      <c r="D1428" t="s">
        <v>86</v>
      </c>
      <c r="E1428" t="s">
        <v>87</v>
      </c>
      <c r="F1428" t="s">
        <v>1</v>
      </c>
      <c r="G1428" t="s">
        <v>109</v>
      </c>
      <c r="H1428" s="62">
        <v>2053</v>
      </c>
      <c r="I1428">
        <v>7.3236999999999997</v>
      </c>
    </row>
    <row r="1429" spans="1:9">
      <c r="A1429" t="s">
        <v>104</v>
      </c>
      <c r="B1429" t="s">
        <v>105</v>
      </c>
      <c r="C1429" t="s">
        <v>80</v>
      </c>
      <c r="D1429" t="s">
        <v>103</v>
      </c>
      <c r="E1429" t="s">
        <v>92</v>
      </c>
      <c r="F1429" t="s">
        <v>1</v>
      </c>
      <c r="G1429" t="s">
        <v>109</v>
      </c>
      <c r="H1429" s="62">
        <v>2053</v>
      </c>
      <c r="I1429">
        <v>4.8794000000000004</v>
      </c>
    </row>
    <row r="1430" spans="1:9">
      <c r="A1430" t="s">
        <v>104</v>
      </c>
      <c r="B1430" t="s">
        <v>105</v>
      </c>
      <c r="C1430" t="s">
        <v>80</v>
      </c>
      <c r="D1430" t="s">
        <v>103</v>
      </c>
      <c r="E1430" t="s">
        <v>89</v>
      </c>
      <c r="F1430" t="s">
        <v>1</v>
      </c>
      <c r="G1430" t="s">
        <v>109</v>
      </c>
      <c r="H1430" s="62">
        <v>2053</v>
      </c>
      <c r="I1430">
        <v>26.7483</v>
      </c>
    </row>
    <row r="1431" spans="1:9">
      <c r="A1431" t="s">
        <v>104</v>
      </c>
      <c r="B1431" t="s">
        <v>105</v>
      </c>
      <c r="C1431" t="s">
        <v>107</v>
      </c>
      <c r="D1431" t="s">
        <v>107</v>
      </c>
      <c r="E1431" t="s">
        <v>107</v>
      </c>
      <c r="F1431" t="s">
        <v>1</v>
      </c>
      <c r="G1431" t="s">
        <v>109</v>
      </c>
      <c r="H1431" s="62">
        <v>2054</v>
      </c>
      <c r="I1431">
        <v>102.7333</v>
      </c>
    </row>
    <row r="1432" spans="1:9">
      <c r="A1432" t="s">
        <v>104</v>
      </c>
      <c r="B1432" t="s">
        <v>105</v>
      </c>
      <c r="C1432" t="s">
        <v>107</v>
      </c>
      <c r="D1432" t="s">
        <v>108</v>
      </c>
      <c r="E1432" t="s">
        <v>108</v>
      </c>
      <c r="F1432" t="s">
        <v>1</v>
      </c>
      <c r="G1432" t="s">
        <v>109</v>
      </c>
      <c r="H1432" s="62">
        <v>2054</v>
      </c>
      <c r="I1432">
        <v>0.22509999999999999</v>
      </c>
    </row>
    <row r="1433" spans="1:9">
      <c r="A1433" t="s">
        <v>104</v>
      </c>
      <c r="B1433" t="s">
        <v>105</v>
      </c>
      <c r="C1433" t="s">
        <v>80</v>
      </c>
      <c r="D1433" t="s">
        <v>80</v>
      </c>
      <c r="E1433" t="s">
        <v>80</v>
      </c>
      <c r="F1433" t="s">
        <v>1</v>
      </c>
      <c r="G1433" t="s">
        <v>109</v>
      </c>
      <c r="H1433" s="62">
        <v>2054</v>
      </c>
      <c r="I1433">
        <v>102.5082</v>
      </c>
    </row>
    <row r="1434" spans="1:9">
      <c r="A1434" t="s">
        <v>104</v>
      </c>
      <c r="B1434" t="s">
        <v>105</v>
      </c>
      <c r="C1434" t="s">
        <v>80</v>
      </c>
      <c r="D1434" t="s">
        <v>89</v>
      </c>
      <c r="E1434" t="s">
        <v>90</v>
      </c>
      <c r="F1434" t="s">
        <v>1</v>
      </c>
      <c r="G1434" t="s">
        <v>109</v>
      </c>
      <c r="H1434" s="62">
        <v>2054</v>
      </c>
      <c r="I1434">
        <v>-8.1122999999999994</v>
      </c>
    </row>
    <row r="1435" spans="1:9">
      <c r="A1435" t="s">
        <v>104</v>
      </c>
      <c r="B1435" t="s">
        <v>105</v>
      </c>
      <c r="C1435" t="s">
        <v>80</v>
      </c>
      <c r="D1435" t="s">
        <v>89</v>
      </c>
      <c r="E1435" t="s">
        <v>91</v>
      </c>
      <c r="F1435" t="s">
        <v>1</v>
      </c>
      <c r="G1435" t="s">
        <v>109</v>
      </c>
      <c r="H1435" s="62">
        <v>2054</v>
      </c>
      <c r="I1435">
        <v>1.6868000000000001</v>
      </c>
    </row>
    <row r="1436" spans="1:9">
      <c r="A1436" t="s">
        <v>104</v>
      </c>
      <c r="B1436" t="s">
        <v>105</v>
      </c>
      <c r="C1436" t="s">
        <v>80</v>
      </c>
      <c r="D1436" t="s">
        <v>92</v>
      </c>
      <c r="E1436" t="s">
        <v>93</v>
      </c>
      <c r="F1436" t="s">
        <v>1</v>
      </c>
      <c r="G1436" t="s">
        <v>109</v>
      </c>
      <c r="H1436" s="62">
        <v>2054</v>
      </c>
      <c r="I1436">
        <v>-10.692</v>
      </c>
    </row>
    <row r="1437" spans="1:9">
      <c r="A1437" t="s">
        <v>104</v>
      </c>
      <c r="B1437" t="s">
        <v>105</v>
      </c>
      <c r="C1437" t="s">
        <v>80</v>
      </c>
      <c r="D1437" t="s">
        <v>92</v>
      </c>
      <c r="E1437" t="s">
        <v>94</v>
      </c>
      <c r="F1437" t="s">
        <v>1</v>
      </c>
      <c r="G1437" t="s">
        <v>109</v>
      </c>
      <c r="H1437" s="62">
        <v>2054</v>
      </c>
      <c r="I1437">
        <v>21.923999999999999</v>
      </c>
    </row>
    <row r="1438" spans="1:9">
      <c r="A1438" t="s">
        <v>104</v>
      </c>
      <c r="B1438" t="s">
        <v>105</v>
      </c>
      <c r="C1438" t="s">
        <v>80</v>
      </c>
      <c r="D1438" t="s">
        <v>92</v>
      </c>
      <c r="E1438" t="s">
        <v>110</v>
      </c>
      <c r="F1438" t="s">
        <v>1</v>
      </c>
      <c r="G1438" t="s">
        <v>109</v>
      </c>
      <c r="H1438" s="62">
        <v>2054</v>
      </c>
      <c r="I1438">
        <v>2.7923</v>
      </c>
    </row>
    <row r="1439" spans="1:9">
      <c r="A1439" t="s">
        <v>104</v>
      </c>
      <c r="B1439" t="s">
        <v>105</v>
      </c>
      <c r="C1439" t="s">
        <v>80</v>
      </c>
      <c r="D1439" t="s">
        <v>92</v>
      </c>
      <c r="E1439" t="s">
        <v>95</v>
      </c>
      <c r="F1439" t="s">
        <v>1</v>
      </c>
      <c r="G1439" t="s">
        <v>109</v>
      </c>
      <c r="H1439" s="62">
        <v>2054</v>
      </c>
      <c r="I1439">
        <v>29.496099999999998</v>
      </c>
    </row>
    <row r="1440" spans="1:9">
      <c r="A1440" t="s">
        <v>104</v>
      </c>
      <c r="B1440" t="s">
        <v>105</v>
      </c>
      <c r="C1440" t="s">
        <v>80</v>
      </c>
      <c r="D1440" t="s">
        <v>96</v>
      </c>
      <c r="E1440" t="s">
        <v>92</v>
      </c>
      <c r="F1440" t="s">
        <v>1</v>
      </c>
      <c r="G1440" t="s">
        <v>109</v>
      </c>
      <c r="H1440" s="62">
        <v>2054</v>
      </c>
      <c r="I1440">
        <v>14.549200000000001</v>
      </c>
    </row>
    <row r="1441" spans="1:9">
      <c r="A1441" t="s">
        <v>104</v>
      </c>
      <c r="B1441" t="s">
        <v>105</v>
      </c>
      <c r="C1441" t="s">
        <v>80</v>
      </c>
      <c r="D1441" t="s">
        <v>96</v>
      </c>
      <c r="E1441" t="s">
        <v>89</v>
      </c>
      <c r="F1441" t="s">
        <v>1</v>
      </c>
      <c r="G1441" t="s">
        <v>109</v>
      </c>
      <c r="H1441" s="62">
        <v>2054</v>
      </c>
      <c r="I1441">
        <v>0.73619999999999997</v>
      </c>
    </row>
    <row r="1442" spans="1:9">
      <c r="A1442" t="s">
        <v>104</v>
      </c>
      <c r="B1442" t="s">
        <v>105</v>
      </c>
      <c r="C1442" t="s">
        <v>80</v>
      </c>
      <c r="D1442" t="s">
        <v>97</v>
      </c>
      <c r="E1442" t="s">
        <v>98</v>
      </c>
      <c r="F1442" t="s">
        <v>1</v>
      </c>
      <c r="G1442" t="s">
        <v>109</v>
      </c>
      <c r="H1442" s="62">
        <v>2054</v>
      </c>
      <c r="I1442">
        <v>18.812000000000001</v>
      </c>
    </row>
    <row r="1443" spans="1:9">
      <c r="A1443" t="s">
        <v>104</v>
      </c>
      <c r="B1443" t="s">
        <v>105</v>
      </c>
      <c r="C1443" t="s">
        <v>80</v>
      </c>
      <c r="D1443" t="s">
        <v>97</v>
      </c>
      <c r="E1443" t="s">
        <v>99</v>
      </c>
      <c r="F1443" t="s">
        <v>1</v>
      </c>
      <c r="G1443" t="s">
        <v>109</v>
      </c>
      <c r="H1443" s="62">
        <v>2054</v>
      </c>
      <c r="I1443">
        <v>0.28039999999999998</v>
      </c>
    </row>
    <row r="1444" spans="1:9">
      <c r="A1444" t="s">
        <v>104</v>
      </c>
      <c r="B1444" t="s">
        <v>105</v>
      </c>
      <c r="C1444" t="s">
        <v>80</v>
      </c>
      <c r="D1444" t="s">
        <v>100</v>
      </c>
      <c r="E1444" t="s">
        <v>101</v>
      </c>
      <c r="F1444" t="s">
        <v>1</v>
      </c>
      <c r="G1444" t="s">
        <v>109</v>
      </c>
      <c r="H1444" s="62">
        <v>2054</v>
      </c>
      <c r="I1444">
        <v>21.262899999999998</v>
      </c>
    </row>
    <row r="1445" spans="1:9">
      <c r="A1445" t="s">
        <v>104</v>
      </c>
      <c r="B1445" t="s">
        <v>105</v>
      </c>
      <c r="C1445" t="s">
        <v>80</v>
      </c>
      <c r="D1445" t="s">
        <v>100</v>
      </c>
      <c r="E1445" t="s">
        <v>102</v>
      </c>
      <c r="F1445" t="s">
        <v>1</v>
      </c>
      <c r="G1445" t="s">
        <v>109</v>
      </c>
      <c r="H1445" s="62">
        <v>2054</v>
      </c>
      <c r="I1445">
        <v>5.8334999999999999</v>
      </c>
    </row>
    <row r="1446" spans="1:9">
      <c r="A1446" t="s">
        <v>104</v>
      </c>
      <c r="B1446" t="s">
        <v>105</v>
      </c>
      <c r="C1446" t="s">
        <v>80</v>
      </c>
      <c r="D1446" t="s">
        <v>100</v>
      </c>
      <c r="E1446" t="s">
        <v>111</v>
      </c>
      <c r="F1446" t="s">
        <v>1</v>
      </c>
      <c r="G1446" t="s">
        <v>109</v>
      </c>
      <c r="H1446" s="62">
        <v>2054</v>
      </c>
      <c r="I1446">
        <v>0</v>
      </c>
    </row>
    <row r="1447" spans="1:9">
      <c r="A1447" t="s">
        <v>104</v>
      </c>
      <c r="B1447" t="s">
        <v>105</v>
      </c>
      <c r="C1447" t="s">
        <v>80</v>
      </c>
      <c r="D1447" t="s">
        <v>100</v>
      </c>
      <c r="E1447" t="s">
        <v>112</v>
      </c>
      <c r="F1447" t="s">
        <v>1</v>
      </c>
      <c r="G1447" t="s">
        <v>109</v>
      </c>
      <c r="H1447" s="62">
        <v>2054</v>
      </c>
      <c r="I1447">
        <v>0</v>
      </c>
    </row>
    <row r="1448" spans="1:9">
      <c r="A1448" t="s">
        <v>104</v>
      </c>
      <c r="B1448" t="s">
        <v>105</v>
      </c>
      <c r="C1448" t="s">
        <v>80</v>
      </c>
      <c r="D1448" t="s">
        <v>83</v>
      </c>
      <c r="E1448" t="s">
        <v>84</v>
      </c>
      <c r="F1448" t="s">
        <v>1</v>
      </c>
      <c r="G1448" t="s">
        <v>109</v>
      </c>
      <c r="H1448" s="62">
        <v>2054</v>
      </c>
      <c r="I1448">
        <v>2.0720999999999998</v>
      </c>
    </row>
    <row r="1449" spans="1:9">
      <c r="A1449" t="s">
        <v>104</v>
      </c>
      <c r="B1449" t="s">
        <v>105</v>
      </c>
      <c r="C1449" t="s">
        <v>80</v>
      </c>
      <c r="D1449" t="s">
        <v>83</v>
      </c>
      <c r="E1449" t="s">
        <v>85</v>
      </c>
      <c r="F1449" t="s">
        <v>1</v>
      </c>
      <c r="G1449" t="s">
        <v>109</v>
      </c>
      <c r="H1449" s="62">
        <v>2054</v>
      </c>
      <c r="I1449">
        <v>1.8671</v>
      </c>
    </row>
    <row r="1450" spans="1:9">
      <c r="A1450" t="s">
        <v>104</v>
      </c>
      <c r="B1450" t="s">
        <v>105</v>
      </c>
      <c r="C1450" t="s">
        <v>80</v>
      </c>
      <c r="D1450" t="s">
        <v>86</v>
      </c>
      <c r="E1450" t="s">
        <v>106</v>
      </c>
      <c r="F1450" t="s">
        <v>1</v>
      </c>
      <c r="G1450" t="s">
        <v>109</v>
      </c>
      <c r="H1450" s="62">
        <v>2054</v>
      </c>
      <c r="I1450">
        <v>1.3603000000000001</v>
      </c>
    </row>
    <row r="1451" spans="1:9">
      <c r="A1451" t="s">
        <v>104</v>
      </c>
      <c r="B1451" t="s">
        <v>105</v>
      </c>
      <c r="C1451" t="s">
        <v>80</v>
      </c>
      <c r="D1451" t="s">
        <v>86</v>
      </c>
      <c r="E1451" t="s">
        <v>87</v>
      </c>
      <c r="F1451" t="s">
        <v>1</v>
      </c>
      <c r="G1451" t="s">
        <v>109</v>
      </c>
      <c r="H1451" s="62">
        <v>2054</v>
      </c>
      <c r="I1451">
        <v>7.6448999999999998</v>
      </c>
    </row>
    <row r="1452" spans="1:9">
      <c r="A1452" t="s">
        <v>104</v>
      </c>
      <c r="B1452" t="s">
        <v>105</v>
      </c>
      <c r="C1452" t="s">
        <v>80</v>
      </c>
      <c r="D1452" t="s">
        <v>103</v>
      </c>
      <c r="E1452" t="s">
        <v>92</v>
      </c>
      <c r="F1452" t="s">
        <v>1</v>
      </c>
      <c r="G1452" t="s">
        <v>109</v>
      </c>
      <c r="H1452" s="62">
        <v>2054</v>
      </c>
      <c r="I1452">
        <v>5.0289999999999999</v>
      </c>
    </row>
    <row r="1453" spans="1:9">
      <c r="A1453" t="s">
        <v>104</v>
      </c>
      <c r="B1453" t="s">
        <v>105</v>
      </c>
      <c r="C1453" t="s">
        <v>80</v>
      </c>
      <c r="D1453" t="s">
        <v>103</v>
      </c>
      <c r="E1453" t="s">
        <v>89</v>
      </c>
      <c r="F1453" t="s">
        <v>1</v>
      </c>
      <c r="G1453" t="s">
        <v>109</v>
      </c>
      <c r="H1453" s="62">
        <v>2054</v>
      </c>
      <c r="I1453">
        <v>27.385200000000001</v>
      </c>
    </row>
    <row r="1454" spans="1:9">
      <c r="A1454" t="s">
        <v>104</v>
      </c>
      <c r="B1454" t="s">
        <v>105</v>
      </c>
      <c r="C1454" t="s">
        <v>107</v>
      </c>
      <c r="D1454" t="s">
        <v>108</v>
      </c>
      <c r="E1454" t="s">
        <v>108</v>
      </c>
      <c r="F1454" t="s">
        <v>5</v>
      </c>
      <c r="G1454" t="s">
        <v>82</v>
      </c>
      <c r="H1454" s="62">
        <v>2019</v>
      </c>
      <c r="I1454">
        <v>0.2044</v>
      </c>
    </row>
    <row r="1455" spans="1:9">
      <c r="A1455" t="s">
        <v>104</v>
      </c>
      <c r="B1455" t="s">
        <v>105</v>
      </c>
      <c r="C1455" t="s">
        <v>80</v>
      </c>
      <c r="D1455" t="s">
        <v>80</v>
      </c>
      <c r="E1455" t="s">
        <v>80</v>
      </c>
      <c r="F1455" t="s">
        <v>5</v>
      </c>
      <c r="G1455" t="s">
        <v>82</v>
      </c>
      <c r="H1455" s="62">
        <v>2019</v>
      </c>
      <c r="I1455">
        <v>12.236499999999999</v>
      </c>
    </row>
    <row r="1456" spans="1:9">
      <c r="A1456" t="s">
        <v>104</v>
      </c>
      <c r="B1456" t="s">
        <v>105</v>
      </c>
      <c r="C1456" t="s">
        <v>80</v>
      </c>
      <c r="D1456" t="s">
        <v>83</v>
      </c>
      <c r="E1456" t="s">
        <v>84</v>
      </c>
      <c r="F1456" t="s">
        <v>5</v>
      </c>
      <c r="G1456" t="s">
        <v>82</v>
      </c>
      <c r="H1456" s="62">
        <v>2019</v>
      </c>
      <c r="I1456">
        <v>0.63839999999999997</v>
      </c>
    </row>
    <row r="1457" spans="1:9">
      <c r="A1457" t="s">
        <v>104</v>
      </c>
      <c r="B1457" t="s">
        <v>105</v>
      </c>
      <c r="C1457" t="s">
        <v>80</v>
      </c>
      <c r="D1457" t="s">
        <v>83</v>
      </c>
      <c r="E1457" t="s">
        <v>85</v>
      </c>
      <c r="F1457" t="s">
        <v>5</v>
      </c>
      <c r="G1457" t="s">
        <v>82</v>
      </c>
      <c r="H1457" s="62">
        <v>2019</v>
      </c>
      <c r="I1457">
        <v>0.34139999999999998</v>
      </c>
    </row>
    <row r="1458" spans="1:9">
      <c r="A1458" t="s">
        <v>104</v>
      </c>
      <c r="B1458" t="s">
        <v>105</v>
      </c>
      <c r="C1458" t="s">
        <v>80</v>
      </c>
      <c r="D1458" t="s">
        <v>86</v>
      </c>
      <c r="E1458" t="s">
        <v>106</v>
      </c>
      <c r="F1458" t="s">
        <v>5</v>
      </c>
      <c r="G1458" t="s">
        <v>82</v>
      </c>
      <c r="H1458" s="62">
        <v>2019</v>
      </c>
      <c r="I1458">
        <v>6.5299999999999997E-2</v>
      </c>
    </row>
    <row r="1459" spans="1:9">
      <c r="A1459" t="s">
        <v>104</v>
      </c>
      <c r="B1459" t="s">
        <v>105</v>
      </c>
      <c r="C1459" t="s">
        <v>80</v>
      </c>
      <c r="D1459" t="s">
        <v>86</v>
      </c>
      <c r="E1459" t="s">
        <v>87</v>
      </c>
      <c r="F1459" t="s">
        <v>5</v>
      </c>
      <c r="G1459" t="s">
        <v>82</v>
      </c>
      <c r="H1459" s="62">
        <v>2019</v>
      </c>
      <c r="I1459">
        <v>8.3500000000000005E-2</v>
      </c>
    </row>
    <row r="1460" spans="1:9">
      <c r="A1460" t="s">
        <v>104</v>
      </c>
      <c r="B1460" t="s">
        <v>105</v>
      </c>
      <c r="C1460" t="s">
        <v>107</v>
      </c>
      <c r="D1460" t="s">
        <v>108</v>
      </c>
      <c r="E1460" t="s">
        <v>108</v>
      </c>
      <c r="F1460" t="s">
        <v>5</v>
      </c>
      <c r="G1460" t="s">
        <v>82</v>
      </c>
      <c r="H1460" s="62">
        <v>2020</v>
      </c>
      <c r="I1460">
        <v>0.17960000000000001</v>
      </c>
    </row>
    <row r="1461" spans="1:9">
      <c r="A1461" t="s">
        <v>104</v>
      </c>
      <c r="B1461" t="s">
        <v>105</v>
      </c>
      <c r="C1461" t="s">
        <v>80</v>
      </c>
      <c r="D1461" t="s">
        <v>80</v>
      </c>
      <c r="E1461" t="s">
        <v>80</v>
      </c>
      <c r="F1461" t="s">
        <v>5</v>
      </c>
      <c r="G1461" t="s">
        <v>82</v>
      </c>
      <c r="H1461" s="62">
        <v>2020</v>
      </c>
      <c r="I1461">
        <v>11.963800000000001</v>
      </c>
    </row>
    <row r="1462" spans="1:9">
      <c r="A1462" t="s">
        <v>104</v>
      </c>
      <c r="B1462" t="s">
        <v>105</v>
      </c>
      <c r="C1462" t="s">
        <v>80</v>
      </c>
      <c r="D1462" t="s">
        <v>83</v>
      </c>
      <c r="E1462" t="s">
        <v>84</v>
      </c>
      <c r="F1462" t="s">
        <v>5</v>
      </c>
      <c r="G1462" t="s">
        <v>82</v>
      </c>
      <c r="H1462" s="62">
        <v>2020</v>
      </c>
      <c r="I1462">
        <v>0.7026</v>
      </c>
    </row>
    <row r="1463" spans="1:9">
      <c r="A1463" t="s">
        <v>104</v>
      </c>
      <c r="B1463" t="s">
        <v>105</v>
      </c>
      <c r="C1463" t="s">
        <v>80</v>
      </c>
      <c r="D1463" t="s">
        <v>83</v>
      </c>
      <c r="E1463" t="s">
        <v>85</v>
      </c>
      <c r="F1463" t="s">
        <v>5</v>
      </c>
      <c r="G1463" t="s">
        <v>82</v>
      </c>
      <c r="H1463" s="62">
        <v>2020</v>
      </c>
      <c r="I1463">
        <v>0.3135</v>
      </c>
    </row>
    <row r="1464" spans="1:9">
      <c r="A1464" t="s">
        <v>104</v>
      </c>
      <c r="B1464" t="s">
        <v>105</v>
      </c>
      <c r="C1464" t="s">
        <v>80</v>
      </c>
      <c r="D1464" t="s">
        <v>86</v>
      </c>
      <c r="E1464" t="s">
        <v>106</v>
      </c>
      <c r="F1464" t="s">
        <v>5</v>
      </c>
      <c r="G1464" t="s">
        <v>82</v>
      </c>
      <c r="H1464" s="62">
        <v>2020</v>
      </c>
      <c r="I1464">
        <v>6.6500000000000004E-2</v>
      </c>
    </row>
    <row r="1465" spans="1:9">
      <c r="A1465" t="s">
        <v>104</v>
      </c>
      <c r="B1465" t="s">
        <v>105</v>
      </c>
      <c r="C1465" t="s">
        <v>80</v>
      </c>
      <c r="D1465" t="s">
        <v>86</v>
      </c>
      <c r="E1465" t="s">
        <v>87</v>
      </c>
      <c r="F1465" t="s">
        <v>5</v>
      </c>
      <c r="G1465" t="s">
        <v>82</v>
      </c>
      <c r="H1465" s="62">
        <v>2020</v>
      </c>
      <c r="I1465">
        <v>0.2094</v>
      </c>
    </row>
    <row r="1466" spans="1:9">
      <c r="A1466" t="s">
        <v>104</v>
      </c>
      <c r="B1466" t="s">
        <v>105</v>
      </c>
      <c r="C1466" t="s">
        <v>107</v>
      </c>
      <c r="D1466" t="s">
        <v>108</v>
      </c>
      <c r="E1466" t="s">
        <v>108</v>
      </c>
      <c r="F1466" t="s">
        <v>5</v>
      </c>
      <c r="G1466" t="s">
        <v>82</v>
      </c>
      <c r="H1466" s="62">
        <v>2021</v>
      </c>
      <c r="I1466">
        <v>0.14219999999999999</v>
      </c>
    </row>
    <row r="1467" spans="1:9">
      <c r="A1467" t="s">
        <v>104</v>
      </c>
      <c r="B1467" t="s">
        <v>105</v>
      </c>
      <c r="C1467" t="s">
        <v>80</v>
      </c>
      <c r="D1467" t="s">
        <v>80</v>
      </c>
      <c r="E1467" t="s">
        <v>80</v>
      </c>
      <c r="F1467" t="s">
        <v>5</v>
      </c>
      <c r="G1467" t="s">
        <v>82</v>
      </c>
      <c r="H1467" s="62">
        <v>2021</v>
      </c>
      <c r="I1467">
        <v>11.616199999999999</v>
      </c>
    </row>
    <row r="1468" spans="1:9">
      <c r="A1468" t="s">
        <v>104</v>
      </c>
      <c r="B1468" t="s">
        <v>105</v>
      </c>
      <c r="C1468" t="s">
        <v>80</v>
      </c>
      <c r="D1468" t="s">
        <v>83</v>
      </c>
      <c r="E1468" t="s">
        <v>84</v>
      </c>
      <c r="F1468" t="s">
        <v>5</v>
      </c>
      <c r="G1468" t="s">
        <v>82</v>
      </c>
      <c r="H1468" s="62">
        <v>2021</v>
      </c>
      <c r="I1468">
        <v>0.54530000000000001</v>
      </c>
    </row>
    <row r="1469" spans="1:9">
      <c r="A1469" t="s">
        <v>104</v>
      </c>
      <c r="B1469" t="s">
        <v>105</v>
      </c>
      <c r="C1469" t="s">
        <v>80</v>
      </c>
      <c r="D1469" t="s">
        <v>83</v>
      </c>
      <c r="E1469" t="s">
        <v>85</v>
      </c>
      <c r="F1469" t="s">
        <v>5</v>
      </c>
      <c r="G1469" t="s">
        <v>82</v>
      </c>
      <c r="H1469" s="62">
        <v>2021</v>
      </c>
      <c r="I1469">
        <v>0.38450000000000001</v>
      </c>
    </row>
    <row r="1470" spans="1:9">
      <c r="A1470" t="s">
        <v>104</v>
      </c>
      <c r="B1470" t="s">
        <v>105</v>
      </c>
      <c r="C1470" t="s">
        <v>80</v>
      </c>
      <c r="D1470" t="s">
        <v>86</v>
      </c>
      <c r="E1470" t="s">
        <v>106</v>
      </c>
      <c r="F1470" t="s">
        <v>5</v>
      </c>
      <c r="G1470" t="s">
        <v>82</v>
      </c>
      <c r="H1470" s="62">
        <v>2021</v>
      </c>
      <c r="I1470">
        <v>6.8500000000000005E-2</v>
      </c>
    </row>
    <row r="1471" spans="1:9">
      <c r="A1471" t="s">
        <v>104</v>
      </c>
      <c r="B1471" t="s">
        <v>105</v>
      </c>
      <c r="C1471" t="s">
        <v>80</v>
      </c>
      <c r="D1471" t="s">
        <v>86</v>
      </c>
      <c r="E1471" t="s">
        <v>87</v>
      </c>
      <c r="F1471" t="s">
        <v>5</v>
      </c>
      <c r="G1471" t="s">
        <v>82</v>
      </c>
      <c r="H1471" s="62">
        <v>2021</v>
      </c>
      <c r="I1471">
        <v>0.27450000000000002</v>
      </c>
    </row>
    <row r="1472" spans="1:9">
      <c r="A1472" t="s">
        <v>104</v>
      </c>
      <c r="B1472" t="s">
        <v>105</v>
      </c>
      <c r="C1472" t="s">
        <v>107</v>
      </c>
      <c r="D1472" t="s">
        <v>108</v>
      </c>
      <c r="E1472" t="s">
        <v>108</v>
      </c>
      <c r="F1472" t="s">
        <v>5</v>
      </c>
      <c r="G1472" t="s">
        <v>82</v>
      </c>
      <c r="H1472" s="62">
        <v>2022</v>
      </c>
      <c r="I1472">
        <v>0.1113</v>
      </c>
    </row>
    <row r="1473" spans="1:9">
      <c r="A1473" t="s">
        <v>104</v>
      </c>
      <c r="B1473" t="s">
        <v>105</v>
      </c>
      <c r="C1473" t="s">
        <v>80</v>
      </c>
      <c r="D1473" t="s">
        <v>80</v>
      </c>
      <c r="E1473" t="s">
        <v>80</v>
      </c>
      <c r="F1473" t="s">
        <v>5</v>
      </c>
      <c r="G1473" t="s">
        <v>82</v>
      </c>
      <c r="H1473" s="62">
        <v>2022</v>
      </c>
      <c r="I1473">
        <v>11.447699999999999</v>
      </c>
    </row>
    <row r="1474" spans="1:9">
      <c r="A1474" t="s">
        <v>104</v>
      </c>
      <c r="B1474" t="s">
        <v>105</v>
      </c>
      <c r="C1474" t="s">
        <v>80</v>
      </c>
      <c r="D1474" t="s">
        <v>83</v>
      </c>
      <c r="E1474" t="s">
        <v>84</v>
      </c>
      <c r="F1474" t="s">
        <v>5</v>
      </c>
      <c r="G1474" t="s">
        <v>82</v>
      </c>
      <c r="H1474" s="62">
        <v>2022</v>
      </c>
      <c r="I1474">
        <v>0.62039999999999995</v>
      </c>
    </row>
    <row r="1475" spans="1:9">
      <c r="A1475" t="s">
        <v>104</v>
      </c>
      <c r="B1475" t="s">
        <v>105</v>
      </c>
      <c r="C1475" t="s">
        <v>80</v>
      </c>
      <c r="D1475" t="s">
        <v>83</v>
      </c>
      <c r="E1475" t="s">
        <v>85</v>
      </c>
      <c r="F1475" t="s">
        <v>5</v>
      </c>
      <c r="G1475" t="s">
        <v>82</v>
      </c>
      <c r="H1475" s="62">
        <v>2022</v>
      </c>
      <c r="I1475">
        <v>0.40870000000000001</v>
      </c>
    </row>
    <row r="1476" spans="1:9">
      <c r="A1476" t="s">
        <v>104</v>
      </c>
      <c r="B1476" t="s">
        <v>105</v>
      </c>
      <c r="C1476" t="s">
        <v>80</v>
      </c>
      <c r="D1476" t="s">
        <v>86</v>
      </c>
      <c r="E1476" t="s">
        <v>106</v>
      </c>
      <c r="F1476" t="s">
        <v>5</v>
      </c>
      <c r="G1476" t="s">
        <v>82</v>
      </c>
      <c r="H1476" s="62">
        <v>2022</v>
      </c>
      <c r="I1476">
        <v>7.5999999999999998E-2</v>
      </c>
    </row>
    <row r="1477" spans="1:9">
      <c r="A1477" t="s">
        <v>104</v>
      </c>
      <c r="B1477" t="s">
        <v>105</v>
      </c>
      <c r="C1477" t="s">
        <v>80</v>
      </c>
      <c r="D1477" t="s">
        <v>86</v>
      </c>
      <c r="E1477" t="s">
        <v>87</v>
      </c>
      <c r="F1477" t="s">
        <v>5</v>
      </c>
      <c r="G1477" t="s">
        <v>82</v>
      </c>
      <c r="H1477" s="62">
        <v>2022</v>
      </c>
      <c r="I1477">
        <v>0.3715</v>
      </c>
    </row>
    <row r="1478" spans="1:9">
      <c r="A1478" t="s">
        <v>104</v>
      </c>
      <c r="B1478" t="s">
        <v>105</v>
      </c>
      <c r="C1478" t="s">
        <v>107</v>
      </c>
      <c r="D1478" t="s">
        <v>108</v>
      </c>
      <c r="E1478" t="s">
        <v>108</v>
      </c>
      <c r="F1478" t="s">
        <v>5</v>
      </c>
      <c r="G1478" t="s">
        <v>82</v>
      </c>
      <c r="H1478" s="62">
        <v>2023</v>
      </c>
      <c r="I1478">
        <v>7.8399999999999997E-2</v>
      </c>
    </row>
    <row r="1479" spans="1:9">
      <c r="A1479" t="s">
        <v>104</v>
      </c>
      <c r="B1479" t="s">
        <v>105</v>
      </c>
      <c r="C1479" t="s">
        <v>80</v>
      </c>
      <c r="D1479" t="s">
        <v>80</v>
      </c>
      <c r="E1479" t="s">
        <v>80</v>
      </c>
      <c r="F1479" t="s">
        <v>5</v>
      </c>
      <c r="G1479" t="s">
        <v>82</v>
      </c>
      <c r="H1479" s="62">
        <v>2023</v>
      </c>
      <c r="I1479">
        <v>11.506500000000001</v>
      </c>
    </row>
    <row r="1480" spans="1:9">
      <c r="A1480" t="s">
        <v>104</v>
      </c>
      <c r="B1480" t="s">
        <v>105</v>
      </c>
      <c r="C1480" t="s">
        <v>80</v>
      </c>
      <c r="D1480" t="s">
        <v>83</v>
      </c>
      <c r="E1480" t="s">
        <v>84</v>
      </c>
      <c r="F1480" t="s">
        <v>5</v>
      </c>
      <c r="G1480" t="s">
        <v>82</v>
      </c>
      <c r="H1480" s="62">
        <v>2023</v>
      </c>
      <c r="I1480">
        <v>0.51400000000000001</v>
      </c>
    </row>
    <row r="1481" spans="1:9">
      <c r="A1481" t="s">
        <v>104</v>
      </c>
      <c r="B1481" t="s">
        <v>105</v>
      </c>
      <c r="C1481" t="s">
        <v>80</v>
      </c>
      <c r="D1481" t="s">
        <v>83</v>
      </c>
      <c r="E1481" t="s">
        <v>85</v>
      </c>
      <c r="F1481" t="s">
        <v>5</v>
      </c>
      <c r="G1481" t="s">
        <v>82</v>
      </c>
      <c r="H1481" s="62">
        <v>2023</v>
      </c>
      <c r="I1481">
        <v>0.4108</v>
      </c>
    </row>
    <row r="1482" spans="1:9">
      <c r="A1482" t="s">
        <v>104</v>
      </c>
      <c r="B1482" t="s">
        <v>105</v>
      </c>
      <c r="C1482" t="s">
        <v>80</v>
      </c>
      <c r="D1482" t="s">
        <v>86</v>
      </c>
      <c r="E1482" t="s">
        <v>106</v>
      </c>
      <c r="F1482" t="s">
        <v>5</v>
      </c>
      <c r="G1482" t="s">
        <v>82</v>
      </c>
      <c r="H1482" s="62">
        <v>2023</v>
      </c>
      <c r="I1482">
        <v>6.88E-2</v>
      </c>
    </row>
    <row r="1483" spans="1:9">
      <c r="A1483" t="s">
        <v>104</v>
      </c>
      <c r="B1483" t="s">
        <v>105</v>
      </c>
      <c r="C1483" t="s">
        <v>80</v>
      </c>
      <c r="D1483" t="s">
        <v>86</v>
      </c>
      <c r="E1483" t="s">
        <v>87</v>
      </c>
      <c r="F1483" t="s">
        <v>5</v>
      </c>
      <c r="G1483" t="s">
        <v>82</v>
      </c>
      <c r="H1483" s="62">
        <v>2023</v>
      </c>
      <c r="I1483">
        <v>0.4395</v>
      </c>
    </row>
    <row r="1484" spans="1:9">
      <c r="A1484" t="s">
        <v>104</v>
      </c>
      <c r="B1484" t="s">
        <v>105</v>
      </c>
      <c r="C1484" t="s">
        <v>107</v>
      </c>
      <c r="D1484" t="s">
        <v>108</v>
      </c>
      <c r="E1484" t="s">
        <v>108</v>
      </c>
      <c r="F1484" t="s">
        <v>5</v>
      </c>
      <c r="G1484" t="s">
        <v>82</v>
      </c>
      <c r="H1484" s="62">
        <v>2024</v>
      </c>
      <c r="I1484">
        <v>5.62E-2</v>
      </c>
    </row>
    <row r="1485" spans="1:9">
      <c r="A1485" t="s">
        <v>104</v>
      </c>
      <c r="B1485" t="s">
        <v>105</v>
      </c>
      <c r="C1485" t="s">
        <v>80</v>
      </c>
      <c r="D1485" t="s">
        <v>80</v>
      </c>
      <c r="E1485" t="s">
        <v>80</v>
      </c>
      <c r="F1485" t="s">
        <v>5</v>
      </c>
      <c r="G1485" t="s">
        <v>82</v>
      </c>
      <c r="H1485" s="62">
        <v>2024</v>
      </c>
      <c r="I1485">
        <v>11.0016</v>
      </c>
    </row>
    <row r="1486" spans="1:9">
      <c r="A1486" t="s">
        <v>104</v>
      </c>
      <c r="B1486" t="s">
        <v>105</v>
      </c>
      <c r="C1486" t="s">
        <v>80</v>
      </c>
      <c r="D1486" t="s">
        <v>83</v>
      </c>
      <c r="E1486" t="s">
        <v>84</v>
      </c>
      <c r="F1486" t="s">
        <v>5</v>
      </c>
      <c r="G1486" t="s">
        <v>82</v>
      </c>
      <c r="H1486" s="62">
        <v>2024</v>
      </c>
      <c r="I1486">
        <v>0.48020000000000002</v>
      </c>
    </row>
    <row r="1487" spans="1:9">
      <c r="A1487" t="s">
        <v>104</v>
      </c>
      <c r="B1487" t="s">
        <v>105</v>
      </c>
      <c r="C1487" t="s">
        <v>80</v>
      </c>
      <c r="D1487" t="s">
        <v>83</v>
      </c>
      <c r="E1487" t="s">
        <v>85</v>
      </c>
      <c r="F1487" t="s">
        <v>5</v>
      </c>
      <c r="G1487" t="s">
        <v>82</v>
      </c>
      <c r="H1487" s="62">
        <v>2024</v>
      </c>
      <c r="I1487">
        <v>0.39279999999999998</v>
      </c>
    </row>
    <row r="1488" spans="1:9">
      <c r="A1488" t="s">
        <v>104</v>
      </c>
      <c r="B1488" t="s">
        <v>105</v>
      </c>
      <c r="C1488" t="s">
        <v>80</v>
      </c>
      <c r="D1488" t="s">
        <v>86</v>
      </c>
      <c r="E1488" t="s">
        <v>106</v>
      </c>
      <c r="F1488" t="s">
        <v>5</v>
      </c>
      <c r="G1488" t="s">
        <v>82</v>
      </c>
      <c r="H1488" s="62">
        <v>2024</v>
      </c>
      <c r="I1488">
        <v>7.0900000000000005E-2</v>
      </c>
    </row>
    <row r="1489" spans="1:9">
      <c r="A1489" t="s">
        <v>104</v>
      </c>
      <c r="B1489" t="s">
        <v>105</v>
      </c>
      <c r="C1489" t="s">
        <v>80</v>
      </c>
      <c r="D1489" t="s">
        <v>86</v>
      </c>
      <c r="E1489" t="s">
        <v>87</v>
      </c>
      <c r="F1489" t="s">
        <v>5</v>
      </c>
      <c r="G1489" t="s">
        <v>82</v>
      </c>
      <c r="H1489" s="62">
        <v>2024</v>
      </c>
      <c r="I1489">
        <v>0.59140000000000004</v>
      </c>
    </row>
    <row r="1490" spans="1:9">
      <c r="A1490" t="s">
        <v>104</v>
      </c>
      <c r="B1490" t="s">
        <v>105</v>
      </c>
      <c r="C1490" t="s">
        <v>107</v>
      </c>
      <c r="D1490" t="s">
        <v>107</v>
      </c>
      <c r="E1490" t="s">
        <v>107</v>
      </c>
      <c r="F1490" t="s">
        <v>5</v>
      </c>
      <c r="G1490" t="s">
        <v>109</v>
      </c>
      <c r="H1490" s="62">
        <v>2025</v>
      </c>
      <c r="I1490">
        <v>11.6435</v>
      </c>
    </row>
    <row r="1491" spans="1:9">
      <c r="A1491" t="s">
        <v>104</v>
      </c>
      <c r="B1491" t="s">
        <v>105</v>
      </c>
      <c r="C1491" t="s">
        <v>107</v>
      </c>
      <c r="D1491" t="s">
        <v>108</v>
      </c>
      <c r="E1491" t="s">
        <v>108</v>
      </c>
      <c r="F1491" t="s">
        <v>5</v>
      </c>
      <c r="G1491" t="s">
        <v>109</v>
      </c>
      <c r="H1491" s="62">
        <v>2025</v>
      </c>
      <c r="I1491">
        <v>4.5600000000000002E-2</v>
      </c>
    </row>
    <row r="1492" spans="1:9">
      <c r="A1492" t="s">
        <v>104</v>
      </c>
      <c r="B1492" t="s">
        <v>105</v>
      </c>
      <c r="C1492" t="s">
        <v>80</v>
      </c>
      <c r="D1492" t="s">
        <v>80</v>
      </c>
      <c r="E1492" t="s">
        <v>80</v>
      </c>
      <c r="F1492" t="s">
        <v>5</v>
      </c>
      <c r="G1492" t="s">
        <v>109</v>
      </c>
      <c r="H1492" s="62">
        <v>2025</v>
      </c>
      <c r="I1492">
        <v>11.597899999999999</v>
      </c>
    </row>
    <row r="1493" spans="1:9">
      <c r="A1493" t="s">
        <v>104</v>
      </c>
      <c r="B1493" t="s">
        <v>105</v>
      </c>
      <c r="C1493" t="s">
        <v>80</v>
      </c>
      <c r="D1493" t="s">
        <v>89</v>
      </c>
      <c r="E1493" t="s">
        <v>90</v>
      </c>
      <c r="F1493" t="s">
        <v>5</v>
      </c>
      <c r="G1493" t="s">
        <v>109</v>
      </c>
      <c r="H1493" s="62">
        <v>2025</v>
      </c>
      <c r="I1493">
        <v>1.8912</v>
      </c>
    </row>
    <row r="1494" spans="1:9">
      <c r="A1494" t="s">
        <v>104</v>
      </c>
      <c r="B1494" t="s">
        <v>105</v>
      </c>
      <c r="C1494" t="s">
        <v>80</v>
      </c>
      <c r="D1494" t="s">
        <v>89</v>
      </c>
      <c r="E1494" t="s">
        <v>91</v>
      </c>
      <c r="F1494" t="s">
        <v>5</v>
      </c>
      <c r="G1494" t="s">
        <v>109</v>
      </c>
      <c r="H1494" s="62">
        <v>2025</v>
      </c>
      <c r="I1494">
        <v>-0.1178</v>
      </c>
    </row>
    <row r="1495" spans="1:9">
      <c r="A1495" t="s">
        <v>104</v>
      </c>
      <c r="B1495" t="s">
        <v>105</v>
      </c>
      <c r="C1495" t="s">
        <v>80</v>
      </c>
      <c r="D1495" t="s">
        <v>92</v>
      </c>
      <c r="E1495" t="s">
        <v>93</v>
      </c>
      <c r="F1495" t="s">
        <v>5</v>
      </c>
      <c r="G1495" t="s">
        <v>109</v>
      </c>
      <c r="H1495" s="62">
        <v>2025</v>
      </c>
      <c r="I1495">
        <v>-0.58740000000000003</v>
      </c>
    </row>
    <row r="1496" spans="1:9">
      <c r="A1496" t="s">
        <v>104</v>
      </c>
      <c r="B1496" t="s">
        <v>105</v>
      </c>
      <c r="C1496" t="s">
        <v>80</v>
      </c>
      <c r="D1496" t="s">
        <v>92</v>
      </c>
      <c r="E1496" t="s">
        <v>94</v>
      </c>
      <c r="F1496" t="s">
        <v>5</v>
      </c>
      <c r="G1496" t="s">
        <v>109</v>
      </c>
      <c r="H1496" s="62">
        <v>2025</v>
      </c>
      <c r="I1496">
        <v>5.8800999999999997</v>
      </c>
    </row>
    <row r="1497" spans="1:9">
      <c r="A1497" t="s">
        <v>104</v>
      </c>
      <c r="B1497" t="s">
        <v>105</v>
      </c>
      <c r="C1497" t="s">
        <v>80</v>
      </c>
      <c r="D1497" t="s">
        <v>92</v>
      </c>
      <c r="E1497" t="s">
        <v>110</v>
      </c>
      <c r="F1497" t="s">
        <v>5</v>
      </c>
      <c r="G1497" t="s">
        <v>109</v>
      </c>
      <c r="H1497" s="62">
        <v>2025</v>
      </c>
      <c r="I1497">
        <v>0</v>
      </c>
    </row>
    <row r="1498" spans="1:9">
      <c r="A1498" t="s">
        <v>104</v>
      </c>
      <c r="B1498" t="s">
        <v>105</v>
      </c>
      <c r="C1498" t="s">
        <v>80</v>
      </c>
      <c r="D1498" t="s">
        <v>92</v>
      </c>
      <c r="E1498" t="s">
        <v>95</v>
      </c>
      <c r="F1498" t="s">
        <v>5</v>
      </c>
      <c r="G1498" t="s">
        <v>109</v>
      </c>
      <c r="H1498" s="62">
        <v>2025</v>
      </c>
      <c r="I1498">
        <v>3.5486</v>
      </c>
    </row>
    <row r="1499" spans="1:9">
      <c r="A1499" t="s">
        <v>104</v>
      </c>
      <c r="B1499" t="s">
        <v>105</v>
      </c>
      <c r="C1499" t="s">
        <v>80</v>
      </c>
      <c r="D1499" t="s">
        <v>96</v>
      </c>
      <c r="E1499" t="s">
        <v>92</v>
      </c>
      <c r="F1499" t="s">
        <v>5</v>
      </c>
      <c r="G1499" t="s">
        <v>109</v>
      </c>
      <c r="H1499" s="62">
        <v>2025</v>
      </c>
      <c r="I1499">
        <v>7.0999999999999994E-2</v>
      </c>
    </row>
    <row r="1500" spans="1:9">
      <c r="A1500" t="s">
        <v>104</v>
      </c>
      <c r="B1500" t="s">
        <v>105</v>
      </c>
      <c r="C1500" t="s">
        <v>80</v>
      </c>
      <c r="D1500" t="s">
        <v>96</v>
      </c>
      <c r="E1500" t="s">
        <v>89</v>
      </c>
      <c r="F1500" t="s">
        <v>5</v>
      </c>
      <c r="G1500" t="s">
        <v>109</v>
      </c>
      <c r="H1500" s="62">
        <v>2025</v>
      </c>
      <c r="I1500">
        <v>2E-3</v>
      </c>
    </row>
    <row r="1501" spans="1:9">
      <c r="A1501" t="s">
        <v>104</v>
      </c>
      <c r="B1501" t="s">
        <v>105</v>
      </c>
      <c r="C1501" t="s">
        <v>80</v>
      </c>
      <c r="D1501" t="s">
        <v>97</v>
      </c>
      <c r="E1501" t="s">
        <v>98</v>
      </c>
      <c r="F1501" t="s">
        <v>5</v>
      </c>
      <c r="G1501" t="s">
        <v>109</v>
      </c>
      <c r="H1501" s="62">
        <v>2025</v>
      </c>
      <c r="I1501">
        <v>3.9600000000000003E-2</v>
      </c>
    </row>
    <row r="1502" spans="1:9">
      <c r="A1502" t="s">
        <v>104</v>
      </c>
      <c r="B1502" t="s">
        <v>105</v>
      </c>
      <c r="C1502" t="s">
        <v>80</v>
      </c>
      <c r="D1502" t="s">
        <v>97</v>
      </c>
      <c r="E1502" t="s">
        <v>99</v>
      </c>
      <c r="F1502" t="s">
        <v>5</v>
      </c>
      <c r="G1502" t="s">
        <v>109</v>
      </c>
      <c r="H1502" s="62">
        <v>2025</v>
      </c>
      <c r="I1502">
        <v>0</v>
      </c>
    </row>
    <row r="1503" spans="1:9">
      <c r="A1503" t="s">
        <v>104</v>
      </c>
      <c r="B1503" t="s">
        <v>105</v>
      </c>
      <c r="C1503" t="s">
        <v>80</v>
      </c>
      <c r="D1503" t="s">
        <v>100</v>
      </c>
      <c r="E1503" t="s">
        <v>101</v>
      </c>
      <c r="F1503" t="s">
        <v>5</v>
      </c>
      <c r="G1503" t="s">
        <v>109</v>
      </c>
      <c r="H1503" s="62">
        <v>2025</v>
      </c>
      <c r="I1503">
        <v>8.5000000000000006E-3</v>
      </c>
    </row>
    <row r="1504" spans="1:9">
      <c r="A1504" t="s">
        <v>104</v>
      </c>
      <c r="B1504" t="s">
        <v>105</v>
      </c>
      <c r="C1504" t="s">
        <v>80</v>
      </c>
      <c r="D1504" t="s">
        <v>100</v>
      </c>
      <c r="E1504" t="s">
        <v>102</v>
      </c>
      <c r="F1504" t="s">
        <v>5</v>
      </c>
      <c r="G1504" t="s">
        <v>109</v>
      </c>
      <c r="H1504" s="62">
        <v>2025</v>
      </c>
      <c r="I1504">
        <v>0</v>
      </c>
    </row>
    <row r="1505" spans="1:9">
      <c r="A1505" t="s">
        <v>104</v>
      </c>
      <c r="B1505" t="s">
        <v>105</v>
      </c>
      <c r="C1505" t="s">
        <v>80</v>
      </c>
      <c r="D1505" t="s">
        <v>100</v>
      </c>
      <c r="E1505" t="s">
        <v>111</v>
      </c>
      <c r="F1505" t="s">
        <v>5</v>
      </c>
      <c r="G1505" t="s">
        <v>109</v>
      </c>
      <c r="H1505" s="62">
        <v>2025</v>
      </c>
      <c r="I1505">
        <v>0</v>
      </c>
    </row>
    <row r="1506" spans="1:9">
      <c r="A1506" t="s">
        <v>104</v>
      </c>
      <c r="B1506" t="s">
        <v>105</v>
      </c>
      <c r="C1506" t="s">
        <v>80</v>
      </c>
      <c r="D1506" t="s">
        <v>100</v>
      </c>
      <c r="E1506" t="s">
        <v>112</v>
      </c>
      <c r="F1506" t="s">
        <v>5</v>
      </c>
      <c r="G1506" t="s">
        <v>109</v>
      </c>
      <c r="H1506" s="62">
        <v>2025</v>
      </c>
      <c r="I1506">
        <v>0</v>
      </c>
    </row>
    <row r="1507" spans="1:9">
      <c r="A1507" t="s">
        <v>104</v>
      </c>
      <c r="B1507" t="s">
        <v>105</v>
      </c>
      <c r="C1507" t="s">
        <v>80</v>
      </c>
      <c r="D1507" t="s">
        <v>83</v>
      </c>
      <c r="E1507" t="s">
        <v>84</v>
      </c>
      <c r="F1507" t="s">
        <v>5</v>
      </c>
      <c r="G1507" t="s">
        <v>109</v>
      </c>
      <c r="H1507" s="62">
        <v>2025</v>
      </c>
      <c r="I1507">
        <v>0.4541</v>
      </c>
    </row>
    <row r="1508" spans="1:9">
      <c r="A1508" t="s">
        <v>104</v>
      </c>
      <c r="B1508" t="s">
        <v>105</v>
      </c>
      <c r="C1508" t="s">
        <v>80</v>
      </c>
      <c r="D1508" t="s">
        <v>83</v>
      </c>
      <c r="E1508" t="s">
        <v>85</v>
      </c>
      <c r="F1508" t="s">
        <v>5</v>
      </c>
      <c r="G1508" t="s">
        <v>109</v>
      </c>
      <c r="H1508" s="62">
        <v>2025</v>
      </c>
      <c r="I1508">
        <v>0.40810000000000002</v>
      </c>
    </row>
    <row r="1509" spans="1:9">
      <c r="A1509" t="s">
        <v>104</v>
      </c>
      <c r="B1509" t="s">
        <v>105</v>
      </c>
      <c r="C1509" t="s">
        <v>80</v>
      </c>
      <c r="D1509" t="s">
        <v>86</v>
      </c>
      <c r="E1509" t="s">
        <v>106</v>
      </c>
      <c r="F1509" t="s">
        <v>5</v>
      </c>
      <c r="G1509" t="s">
        <v>109</v>
      </c>
      <c r="H1509" s="62">
        <v>2025</v>
      </c>
      <c r="I1509">
        <v>6.3399999999999998E-2</v>
      </c>
    </row>
    <row r="1510" spans="1:9">
      <c r="A1510" t="s">
        <v>104</v>
      </c>
      <c r="B1510" t="s">
        <v>105</v>
      </c>
      <c r="C1510" t="s">
        <v>80</v>
      </c>
      <c r="D1510" t="s">
        <v>86</v>
      </c>
      <c r="E1510" t="s">
        <v>87</v>
      </c>
      <c r="F1510" t="s">
        <v>5</v>
      </c>
      <c r="G1510" t="s">
        <v>109</v>
      </c>
      <c r="H1510" s="62">
        <v>2025</v>
      </c>
      <c r="I1510">
        <v>0.64190000000000003</v>
      </c>
    </row>
    <row r="1511" spans="1:9">
      <c r="A1511" t="s">
        <v>104</v>
      </c>
      <c r="B1511" t="s">
        <v>105</v>
      </c>
      <c r="C1511" t="s">
        <v>80</v>
      </c>
      <c r="D1511" t="s">
        <v>103</v>
      </c>
      <c r="E1511" t="s">
        <v>92</v>
      </c>
      <c r="F1511" t="s">
        <v>5</v>
      </c>
      <c r="G1511" t="s">
        <v>109</v>
      </c>
      <c r="H1511" s="62">
        <v>2025</v>
      </c>
      <c r="I1511">
        <v>0.65590000000000004</v>
      </c>
    </row>
    <row r="1512" spans="1:9">
      <c r="A1512" t="s">
        <v>104</v>
      </c>
      <c r="B1512" t="s">
        <v>105</v>
      </c>
      <c r="C1512" t="s">
        <v>80</v>
      </c>
      <c r="D1512" t="s">
        <v>103</v>
      </c>
      <c r="E1512" t="s">
        <v>89</v>
      </c>
      <c r="F1512" t="s">
        <v>5</v>
      </c>
      <c r="G1512" t="s">
        <v>109</v>
      </c>
      <c r="H1512" s="62">
        <v>2025</v>
      </c>
      <c r="I1512">
        <v>2.5703999999999998</v>
      </c>
    </row>
    <row r="1513" spans="1:9">
      <c r="A1513" t="s">
        <v>104</v>
      </c>
      <c r="B1513" t="s">
        <v>105</v>
      </c>
      <c r="C1513" t="s">
        <v>107</v>
      </c>
      <c r="D1513" t="s">
        <v>107</v>
      </c>
      <c r="E1513" t="s">
        <v>107</v>
      </c>
      <c r="F1513" t="s">
        <v>5</v>
      </c>
      <c r="G1513" t="s">
        <v>109</v>
      </c>
      <c r="H1513" s="62">
        <v>2026</v>
      </c>
      <c r="I1513">
        <v>12.0809</v>
      </c>
    </row>
    <row r="1514" spans="1:9">
      <c r="A1514" t="s">
        <v>104</v>
      </c>
      <c r="B1514" t="s">
        <v>105</v>
      </c>
      <c r="C1514" t="s">
        <v>107</v>
      </c>
      <c r="D1514" t="s">
        <v>108</v>
      </c>
      <c r="E1514" t="s">
        <v>108</v>
      </c>
      <c r="F1514" t="s">
        <v>5</v>
      </c>
      <c r="G1514" t="s">
        <v>109</v>
      </c>
      <c r="H1514" s="62">
        <v>2026</v>
      </c>
      <c r="I1514">
        <v>7.6300000000000007E-2</v>
      </c>
    </row>
    <row r="1515" spans="1:9">
      <c r="A1515" t="s">
        <v>104</v>
      </c>
      <c r="B1515" t="s">
        <v>105</v>
      </c>
      <c r="C1515" t="s">
        <v>80</v>
      </c>
      <c r="D1515" t="s">
        <v>80</v>
      </c>
      <c r="E1515" t="s">
        <v>80</v>
      </c>
      <c r="F1515" t="s">
        <v>5</v>
      </c>
      <c r="G1515" t="s">
        <v>109</v>
      </c>
      <c r="H1515" s="62">
        <v>2026</v>
      </c>
      <c r="I1515">
        <v>12.0046</v>
      </c>
    </row>
    <row r="1516" spans="1:9">
      <c r="A1516" t="s">
        <v>104</v>
      </c>
      <c r="B1516" t="s">
        <v>105</v>
      </c>
      <c r="C1516" t="s">
        <v>80</v>
      </c>
      <c r="D1516" t="s">
        <v>89</v>
      </c>
      <c r="E1516" t="s">
        <v>90</v>
      </c>
      <c r="F1516" t="s">
        <v>5</v>
      </c>
      <c r="G1516" t="s">
        <v>109</v>
      </c>
      <c r="H1516" s="62">
        <v>2026</v>
      </c>
      <c r="I1516">
        <v>1.6286</v>
      </c>
    </row>
    <row r="1517" spans="1:9">
      <c r="A1517" t="s">
        <v>104</v>
      </c>
      <c r="B1517" t="s">
        <v>105</v>
      </c>
      <c r="C1517" t="s">
        <v>80</v>
      </c>
      <c r="D1517" t="s">
        <v>89</v>
      </c>
      <c r="E1517" t="s">
        <v>91</v>
      </c>
      <c r="F1517" t="s">
        <v>5</v>
      </c>
      <c r="G1517" t="s">
        <v>109</v>
      </c>
      <c r="H1517" s="62">
        <v>2026</v>
      </c>
      <c r="I1517">
        <v>-0.1108</v>
      </c>
    </row>
    <row r="1518" spans="1:9">
      <c r="A1518" t="s">
        <v>104</v>
      </c>
      <c r="B1518" t="s">
        <v>105</v>
      </c>
      <c r="C1518" t="s">
        <v>80</v>
      </c>
      <c r="D1518" t="s">
        <v>92</v>
      </c>
      <c r="E1518" t="s">
        <v>93</v>
      </c>
      <c r="F1518" t="s">
        <v>5</v>
      </c>
      <c r="G1518" t="s">
        <v>109</v>
      </c>
      <c r="H1518" s="62">
        <v>2026</v>
      </c>
      <c r="I1518">
        <v>-0.65310000000000001</v>
      </c>
    </row>
    <row r="1519" spans="1:9">
      <c r="A1519" t="s">
        <v>104</v>
      </c>
      <c r="B1519" t="s">
        <v>105</v>
      </c>
      <c r="C1519" t="s">
        <v>80</v>
      </c>
      <c r="D1519" t="s">
        <v>92</v>
      </c>
      <c r="E1519" t="s">
        <v>94</v>
      </c>
      <c r="F1519" t="s">
        <v>5</v>
      </c>
      <c r="G1519" t="s">
        <v>109</v>
      </c>
      <c r="H1519" s="62">
        <v>2026</v>
      </c>
      <c r="I1519">
        <v>5.9653999999999998</v>
      </c>
    </row>
    <row r="1520" spans="1:9">
      <c r="A1520" t="s">
        <v>104</v>
      </c>
      <c r="B1520" t="s">
        <v>105</v>
      </c>
      <c r="C1520" t="s">
        <v>80</v>
      </c>
      <c r="D1520" t="s">
        <v>92</v>
      </c>
      <c r="E1520" t="s">
        <v>110</v>
      </c>
      <c r="F1520" t="s">
        <v>5</v>
      </c>
      <c r="G1520" t="s">
        <v>109</v>
      </c>
      <c r="H1520" s="62">
        <v>2026</v>
      </c>
      <c r="I1520">
        <v>0</v>
      </c>
    </row>
    <row r="1521" spans="1:9">
      <c r="A1521" t="s">
        <v>104</v>
      </c>
      <c r="B1521" t="s">
        <v>105</v>
      </c>
      <c r="C1521" t="s">
        <v>80</v>
      </c>
      <c r="D1521" t="s">
        <v>92</v>
      </c>
      <c r="E1521" t="s">
        <v>95</v>
      </c>
      <c r="F1521" t="s">
        <v>5</v>
      </c>
      <c r="G1521" t="s">
        <v>109</v>
      </c>
      <c r="H1521" s="62">
        <v>2026</v>
      </c>
      <c r="I1521">
        <v>3.6381000000000001</v>
      </c>
    </row>
    <row r="1522" spans="1:9">
      <c r="A1522" t="s">
        <v>104</v>
      </c>
      <c r="B1522" t="s">
        <v>105</v>
      </c>
      <c r="C1522" t="s">
        <v>80</v>
      </c>
      <c r="D1522" t="s">
        <v>96</v>
      </c>
      <c r="E1522" t="s">
        <v>92</v>
      </c>
      <c r="F1522" t="s">
        <v>5</v>
      </c>
      <c r="G1522" t="s">
        <v>109</v>
      </c>
      <c r="H1522" s="62">
        <v>2026</v>
      </c>
      <c r="I1522">
        <v>0.26069999999999999</v>
      </c>
    </row>
    <row r="1523" spans="1:9">
      <c r="A1523" t="s">
        <v>104</v>
      </c>
      <c r="B1523" t="s">
        <v>105</v>
      </c>
      <c r="C1523" t="s">
        <v>80</v>
      </c>
      <c r="D1523" t="s">
        <v>96</v>
      </c>
      <c r="E1523" t="s">
        <v>89</v>
      </c>
      <c r="F1523" t="s">
        <v>5</v>
      </c>
      <c r="G1523" t="s">
        <v>109</v>
      </c>
      <c r="H1523" s="62">
        <v>2026</v>
      </c>
      <c r="I1523">
        <v>1.35E-2</v>
      </c>
    </row>
    <row r="1524" spans="1:9">
      <c r="A1524" t="s">
        <v>104</v>
      </c>
      <c r="B1524" t="s">
        <v>105</v>
      </c>
      <c r="C1524" t="s">
        <v>80</v>
      </c>
      <c r="D1524" t="s">
        <v>97</v>
      </c>
      <c r="E1524" t="s">
        <v>98</v>
      </c>
      <c r="F1524" t="s">
        <v>5</v>
      </c>
      <c r="G1524" t="s">
        <v>109</v>
      </c>
      <c r="H1524" s="62">
        <v>2026</v>
      </c>
      <c r="I1524">
        <v>6.8400000000000002E-2</v>
      </c>
    </row>
    <row r="1525" spans="1:9">
      <c r="A1525" t="s">
        <v>104</v>
      </c>
      <c r="B1525" t="s">
        <v>105</v>
      </c>
      <c r="C1525" t="s">
        <v>80</v>
      </c>
      <c r="D1525" t="s">
        <v>97</v>
      </c>
      <c r="E1525" t="s">
        <v>99</v>
      </c>
      <c r="F1525" t="s">
        <v>5</v>
      </c>
      <c r="G1525" t="s">
        <v>109</v>
      </c>
      <c r="H1525" s="62">
        <v>2026</v>
      </c>
      <c r="I1525">
        <v>0</v>
      </c>
    </row>
    <row r="1526" spans="1:9">
      <c r="A1526" t="s">
        <v>104</v>
      </c>
      <c r="B1526" t="s">
        <v>105</v>
      </c>
      <c r="C1526" t="s">
        <v>80</v>
      </c>
      <c r="D1526" t="s">
        <v>100</v>
      </c>
      <c r="E1526" t="s">
        <v>101</v>
      </c>
      <c r="F1526" t="s">
        <v>5</v>
      </c>
      <c r="G1526" t="s">
        <v>109</v>
      </c>
      <c r="H1526" s="62">
        <v>2026</v>
      </c>
      <c r="I1526">
        <v>0.32350000000000001</v>
      </c>
    </row>
    <row r="1527" spans="1:9">
      <c r="A1527" t="s">
        <v>104</v>
      </c>
      <c r="B1527" t="s">
        <v>105</v>
      </c>
      <c r="C1527" t="s">
        <v>80</v>
      </c>
      <c r="D1527" t="s">
        <v>100</v>
      </c>
      <c r="E1527" t="s">
        <v>102</v>
      </c>
      <c r="F1527" t="s">
        <v>5</v>
      </c>
      <c r="G1527" t="s">
        <v>109</v>
      </c>
      <c r="H1527" s="62">
        <v>2026</v>
      </c>
      <c r="I1527">
        <v>0</v>
      </c>
    </row>
    <row r="1528" spans="1:9">
      <c r="A1528" t="s">
        <v>104</v>
      </c>
      <c r="B1528" t="s">
        <v>105</v>
      </c>
      <c r="C1528" t="s">
        <v>80</v>
      </c>
      <c r="D1528" t="s">
        <v>100</v>
      </c>
      <c r="E1528" t="s">
        <v>111</v>
      </c>
      <c r="F1528" t="s">
        <v>5</v>
      </c>
      <c r="G1528" t="s">
        <v>109</v>
      </c>
      <c r="H1528" s="62">
        <v>2026</v>
      </c>
      <c r="I1528">
        <v>0</v>
      </c>
    </row>
    <row r="1529" spans="1:9">
      <c r="A1529" t="s">
        <v>104</v>
      </c>
      <c r="B1529" t="s">
        <v>105</v>
      </c>
      <c r="C1529" t="s">
        <v>80</v>
      </c>
      <c r="D1529" t="s">
        <v>100</v>
      </c>
      <c r="E1529" t="s">
        <v>112</v>
      </c>
      <c r="F1529" t="s">
        <v>5</v>
      </c>
      <c r="G1529" t="s">
        <v>109</v>
      </c>
      <c r="H1529" s="62">
        <v>2026</v>
      </c>
      <c r="I1529">
        <v>0</v>
      </c>
    </row>
    <row r="1530" spans="1:9">
      <c r="A1530" t="s">
        <v>104</v>
      </c>
      <c r="B1530" t="s">
        <v>105</v>
      </c>
      <c r="C1530" t="s">
        <v>80</v>
      </c>
      <c r="D1530" t="s">
        <v>83</v>
      </c>
      <c r="E1530" t="s">
        <v>84</v>
      </c>
      <c r="F1530" t="s">
        <v>5</v>
      </c>
      <c r="G1530" t="s">
        <v>109</v>
      </c>
      <c r="H1530" s="62">
        <v>2026</v>
      </c>
      <c r="I1530">
        <v>0.45710000000000001</v>
      </c>
    </row>
    <row r="1531" spans="1:9">
      <c r="A1531" t="s">
        <v>104</v>
      </c>
      <c r="B1531" t="s">
        <v>105</v>
      </c>
      <c r="C1531" t="s">
        <v>80</v>
      </c>
      <c r="D1531" t="s">
        <v>83</v>
      </c>
      <c r="E1531" t="s">
        <v>85</v>
      </c>
      <c r="F1531" t="s">
        <v>5</v>
      </c>
      <c r="G1531" t="s">
        <v>109</v>
      </c>
      <c r="H1531" s="62">
        <v>2026</v>
      </c>
      <c r="I1531">
        <v>0.41320000000000001</v>
      </c>
    </row>
    <row r="1532" spans="1:9">
      <c r="A1532" t="s">
        <v>104</v>
      </c>
      <c r="B1532" t="s">
        <v>105</v>
      </c>
      <c r="C1532" t="s">
        <v>80</v>
      </c>
      <c r="D1532" t="s">
        <v>86</v>
      </c>
      <c r="E1532" t="s">
        <v>106</v>
      </c>
      <c r="F1532" t="s">
        <v>5</v>
      </c>
      <c r="G1532" t="s">
        <v>109</v>
      </c>
      <c r="H1532" s="62">
        <v>2026</v>
      </c>
      <c r="I1532">
        <v>6.3799999999999996E-2</v>
      </c>
    </row>
    <row r="1533" spans="1:9">
      <c r="A1533" t="s">
        <v>104</v>
      </c>
      <c r="B1533" t="s">
        <v>105</v>
      </c>
      <c r="C1533" t="s">
        <v>80</v>
      </c>
      <c r="D1533" t="s">
        <v>86</v>
      </c>
      <c r="E1533" t="s">
        <v>87</v>
      </c>
      <c r="F1533" t="s">
        <v>5</v>
      </c>
      <c r="G1533" t="s">
        <v>109</v>
      </c>
      <c r="H1533" s="62">
        <v>2026</v>
      </c>
      <c r="I1533">
        <v>0.7</v>
      </c>
    </row>
    <row r="1534" spans="1:9">
      <c r="A1534" t="s">
        <v>104</v>
      </c>
      <c r="B1534" t="s">
        <v>105</v>
      </c>
      <c r="C1534" t="s">
        <v>80</v>
      </c>
      <c r="D1534" t="s">
        <v>103</v>
      </c>
      <c r="E1534" t="s">
        <v>92</v>
      </c>
      <c r="F1534" t="s">
        <v>5</v>
      </c>
      <c r="G1534" t="s">
        <v>109</v>
      </c>
      <c r="H1534" s="62">
        <v>2026</v>
      </c>
      <c r="I1534">
        <v>0.69269999999999998</v>
      </c>
    </row>
    <row r="1535" spans="1:9">
      <c r="A1535" t="s">
        <v>104</v>
      </c>
      <c r="B1535" t="s">
        <v>105</v>
      </c>
      <c r="C1535" t="s">
        <v>80</v>
      </c>
      <c r="D1535" t="s">
        <v>103</v>
      </c>
      <c r="E1535" t="s">
        <v>89</v>
      </c>
      <c r="F1535" t="s">
        <v>5</v>
      </c>
      <c r="G1535" t="s">
        <v>109</v>
      </c>
      <c r="H1535" s="62">
        <v>2026</v>
      </c>
      <c r="I1535">
        <v>2.8246000000000002</v>
      </c>
    </row>
    <row r="1536" spans="1:9">
      <c r="A1536" t="s">
        <v>104</v>
      </c>
      <c r="B1536" t="s">
        <v>105</v>
      </c>
      <c r="C1536" t="s">
        <v>107</v>
      </c>
      <c r="D1536" t="s">
        <v>107</v>
      </c>
      <c r="E1536" t="s">
        <v>107</v>
      </c>
      <c r="F1536" t="s">
        <v>5</v>
      </c>
      <c r="G1536" t="s">
        <v>109</v>
      </c>
      <c r="H1536" s="62">
        <v>2027</v>
      </c>
      <c r="I1536">
        <v>12.8118</v>
      </c>
    </row>
    <row r="1537" spans="1:9">
      <c r="A1537" t="s">
        <v>104</v>
      </c>
      <c r="B1537" t="s">
        <v>105</v>
      </c>
      <c r="C1537" t="s">
        <v>107</v>
      </c>
      <c r="D1537" t="s">
        <v>108</v>
      </c>
      <c r="E1537" t="s">
        <v>108</v>
      </c>
      <c r="F1537" t="s">
        <v>5</v>
      </c>
      <c r="G1537" t="s">
        <v>109</v>
      </c>
      <c r="H1537" s="62">
        <v>2027</v>
      </c>
      <c r="I1537">
        <v>5.9499999999999997E-2</v>
      </c>
    </row>
    <row r="1538" spans="1:9">
      <c r="A1538" t="s">
        <v>104</v>
      </c>
      <c r="B1538" t="s">
        <v>105</v>
      </c>
      <c r="C1538" t="s">
        <v>80</v>
      </c>
      <c r="D1538" t="s">
        <v>80</v>
      </c>
      <c r="E1538" t="s">
        <v>80</v>
      </c>
      <c r="F1538" t="s">
        <v>5</v>
      </c>
      <c r="G1538" t="s">
        <v>109</v>
      </c>
      <c r="H1538" s="62">
        <v>2027</v>
      </c>
      <c r="I1538">
        <v>12.7523</v>
      </c>
    </row>
    <row r="1539" spans="1:9">
      <c r="A1539" t="s">
        <v>104</v>
      </c>
      <c r="B1539" t="s">
        <v>105</v>
      </c>
      <c r="C1539" t="s">
        <v>80</v>
      </c>
      <c r="D1539" t="s">
        <v>89</v>
      </c>
      <c r="E1539" t="s">
        <v>90</v>
      </c>
      <c r="F1539" t="s">
        <v>5</v>
      </c>
      <c r="G1539" t="s">
        <v>109</v>
      </c>
      <c r="H1539" s="62">
        <v>2027</v>
      </c>
      <c r="I1539">
        <v>1.3666</v>
      </c>
    </row>
    <row r="1540" spans="1:9">
      <c r="A1540" t="s">
        <v>104</v>
      </c>
      <c r="B1540" t="s">
        <v>105</v>
      </c>
      <c r="C1540" t="s">
        <v>80</v>
      </c>
      <c r="D1540" t="s">
        <v>89</v>
      </c>
      <c r="E1540" t="s">
        <v>91</v>
      </c>
      <c r="F1540" t="s">
        <v>5</v>
      </c>
      <c r="G1540" t="s">
        <v>109</v>
      </c>
      <c r="H1540" s="62">
        <v>2027</v>
      </c>
      <c r="I1540">
        <v>-0.10009999999999999</v>
      </c>
    </row>
    <row r="1541" spans="1:9">
      <c r="A1541" t="s">
        <v>104</v>
      </c>
      <c r="B1541" t="s">
        <v>105</v>
      </c>
      <c r="C1541" t="s">
        <v>80</v>
      </c>
      <c r="D1541" t="s">
        <v>92</v>
      </c>
      <c r="E1541" t="s">
        <v>93</v>
      </c>
      <c r="F1541" t="s">
        <v>5</v>
      </c>
      <c r="G1541" t="s">
        <v>109</v>
      </c>
      <c r="H1541" s="62">
        <v>2027</v>
      </c>
      <c r="I1541">
        <v>-0.72250000000000003</v>
      </c>
    </row>
    <row r="1542" spans="1:9">
      <c r="A1542" t="s">
        <v>104</v>
      </c>
      <c r="B1542" t="s">
        <v>105</v>
      </c>
      <c r="C1542" t="s">
        <v>80</v>
      </c>
      <c r="D1542" t="s">
        <v>92</v>
      </c>
      <c r="E1542" t="s">
        <v>94</v>
      </c>
      <c r="F1542" t="s">
        <v>5</v>
      </c>
      <c r="G1542" t="s">
        <v>109</v>
      </c>
      <c r="H1542" s="62">
        <v>2027</v>
      </c>
      <c r="I1542">
        <v>6.0377999999999998</v>
      </c>
    </row>
    <row r="1543" spans="1:9">
      <c r="A1543" t="s">
        <v>104</v>
      </c>
      <c r="B1543" t="s">
        <v>105</v>
      </c>
      <c r="C1543" t="s">
        <v>80</v>
      </c>
      <c r="D1543" t="s">
        <v>92</v>
      </c>
      <c r="E1543" t="s">
        <v>110</v>
      </c>
      <c r="F1543" t="s">
        <v>5</v>
      </c>
      <c r="G1543" t="s">
        <v>109</v>
      </c>
      <c r="H1543" s="62">
        <v>2027</v>
      </c>
      <c r="I1543">
        <v>0</v>
      </c>
    </row>
    <row r="1544" spans="1:9">
      <c r="A1544" t="s">
        <v>104</v>
      </c>
      <c r="B1544" t="s">
        <v>105</v>
      </c>
      <c r="C1544" t="s">
        <v>80</v>
      </c>
      <c r="D1544" t="s">
        <v>92</v>
      </c>
      <c r="E1544" t="s">
        <v>95</v>
      </c>
      <c r="F1544" t="s">
        <v>5</v>
      </c>
      <c r="G1544" t="s">
        <v>109</v>
      </c>
      <c r="H1544" s="62">
        <v>2027</v>
      </c>
      <c r="I1544">
        <v>3.8298000000000001</v>
      </c>
    </row>
    <row r="1545" spans="1:9">
      <c r="A1545" t="s">
        <v>104</v>
      </c>
      <c r="B1545" t="s">
        <v>105</v>
      </c>
      <c r="C1545" t="s">
        <v>80</v>
      </c>
      <c r="D1545" t="s">
        <v>96</v>
      </c>
      <c r="E1545" t="s">
        <v>92</v>
      </c>
      <c r="F1545" t="s">
        <v>5</v>
      </c>
      <c r="G1545" t="s">
        <v>109</v>
      </c>
      <c r="H1545" s="62">
        <v>2027</v>
      </c>
      <c r="I1545">
        <v>0.53080000000000005</v>
      </c>
    </row>
    <row r="1546" spans="1:9">
      <c r="A1546" t="s">
        <v>104</v>
      </c>
      <c r="B1546" t="s">
        <v>105</v>
      </c>
      <c r="C1546" t="s">
        <v>80</v>
      </c>
      <c r="D1546" t="s">
        <v>96</v>
      </c>
      <c r="E1546" t="s">
        <v>89</v>
      </c>
      <c r="F1546" t="s">
        <v>5</v>
      </c>
      <c r="G1546" t="s">
        <v>109</v>
      </c>
      <c r="H1546" s="62">
        <v>2027</v>
      </c>
      <c r="I1546">
        <v>3.4599999999999999E-2</v>
      </c>
    </row>
    <row r="1547" spans="1:9">
      <c r="A1547" t="s">
        <v>104</v>
      </c>
      <c r="B1547" t="s">
        <v>105</v>
      </c>
      <c r="C1547" t="s">
        <v>80</v>
      </c>
      <c r="D1547" t="s">
        <v>97</v>
      </c>
      <c r="E1547" t="s">
        <v>98</v>
      </c>
      <c r="F1547" t="s">
        <v>5</v>
      </c>
      <c r="G1547" t="s">
        <v>109</v>
      </c>
      <c r="H1547" s="62">
        <v>2027</v>
      </c>
      <c r="I1547">
        <v>0.1077</v>
      </c>
    </row>
    <row r="1548" spans="1:9">
      <c r="A1548" t="s">
        <v>104</v>
      </c>
      <c r="B1548" t="s">
        <v>105</v>
      </c>
      <c r="C1548" t="s">
        <v>80</v>
      </c>
      <c r="D1548" t="s">
        <v>97</v>
      </c>
      <c r="E1548" t="s">
        <v>99</v>
      </c>
      <c r="F1548" t="s">
        <v>5</v>
      </c>
      <c r="G1548" t="s">
        <v>109</v>
      </c>
      <c r="H1548" s="62">
        <v>2027</v>
      </c>
      <c r="I1548">
        <v>0</v>
      </c>
    </row>
    <row r="1549" spans="1:9">
      <c r="A1549" t="s">
        <v>104</v>
      </c>
      <c r="B1549" t="s">
        <v>105</v>
      </c>
      <c r="C1549" t="s">
        <v>80</v>
      </c>
      <c r="D1549" t="s">
        <v>100</v>
      </c>
      <c r="E1549" t="s">
        <v>101</v>
      </c>
      <c r="F1549" t="s">
        <v>5</v>
      </c>
      <c r="G1549" t="s">
        <v>109</v>
      </c>
      <c r="H1549" s="62">
        <v>2027</v>
      </c>
      <c r="I1549">
        <v>0.77710000000000001</v>
      </c>
    </row>
    <row r="1550" spans="1:9">
      <c r="A1550" t="s">
        <v>104</v>
      </c>
      <c r="B1550" t="s">
        <v>105</v>
      </c>
      <c r="C1550" t="s">
        <v>80</v>
      </c>
      <c r="D1550" t="s">
        <v>100</v>
      </c>
      <c r="E1550" t="s">
        <v>102</v>
      </c>
      <c r="F1550" t="s">
        <v>5</v>
      </c>
      <c r="G1550" t="s">
        <v>109</v>
      </c>
      <c r="H1550" s="62">
        <v>2027</v>
      </c>
      <c r="I1550">
        <v>0</v>
      </c>
    </row>
    <row r="1551" spans="1:9">
      <c r="A1551" t="s">
        <v>104</v>
      </c>
      <c r="B1551" t="s">
        <v>105</v>
      </c>
      <c r="C1551" t="s">
        <v>80</v>
      </c>
      <c r="D1551" t="s">
        <v>100</v>
      </c>
      <c r="E1551" t="s">
        <v>111</v>
      </c>
      <c r="F1551" t="s">
        <v>5</v>
      </c>
      <c r="G1551" t="s">
        <v>109</v>
      </c>
      <c r="H1551" s="62">
        <v>2027</v>
      </c>
      <c r="I1551">
        <v>0</v>
      </c>
    </row>
    <row r="1552" spans="1:9">
      <c r="A1552" t="s">
        <v>104</v>
      </c>
      <c r="B1552" t="s">
        <v>105</v>
      </c>
      <c r="C1552" t="s">
        <v>80</v>
      </c>
      <c r="D1552" t="s">
        <v>100</v>
      </c>
      <c r="E1552" t="s">
        <v>112</v>
      </c>
      <c r="F1552" t="s">
        <v>5</v>
      </c>
      <c r="G1552" t="s">
        <v>109</v>
      </c>
      <c r="H1552" s="62">
        <v>2027</v>
      </c>
      <c r="I1552">
        <v>0</v>
      </c>
    </row>
    <row r="1553" spans="1:9">
      <c r="A1553" t="s">
        <v>104</v>
      </c>
      <c r="B1553" t="s">
        <v>105</v>
      </c>
      <c r="C1553" t="s">
        <v>80</v>
      </c>
      <c r="D1553" t="s">
        <v>83</v>
      </c>
      <c r="E1553" t="s">
        <v>84</v>
      </c>
      <c r="F1553" t="s">
        <v>5</v>
      </c>
      <c r="G1553" t="s">
        <v>109</v>
      </c>
      <c r="H1553" s="62">
        <v>2027</v>
      </c>
      <c r="I1553">
        <v>0.46529999999999999</v>
      </c>
    </row>
    <row r="1554" spans="1:9">
      <c r="A1554" t="s">
        <v>104</v>
      </c>
      <c r="B1554" t="s">
        <v>105</v>
      </c>
      <c r="C1554" t="s">
        <v>80</v>
      </c>
      <c r="D1554" t="s">
        <v>83</v>
      </c>
      <c r="E1554" t="s">
        <v>85</v>
      </c>
      <c r="F1554" t="s">
        <v>5</v>
      </c>
      <c r="G1554" t="s">
        <v>109</v>
      </c>
      <c r="H1554" s="62">
        <v>2027</v>
      </c>
      <c r="I1554">
        <v>0.42509999999999998</v>
      </c>
    </row>
    <row r="1555" spans="1:9">
      <c r="A1555" t="s">
        <v>104</v>
      </c>
      <c r="B1555" t="s">
        <v>105</v>
      </c>
      <c r="C1555" t="s">
        <v>80</v>
      </c>
      <c r="D1555" t="s">
        <v>86</v>
      </c>
      <c r="E1555" t="s">
        <v>106</v>
      </c>
      <c r="F1555" t="s">
        <v>5</v>
      </c>
      <c r="G1555" t="s">
        <v>109</v>
      </c>
      <c r="H1555" s="62">
        <v>2027</v>
      </c>
      <c r="I1555">
        <v>6.4299999999999996E-2</v>
      </c>
    </row>
    <row r="1556" spans="1:9">
      <c r="A1556" t="s">
        <v>104</v>
      </c>
      <c r="B1556" t="s">
        <v>105</v>
      </c>
      <c r="C1556" t="s">
        <v>80</v>
      </c>
      <c r="D1556" t="s">
        <v>86</v>
      </c>
      <c r="E1556" t="s">
        <v>87</v>
      </c>
      <c r="F1556" t="s">
        <v>5</v>
      </c>
      <c r="G1556" t="s">
        <v>109</v>
      </c>
      <c r="H1556" s="62">
        <v>2027</v>
      </c>
      <c r="I1556">
        <v>0.75819999999999999</v>
      </c>
    </row>
    <row r="1557" spans="1:9">
      <c r="A1557" t="s">
        <v>104</v>
      </c>
      <c r="B1557" t="s">
        <v>105</v>
      </c>
      <c r="C1557" t="s">
        <v>80</v>
      </c>
      <c r="D1557" t="s">
        <v>103</v>
      </c>
      <c r="E1557" t="s">
        <v>92</v>
      </c>
      <c r="F1557" t="s">
        <v>5</v>
      </c>
      <c r="G1557" t="s">
        <v>109</v>
      </c>
      <c r="H1557" s="62">
        <v>2027</v>
      </c>
      <c r="I1557">
        <v>0.73080000000000001</v>
      </c>
    </row>
    <row r="1558" spans="1:9">
      <c r="A1558" t="s">
        <v>104</v>
      </c>
      <c r="B1558" t="s">
        <v>105</v>
      </c>
      <c r="C1558" t="s">
        <v>80</v>
      </c>
      <c r="D1558" t="s">
        <v>103</v>
      </c>
      <c r="E1558" t="s">
        <v>89</v>
      </c>
      <c r="F1558" t="s">
        <v>5</v>
      </c>
      <c r="G1558" t="s">
        <v>109</v>
      </c>
      <c r="H1558" s="62">
        <v>2027</v>
      </c>
      <c r="I1558">
        <v>3.0836000000000001</v>
      </c>
    </row>
    <row r="1559" spans="1:9">
      <c r="A1559" t="s">
        <v>104</v>
      </c>
      <c r="B1559" t="s">
        <v>105</v>
      </c>
      <c r="C1559" t="s">
        <v>107</v>
      </c>
      <c r="D1559" t="s">
        <v>107</v>
      </c>
      <c r="E1559" t="s">
        <v>107</v>
      </c>
      <c r="F1559" t="s">
        <v>5</v>
      </c>
      <c r="G1559" t="s">
        <v>109</v>
      </c>
      <c r="H1559" s="62">
        <v>2028</v>
      </c>
      <c r="I1559">
        <v>13.0825</v>
      </c>
    </row>
    <row r="1560" spans="1:9">
      <c r="A1560" t="s">
        <v>104</v>
      </c>
      <c r="B1560" t="s">
        <v>105</v>
      </c>
      <c r="C1560" t="s">
        <v>107</v>
      </c>
      <c r="D1560" t="s">
        <v>108</v>
      </c>
      <c r="E1560" t="s">
        <v>108</v>
      </c>
      <c r="F1560" t="s">
        <v>5</v>
      </c>
      <c r="G1560" t="s">
        <v>109</v>
      </c>
      <c r="H1560" s="62">
        <v>2028</v>
      </c>
      <c r="I1560">
        <v>4.3900000000000002E-2</v>
      </c>
    </row>
    <row r="1561" spans="1:9">
      <c r="A1561" t="s">
        <v>104</v>
      </c>
      <c r="B1561" t="s">
        <v>105</v>
      </c>
      <c r="C1561" t="s">
        <v>80</v>
      </c>
      <c r="D1561" t="s">
        <v>80</v>
      </c>
      <c r="E1561" t="s">
        <v>80</v>
      </c>
      <c r="F1561" t="s">
        <v>5</v>
      </c>
      <c r="G1561" t="s">
        <v>109</v>
      </c>
      <c r="H1561" s="62">
        <v>2028</v>
      </c>
      <c r="I1561">
        <v>13.038600000000001</v>
      </c>
    </row>
    <row r="1562" spans="1:9">
      <c r="A1562" t="s">
        <v>104</v>
      </c>
      <c r="B1562" t="s">
        <v>105</v>
      </c>
      <c r="C1562" t="s">
        <v>80</v>
      </c>
      <c r="D1562" t="s">
        <v>89</v>
      </c>
      <c r="E1562" t="s">
        <v>90</v>
      </c>
      <c r="F1562" t="s">
        <v>5</v>
      </c>
      <c r="G1562" t="s">
        <v>109</v>
      </c>
      <c r="H1562" s="62">
        <v>2028</v>
      </c>
      <c r="I1562">
        <v>1.1044</v>
      </c>
    </row>
    <row r="1563" spans="1:9">
      <c r="A1563" t="s">
        <v>104</v>
      </c>
      <c r="B1563" t="s">
        <v>105</v>
      </c>
      <c r="C1563" t="s">
        <v>80</v>
      </c>
      <c r="D1563" t="s">
        <v>89</v>
      </c>
      <c r="E1563" t="s">
        <v>91</v>
      </c>
      <c r="F1563" t="s">
        <v>5</v>
      </c>
      <c r="G1563" t="s">
        <v>109</v>
      </c>
      <c r="H1563" s="62">
        <v>2028</v>
      </c>
      <c r="I1563">
        <v>-8.7999999999999995E-2</v>
      </c>
    </row>
    <row r="1564" spans="1:9">
      <c r="A1564" t="s">
        <v>104</v>
      </c>
      <c r="B1564" t="s">
        <v>105</v>
      </c>
      <c r="C1564" t="s">
        <v>80</v>
      </c>
      <c r="D1564" t="s">
        <v>92</v>
      </c>
      <c r="E1564" t="s">
        <v>93</v>
      </c>
      <c r="F1564" t="s">
        <v>5</v>
      </c>
      <c r="G1564" t="s">
        <v>109</v>
      </c>
      <c r="H1564" s="62">
        <v>2028</v>
      </c>
      <c r="I1564">
        <v>-0.79620000000000002</v>
      </c>
    </row>
    <row r="1565" spans="1:9">
      <c r="A1565" t="s">
        <v>104</v>
      </c>
      <c r="B1565" t="s">
        <v>105</v>
      </c>
      <c r="C1565" t="s">
        <v>80</v>
      </c>
      <c r="D1565" t="s">
        <v>92</v>
      </c>
      <c r="E1565" t="s">
        <v>94</v>
      </c>
      <c r="F1565" t="s">
        <v>5</v>
      </c>
      <c r="G1565" t="s">
        <v>109</v>
      </c>
      <c r="H1565" s="62">
        <v>2028</v>
      </c>
      <c r="I1565">
        <v>6.1497000000000002</v>
      </c>
    </row>
    <row r="1566" spans="1:9">
      <c r="A1566" t="s">
        <v>104</v>
      </c>
      <c r="B1566" t="s">
        <v>105</v>
      </c>
      <c r="C1566" t="s">
        <v>80</v>
      </c>
      <c r="D1566" t="s">
        <v>92</v>
      </c>
      <c r="E1566" t="s">
        <v>110</v>
      </c>
      <c r="F1566" t="s">
        <v>5</v>
      </c>
      <c r="G1566" t="s">
        <v>109</v>
      </c>
      <c r="H1566" s="62">
        <v>2028</v>
      </c>
      <c r="I1566">
        <v>0</v>
      </c>
    </row>
    <row r="1567" spans="1:9">
      <c r="A1567" t="s">
        <v>104</v>
      </c>
      <c r="B1567" t="s">
        <v>105</v>
      </c>
      <c r="C1567" t="s">
        <v>80</v>
      </c>
      <c r="D1567" t="s">
        <v>92</v>
      </c>
      <c r="E1567" t="s">
        <v>95</v>
      </c>
      <c r="F1567" t="s">
        <v>5</v>
      </c>
      <c r="G1567" t="s">
        <v>109</v>
      </c>
      <c r="H1567" s="62">
        <v>2028</v>
      </c>
      <c r="I1567">
        <v>3.8448000000000002</v>
      </c>
    </row>
    <row r="1568" spans="1:9">
      <c r="A1568" t="s">
        <v>104</v>
      </c>
      <c r="B1568" t="s">
        <v>105</v>
      </c>
      <c r="C1568" t="s">
        <v>80</v>
      </c>
      <c r="D1568" t="s">
        <v>96</v>
      </c>
      <c r="E1568" t="s">
        <v>92</v>
      </c>
      <c r="F1568" t="s">
        <v>5</v>
      </c>
      <c r="G1568" t="s">
        <v>109</v>
      </c>
      <c r="H1568" s="62">
        <v>2028</v>
      </c>
      <c r="I1568">
        <v>0.77049999999999996</v>
      </c>
    </row>
    <row r="1569" spans="1:9">
      <c r="A1569" t="s">
        <v>104</v>
      </c>
      <c r="B1569" t="s">
        <v>105</v>
      </c>
      <c r="C1569" t="s">
        <v>80</v>
      </c>
      <c r="D1569" t="s">
        <v>96</v>
      </c>
      <c r="E1569" t="s">
        <v>89</v>
      </c>
      <c r="F1569" t="s">
        <v>5</v>
      </c>
      <c r="G1569" t="s">
        <v>109</v>
      </c>
      <c r="H1569" s="62">
        <v>2028</v>
      </c>
      <c r="I1569">
        <v>6.7500000000000004E-2</v>
      </c>
    </row>
    <row r="1570" spans="1:9">
      <c r="A1570" t="s">
        <v>104</v>
      </c>
      <c r="B1570" t="s">
        <v>105</v>
      </c>
      <c r="C1570" t="s">
        <v>80</v>
      </c>
      <c r="D1570" t="s">
        <v>97</v>
      </c>
      <c r="E1570" t="s">
        <v>98</v>
      </c>
      <c r="F1570" t="s">
        <v>5</v>
      </c>
      <c r="G1570" t="s">
        <v>109</v>
      </c>
      <c r="H1570" s="62">
        <v>2028</v>
      </c>
      <c r="I1570">
        <v>0.158</v>
      </c>
    </row>
    <row r="1571" spans="1:9">
      <c r="A1571" t="s">
        <v>104</v>
      </c>
      <c r="B1571" t="s">
        <v>105</v>
      </c>
      <c r="C1571" t="s">
        <v>80</v>
      </c>
      <c r="D1571" t="s">
        <v>97</v>
      </c>
      <c r="E1571" t="s">
        <v>99</v>
      </c>
      <c r="F1571" t="s">
        <v>5</v>
      </c>
      <c r="G1571" t="s">
        <v>109</v>
      </c>
      <c r="H1571" s="62">
        <v>2028</v>
      </c>
      <c r="I1571">
        <v>0</v>
      </c>
    </row>
    <row r="1572" spans="1:9">
      <c r="A1572" t="s">
        <v>104</v>
      </c>
      <c r="B1572" t="s">
        <v>105</v>
      </c>
      <c r="C1572" t="s">
        <v>80</v>
      </c>
      <c r="D1572" t="s">
        <v>100</v>
      </c>
      <c r="E1572" t="s">
        <v>101</v>
      </c>
      <c r="F1572" t="s">
        <v>5</v>
      </c>
      <c r="G1572" t="s">
        <v>109</v>
      </c>
      <c r="H1572" s="62">
        <v>2028</v>
      </c>
      <c r="I1572">
        <v>0.92079999999999995</v>
      </c>
    </row>
    <row r="1573" spans="1:9">
      <c r="A1573" t="s">
        <v>104</v>
      </c>
      <c r="B1573" t="s">
        <v>105</v>
      </c>
      <c r="C1573" t="s">
        <v>80</v>
      </c>
      <c r="D1573" t="s">
        <v>100</v>
      </c>
      <c r="E1573" t="s">
        <v>102</v>
      </c>
      <c r="F1573" t="s">
        <v>5</v>
      </c>
      <c r="G1573" t="s">
        <v>109</v>
      </c>
      <c r="H1573" s="62">
        <v>2028</v>
      </c>
      <c r="I1573">
        <v>0</v>
      </c>
    </row>
    <row r="1574" spans="1:9">
      <c r="A1574" t="s">
        <v>104</v>
      </c>
      <c r="B1574" t="s">
        <v>105</v>
      </c>
      <c r="C1574" t="s">
        <v>80</v>
      </c>
      <c r="D1574" t="s">
        <v>100</v>
      </c>
      <c r="E1574" t="s">
        <v>111</v>
      </c>
      <c r="F1574" t="s">
        <v>5</v>
      </c>
      <c r="G1574" t="s">
        <v>109</v>
      </c>
      <c r="H1574" s="62">
        <v>2028</v>
      </c>
      <c r="I1574">
        <v>0</v>
      </c>
    </row>
    <row r="1575" spans="1:9">
      <c r="A1575" t="s">
        <v>104</v>
      </c>
      <c r="B1575" t="s">
        <v>105</v>
      </c>
      <c r="C1575" t="s">
        <v>80</v>
      </c>
      <c r="D1575" t="s">
        <v>100</v>
      </c>
      <c r="E1575" t="s">
        <v>112</v>
      </c>
      <c r="F1575" t="s">
        <v>5</v>
      </c>
      <c r="G1575" t="s">
        <v>109</v>
      </c>
      <c r="H1575" s="62">
        <v>2028</v>
      </c>
      <c r="I1575">
        <v>0</v>
      </c>
    </row>
    <row r="1576" spans="1:9">
      <c r="A1576" t="s">
        <v>104</v>
      </c>
      <c r="B1576" t="s">
        <v>105</v>
      </c>
      <c r="C1576" t="s">
        <v>80</v>
      </c>
      <c r="D1576" t="s">
        <v>83</v>
      </c>
      <c r="E1576" t="s">
        <v>84</v>
      </c>
      <c r="F1576" t="s">
        <v>5</v>
      </c>
      <c r="G1576" t="s">
        <v>109</v>
      </c>
      <c r="H1576" s="62">
        <v>2028</v>
      </c>
      <c r="I1576">
        <v>0.47520000000000001</v>
      </c>
    </row>
    <row r="1577" spans="1:9">
      <c r="A1577" t="s">
        <v>104</v>
      </c>
      <c r="B1577" t="s">
        <v>105</v>
      </c>
      <c r="C1577" t="s">
        <v>80</v>
      </c>
      <c r="D1577" t="s">
        <v>83</v>
      </c>
      <c r="E1577" t="s">
        <v>85</v>
      </c>
      <c r="F1577" t="s">
        <v>5</v>
      </c>
      <c r="G1577" t="s">
        <v>109</v>
      </c>
      <c r="H1577" s="62">
        <v>2028</v>
      </c>
      <c r="I1577">
        <v>0.43180000000000002</v>
      </c>
    </row>
    <row r="1578" spans="1:9">
      <c r="A1578" t="s">
        <v>104</v>
      </c>
      <c r="B1578" t="s">
        <v>105</v>
      </c>
      <c r="C1578" t="s">
        <v>80</v>
      </c>
      <c r="D1578" t="s">
        <v>86</v>
      </c>
      <c r="E1578" t="s">
        <v>106</v>
      </c>
      <c r="F1578" t="s">
        <v>5</v>
      </c>
      <c r="G1578" t="s">
        <v>109</v>
      </c>
      <c r="H1578" s="62">
        <v>2028</v>
      </c>
      <c r="I1578">
        <v>6.5000000000000002E-2</v>
      </c>
    </row>
    <row r="1579" spans="1:9">
      <c r="A1579" t="s">
        <v>104</v>
      </c>
      <c r="B1579" t="s">
        <v>105</v>
      </c>
      <c r="C1579" t="s">
        <v>80</v>
      </c>
      <c r="D1579" t="s">
        <v>86</v>
      </c>
      <c r="E1579" t="s">
        <v>87</v>
      </c>
      <c r="F1579" t="s">
        <v>5</v>
      </c>
      <c r="G1579" t="s">
        <v>109</v>
      </c>
      <c r="H1579" s="62">
        <v>2028</v>
      </c>
      <c r="I1579">
        <v>0.81920000000000004</v>
      </c>
    </row>
    <row r="1580" spans="1:9">
      <c r="A1580" t="s">
        <v>104</v>
      </c>
      <c r="B1580" t="s">
        <v>105</v>
      </c>
      <c r="C1580" t="s">
        <v>80</v>
      </c>
      <c r="D1580" t="s">
        <v>103</v>
      </c>
      <c r="E1580" t="s">
        <v>92</v>
      </c>
      <c r="F1580" t="s">
        <v>5</v>
      </c>
      <c r="G1580" t="s">
        <v>109</v>
      </c>
      <c r="H1580" s="62">
        <v>2028</v>
      </c>
      <c r="I1580">
        <v>0.77010000000000001</v>
      </c>
    </row>
    <row r="1581" spans="1:9">
      <c r="A1581" t="s">
        <v>104</v>
      </c>
      <c r="B1581" t="s">
        <v>105</v>
      </c>
      <c r="C1581" t="s">
        <v>80</v>
      </c>
      <c r="D1581" t="s">
        <v>103</v>
      </c>
      <c r="E1581" t="s">
        <v>89</v>
      </c>
      <c r="F1581" t="s">
        <v>5</v>
      </c>
      <c r="G1581" t="s">
        <v>109</v>
      </c>
      <c r="H1581" s="62">
        <v>2028</v>
      </c>
      <c r="I1581">
        <v>3.3475999999999999</v>
      </c>
    </row>
    <row r="1582" spans="1:9">
      <c r="A1582" t="s">
        <v>104</v>
      </c>
      <c r="B1582" t="s">
        <v>105</v>
      </c>
      <c r="C1582" t="s">
        <v>107</v>
      </c>
      <c r="D1582" t="s">
        <v>107</v>
      </c>
      <c r="E1582" t="s">
        <v>107</v>
      </c>
      <c r="F1582" t="s">
        <v>5</v>
      </c>
      <c r="G1582" t="s">
        <v>109</v>
      </c>
      <c r="H1582" s="62">
        <v>2029</v>
      </c>
      <c r="I1582">
        <v>13.130100000000001</v>
      </c>
    </row>
    <row r="1583" spans="1:9">
      <c r="A1583" t="s">
        <v>104</v>
      </c>
      <c r="B1583" t="s">
        <v>105</v>
      </c>
      <c r="C1583" t="s">
        <v>107</v>
      </c>
      <c r="D1583" t="s">
        <v>108</v>
      </c>
      <c r="E1583" t="s">
        <v>108</v>
      </c>
      <c r="F1583" t="s">
        <v>5</v>
      </c>
      <c r="G1583" t="s">
        <v>109</v>
      </c>
      <c r="H1583" s="62">
        <v>2029</v>
      </c>
      <c r="I1583">
        <v>5.6000000000000001E-2</v>
      </c>
    </row>
    <row r="1584" spans="1:9">
      <c r="A1584" t="s">
        <v>104</v>
      </c>
      <c r="B1584" t="s">
        <v>105</v>
      </c>
      <c r="C1584" t="s">
        <v>80</v>
      </c>
      <c r="D1584" t="s">
        <v>80</v>
      </c>
      <c r="E1584" t="s">
        <v>80</v>
      </c>
      <c r="F1584" t="s">
        <v>5</v>
      </c>
      <c r="G1584" t="s">
        <v>109</v>
      </c>
      <c r="H1584" s="62">
        <v>2029</v>
      </c>
      <c r="I1584">
        <v>13.0741</v>
      </c>
    </row>
    <row r="1585" spans="1:9">
      <c r="A1585" t="s">
        <v>104</v>
      </c>
      <c r="B1585" t="s">
        <v>105</v>
      </c>
      <c r="C1585" t="s">
        <v>80</v>
      </c>
      <c r="D1585" t="s">
        <v>89</v>
      </c>
      <c r="E1585" t="s">
        <v>90</v>
      </c>
      <c r="F1585" t="s">
        <v>5</v>
      </c>
      <c r="G1585" t="s">
        <v>109</v>
      </c>
      <c r="H1585" s="62">
        <v>2029</v>
      </c>
      <c r="I1585">
        <v>0.88300000000000001</v>
      </c>
    </row>
    <row r="1586" spans="1:9">
      <c r="A1586" t="s">
        <v>104</v>
      </c>
      <c r="B1586" t="s">
        <v>105</v>
      </c>
      <c r="C1586" t="s">
        <v>80</v>
      </c>
      <c r="D1586" t="s">
        <v>89</v>
      </c>
      <c r="E1586" t="s">
        <v>91</v>
      </c>
      <c r="F1586" t="s">
        <v>5</v>
      </c>
      <c r="G1586" t="s">
        <v>109</v>
      </c>
      <c r="H1586" s="62">
        <v>2029</v>
      </c>
      <c r="I1586">
        <v>-7.6700000000000004E-2</v>
      </c>
    </row>
    <row r="1587" spans="1:9">
      <c r="A1587" t="s">
        <v>104</v>
      </c>
      <c r="B1587" t="s">
        <v>105</v>
      </c>
      <c r="C1587" t="s">
        <v>80</v>
      </c>
      <c r="D1587" t="s">
        <v>92</v>
      </c>
      <c r="E1587" t="s">
        <v>93</v>
      </c>
      <c r="F1587" t="s">
        <v>5</v>
      </c>
      <c r="G1587" t="s">
        <v>109</v>
      </c>
      <c r="H1587" s="62">
        <v>2029</v>
      </c>
      <c r="I1587">
        <v>-0.86319999999999997</v>
      </c>
    </row>
    <row r="1588" spans="1:9">
      <c r="A1588" t="s">
        <v>104</v>
      </c>
      <c r="B1588" t="s">
        <v>105</v>
      </c>
      <c r="C1588" t="s">
        <v>80</v>
      </c>
      <c r="D1588" t="s">
        <v>92</v>
      </c>
      <c r="E1588" t="s">
        <v>94</v>
      </c>
      <c r="F1588" t="s">
        <v>5</v>
      </c>
      <c r="G1588" t="s">
        <v>109</v>
      </c>
      <c r="H1588" s="62">
        <v>2029</v>
      </c>
      <c r="I1588">
        <v>6.0907999999999998</v>
      </c>
    </row>
    <row r="1589" spans="1:9">
      <c r="A1589" t="s">
        <v>104</v>
      </c>
      <c r="B1589" t="s">
        <v>105</v>
      </c>
      <c r="C1589" t="s">
        <v>80</v>
      </c>
      <c r="D1589" t="s">
        <v>92</v>
      </c>
      <c r="E1589" t="s">
        <v>110</v>
      </c>
      <c r="F1589" t="s">
        <v>5</v>
      </c>
      <c r="G1589" t="s">
        <v>109</v>
      </c>
      <c r="H1589" s="62">
        <v>2029</v>
      </c>
      <c r="I1589">
        <v>0</v>
      </c>
    </row>
    <row r="1590" spans="1:9">
      <c r="A1590" t="s">
        <v>104</v>
      </c>
      <c r="B1590" t="s">
        <v>105</v>
      </c>
      <c r="C1590" t="s">
        <v>80</v>
      </c>
      <c r="D1590" t="s">
        <v>92</v>
      </c>
      <c r="E1590" t="s">
        <v>95</v>
      </c>
      <c r="F1590" t="s">
        <v>5</v>
      </c>
      <c r="G1590" t="s">
        <v>109</v>
      </c>
      <c r="H1590" s="62">
        <v>2029</v>
      </c>
      <c r="I1590">
        <v>3.8416000000000001</v>
      </c>
    </row>
    <row r="1591" spans="1:9">
      <c r="A1591" t="s">
        <v>104</v>
      </c>
      <c r="B1591" t="s">
        <v>105</v>
      </c>
      <c r="C1591" t="s">
        <v>80</v>
      </c>
      <c r="D1591" t="s">
        <v>96</v>
      </c>
      <c r="E1591" t="s">
        <v>92</v>
      </c>
      <c r="F1591" t="s">
        <v>5</v>
      </c>
      <c r="G1591" t="s">
        <v>109</v>
      </c>
      <c r="H1591" s="62">
        <v>2029</v>
      </c>
      <c r="I1591">
        <v>1.0291999999999999</v>
      </c>
    </row>
    <row r="1592" spans="1:9">
      <c r="A1592" t="s">
        <v>104</v>
      </c>
      <c r="B1592" t="s">
        <v>105</v>
      </c>
      <c r="C1592" t="s">
        <v>80</v>
      </c>
      <c r="D1592" t="s">
        <v>96</v>
      </c>
      <c r="E1592" t="s">
        <v>89</v>
      </c>
      <c r="F1592" t="s">
        <v>5</v>
      </c>
      <c r="G1592" t="s">
        <v>109</v>
      </c>
      <c r="H1592" s="62">
        <v>2029</v>
      </c>
      <c r="I1592">
        <v>0.11020000000000001</v>
      </c>
    </row>
    <row r="1593" spans="1:9">
      <c r="A1593" t="s">
        <v>104</v>
      </c>
      <c r="B1593" t="s">
        <v>105</v>
      </c>
      <c r="C1593" t="s">
        <v>80</v>
      </c>
      <c r="D1593" t="s">
        <v>97</v>
      </c>
      <c r="E1593" t="s">
        <v>98</v>
      </c>
      <c r="F1593" t="s">
        <v>5</v>
      </c>
      <c r="G1593" t="s">
        <v>109</v>
      </c>
      <c r="H1593" s="62">
        <v>2029</v>
      </c>
      <c r="I1593">
        <v>0.215</v>
      </c>
    </row>
    <row r="1594" spans="1:9">
      <c r="A1594" t="s">
        <v>104</v>
      </c>
      <c r="B1594" t="s">
        <v>105</v>
      </c>
      <c r="C1594" t="s">
        <v>80</v>
      </c>
      <c r="D1594" t="s">
        <v>97</v>
      </c>
      <c r="E1594" t="s">
        <v>99</v>
      </c>
      <c r="F1594" t="s">
        <v>5</v>
      </c>
      <c r="G1594" t="s">
        <v>109</v>
      </c>
      <c r="H1594" s="62">
        <v>2029</v>
      </c>
      <c r="I1594">
        <v>0</v>
      </c>
    </row>
    <row r="1595" spans="1:9">
      <c r="A1595" t="s">
        <v>104</v>
      </c>
      <c r="B1595" t="s">
        <v>105</v>
      </c>
      <c r="C1595" t="s">
        <v>80</v>
      </c>
      <c r="D1595" t="s">
        <v>100</v>
      </c>
      <c r="E1595" t="s">
        <v>101</v>
      </c>
      <c r="F1595" t="s">
        <v>5</v>
      </c>
      <c r="G1595" t="s">
        <v>109</v>
      </c>
      <c r="H1595" s="62">
        <v>2029</v>
      </c>
      <c r="I1595">
        <v>0.93</v>
      </c>
    </row>
    <row r="1596" spans="1:9">
      <c r="A1596" t="s">
        <v>104</v>
      </c>
      <c r="B1596" t="s">
        <v>105</v>
      </c>
      <c r="C1596" t="s">
        <v>80</v>
      </c>
      <c r="D1596" t="s">
        <v>100</v>
      </c>
      <c r="E1596" t="s">
        <v>102</v>
      </c>
      <c r="F1596" t="s">
        <v>5</v>
      </c>
      <c r="G1596" t="s">
        <v>109</v>
      </c>
      <c r="H1596" s="62">
        <v>2029</v>
      </c>
      <c r="I1596">
        <v>0</v>
      </c>
    </row>
    <row r="1597" spans="1:9">
      <c r="A1597" t="s">
        <v>104</v>
      </c>
      <c r="B1597" t="s">
        <v>105</v>
      </c>
      <c r="C1597" t="s">
        <v>80</v>
      </c>
      <c r="D1597" t="s">
        <v>100</v>
      </c>
      <c r="E1597" t="s">
        <v>111</v>
      </c>
      <c r="F1597" t="s">
        <v>5</v>
      </c>
      <c r="G1597" t="s">
        <v>109</v>
      </c>
      <c r="H1597" s="62">
        <v>2029</v>
      </c>
      <c r="I1597">
        <v>0</v>
      </c>
    </row>
    <row r="1598" spans="1:9">
      <c r="A1598" t="s">
        <v>104</v>
      </c>
      <c r="B1598" t="s">
        <v>105</v>
      </c>
      <c r="C1598" t="s">
        <v>80</v>
      </c>
      <c r="D1598" t="s">
        <v>100</v>
      </c>
      <c r="E1598" t="s">
        <v>112</v>
      </c>
      <c r="F1598" t="s">
        <v>5</v>
      </c>
      <c r="G1598" t="s">
        <v>109</v>
      </c>
      <c r="H1598" s="62">
        <v>2029</v>
      </c>
      <c r="I1598">
        <v>0</v>
      </c>
    </row>
    <row r="1599" spans="1:9">
      <c r="A1599" t="s">
        <v>104</v>
      </c>
      <c r="B1599" t="s">
        <v>105</v>
      </c>
      <c r="C1599" t="s">
        <v>80</v>
      </c>
      <c r="D1599" t="s">
        <v>83</v>
      </c>
      <c r="E1599" t="s">
        <v>84</v>
      </c>
      <c r="F1599" t="s">
        <v>5</v>
      </c>
      <c r="G1599" t="s">
        <v>109</v>
      </c>
      <c r="H1599" s="62">
        <v>2029</v>
      </c>
      <c r="I1599">
        <v>0.47970000000000002</v>
      </c>
    </row>
    <row r="1600" spans="1:9">
      <c r="A1600" t="s">
        <v>104</v>
      </c>
      <c r="B1600" t="s">
        <v>105</v>
      </c>
      <c r="C1600" t="s">
        <v>80</v>
      </c>
      <c r="D1600" t="s">
        <v>83</v>
      </c>
      <c r="E1600" t="s">
        <v>85</v>
      </c>
      <c r="F1600" t="s">
        <v>5</v>
      </c>
      <c r="G1600" t="s">
        <v>109</v>
      </c>
      <c r="H1600" s="62">
        <v>2029</v>
      </c>
      <c r="I1600">
        <v>0.4345</v>
      </c>
    </row>
    <row r="1601" spans="1:9">
      <c r="A1601" t="s">
        <v>104</v>
      </c>
      <c r="B1601" t="s">
        <v>105</v>
      </c>
      <c r="C1601" t="s">
        <v>80</v>
      </c>
      <c r="D1601" t="s">
        <v>86</v>
      </c>
      <c r="E1601" t="s">
        <v>106</v>
      </c>
      <c r="F1601" t="s">
        <v>5</v>
      </c>
      <c r="G1601" t="s">
        <v>109</v>
      </c>
      <c r="H1601" s="62">
        <v>2029</v>
      </c>
      <c r="I1601">
        <v>6.5299999999999997E-2</v>
      </c>
    </row>
    <row r="1602" spans="1:9">
      <c r="A1602" t="s">
        <v>104</v>
      </c>
      <c r="B1602" t="s">
        <v>105</v>
      </c>
      <c r="C1602" t="s">
        <v>80</v>
      </c>
      <c r="D1602" t="s">
        <v>86</v>
      </c>
      <c r="E1602" t="s">
        <v>87</v>
      </c>
      <c r="F1602" t="s">
        <v>5</v>
      </c>
      <c r="G1602" t="s">
        <v>109</v>
      </c>
      <c r="H1602" s="62">
        <v>2029</v>
      </c>
      <c r="I1602">
        <v>0.87460000000000004</v>
      </c>
    </row>
    <row r="1603" spans="1:9">
      <c r="A1603" t="s">
        <v>104</v>
      </c>
      <c r="B1603" t="s">
        <v>105</v>
      </c>
      <c r="C1603" t="s">
        <v>80</v>
      </c>
      <c r="D1603" t="s">
        <v>103</v>
      </c>
      <c r="E1603" t="s">
        <v>92</v>
      </c>
      <c r="F1603" t="s">
        <v>5</v>
      </c>
      <c r="G1603" t="s">
        <v>109</v>
      </c>
      <c r="H1603" s="62">
        <v>2029</v>
      </c>
      <c r="I1603">
        <v>0.80279999999999996</v>
      </c>
    </row>
    <row r="1604" spans="1:9">
      <c r="A1604" t="s">
        <v>104</v>
      </c>
      <c r="B1604" t="s">
        <v>105</v>
      </c>
      <c r="C1604" t="s">
        <v>80</v>
      </c>
      <c r="D1604" t="s">
        <v>103</v>
      </c>
      <c r="E1604" t="s">
        <v>89</v>
      </c>
      <c r="F1604" t="s">
        <v>5</v>
      </c>
      <c r="G1604" t="s">
        <v>109</v>
      </c>
      <c r="H1604" s="62">
        <v>2029</v>
      </c>
      <c r="I1604">
        <v>3.5457000000000001</v>
      </c>
    </row>
    <row r="1605" spans="1:9">
      <c r="A1605" t="s">
        <v>104</v>
      </c>
      <c r="B1605" t="s">
        <v>105</v>
      </c>
      <c r="C1605" t="s">
        <v>107</v>
      </c>
      <c r="D1605" t="s">
        <v>107</v>
      </c>
      <c r="E1605" t="s">
        <v>107</v>
      </c>
      <c r="F1605" t="s">
        <v>5</v>
      </c>
      <c r="G1605" t="s">
        <v>109</v>
      </c>
      <c r="H1605" s="62">
        <v>2030</v>
      </c>
      <c r="I1605">
        <v>13.1234</v>
      </c>
    </row>
    <row r="1606" spans="1:9">
      <c r="A1606" t="s">
        <v>104</v>
      </c>
      <c r="B1606" t="s">
        <v>105</v>
      </c>
      <c r="C1606" t="s">
        <v>107</v>
      </c>
      <c r="D1606" t="s">
        <v>108</v>
      </c>
      <c r="E1606" t="s">
        <v>108</v>
      </c>
      <c r="F1606" t="s">
        <v>5</v>
      </c>
      <c r="G1606" t="s">
        <v>109</v>
      </c>
      <c r="H1606" s="62">
        <v>2030</v>
      </c>
      <c r="I1606">
        <v>4.4999999999999998E-2</v>
      </c>
    </row>
    <row r="1607" spans="1:9">
      <c r="A1607" t="s">
        <v>104</v>
      </c>
      <c r="B1607" t="s">
        <v>105</v>
      </c>
      <c r="C1607" t="s">
        <v>80</v>
      </c>
      <c r="D1607" t="s">
        <v>80</v>
      </c>
      <c r="E1607" t="s">
        <v>80</v>
      </c>
      <c r="F1607" t="s">
        <v>5</v>
      </c>
      <c r="G1607" t="s">
        <v>109</v>
      </c>
      <c r="H1607" s="62">
        <v>2030</v>
      </c>
      <c r="I1607">
        <v>13.0784</v>
      </c>
    </row>
    <row r="1608" spans="1:9">
      <c r="A1608" t="s">
        <v>104</v>
      </c>
      <c r="B1608" t="s">
        <v>105</v>
      </c>
      <c r="C1608" t="s">
        <v>80</v>
      </c>
      <c r="D1608" t="s">
        <v>89</v>
      </c>
      <c r="E1608" t="s">
        <v>90</v>
      </c>
      <c r="F1608" t="s">
        <v>5</v>
      </c>
      <c r="G1608" t="s">
        <v>109</v>
      </c>
      <c r="H1608" s="62">
        <v>2030</v>
      </c>
      <c r="I1608">
        <v>0.7218</v>
      </c>
    </row>
    <row r="1609" spans="1:9">
      <c r="A1609" t="s">
        <v>104</v>
      </c>
      <c r="B1609" t="s">
        <v>105</v>
      </c>
      <c r="C1609" t="s">
        <v>80</v>
      </c>
      <c r="D1609" t="s">
        <v>89</v>
      </c>
      <c r="E1609" t="s">
        <v>91</v>
      </c>
      <c r="F1609" t="s">
        <v>5</v>
      </c>
      <c r="G1609" t="s">
        <v>109</v>
      </c>
      <c r="H1609" s="62">
        <v>2030</v>
      </c>
      <c r="I1609">
        <v>-6.6900000000000001E-2</v>
      </c>
    </row>
    <row r="1610" spans="1:9">
      <c r="A1610" t="s">
        <v>104</v>
      </c>
      <c r="B1610" t="s">
        <v>105</v>
      </c>
      <c r="C1610" t="s">
        <v>80</v>
      </c>
      <c r="D1610" t="s">
        <v>92</v>
      </c>
      <c r="E1610" t="s">
        <v>93</v>
      </c>
      <c r="F1610" t="s">
        <v>5</v>
      </c>
      <c r="G1610" t="s">
        <v>109</v>
      </c>
      <c r="H1610" s="62">
        <v>2030</v>
      </c>
      <c r="I1610">
        <v>-0.92490000000000006</v>
      </c>
    </row>
    <row r="1611" spans="1:9">
      <c r="A1611" t="s">
        <v>104</v>
      </c>
      <c r="B1611" t="s">
        <v>105</v>
      </c>
      <c r="C1611" t="s">
        <v>80</v>
      </c>
      <c r="D1611" t="s">
        <v>92</v>
      </c>
      <c r="E1611" t="s">
        <v>94</v>
      </c>
      <c r="F1611" t="s">
        <v>5</v>
      </c>
      <c r="G1611" t="s">
        <v>109</v>
      </c>
      <c r="H1611" s="62">
        <v>2030</v>
      </c>
      <c r="I1611">
        <v>5.9911000000000003</v>
      </c>
    </row>
    <row r="1612" spans="1:9">
      <c r="A1612" t="s">
        <v>104</v>
      </c>
      <c r="B1612" t="s">
        <v>105</v>
      </c>
      <c r="C1612" t="s">
        <v>80</v>
      </c>
      <c r="D1612" t="s">
        <v>92</v>
      </c>
      <c r="E1612" t="s">
        <v>110</v>
      </c>
      <c r="F1612" t="s">
        <v>5</v>
      </c>
      <c r="G1612" t="s">
        <v>109</v>
      </c>
      <c r="H1612" s="62">
        <v>2030</v>
      </c>
      <c r="I1612">
        <v>0</v>
      </c>
    </row>
    <row r="1613" spans="1:9">
      <c r="A1613" t="s">
        <v>104</v>
      </c>
      <c r="B1613" t="s">
        <v>105</v>
      </c>
      <c r="C1613" t="s">
        <v>80</v>
      </c>
      <c r="D1613" t="s">
        <v>92</v>
      </c>
      <c r="E1613" t="s">
        <v>95</v>
      </c>
      <c r="F1613" t="s">
        <v>5</v>
      </c>
      <c r="G1613" t="s">
        <v>109</v>
      </c>
      <c r="H1613" s="62">
        <v>2030</v>
      </c>
      <c r="I1613">
        <v>3.9817999999999998</v>
      </c>
    </row>
    <row r="1614" spans="1:9">
      <c r="A1614" t="s">
        <v>104</v>
      </c>
      <c r="B1614" t="s">
        <v>105</v>
      </c>
      <c r="C1614" t="s">
        <v>80</v>
      </c>
      <c r="D1614" t="s">
        <v>96</v>
      </c>
      <c r="E1614" t="s">
        <v>92</v>
      </c>
      <c r="F1614" t="s">
        <v>5</v>
      </c>
      <c r="G1614" t="s">
        <v>109</v>
      </c>
      <c r="H1614" s="62">
        <v>2030</v>
      </c>
      <c r="I1614">
        <v>1.2085999999999999</v>
      </c>
    </row>
    <row r="1615" spans="1:9">
      <c r="A1615" t="s">
        <v>104</v>
      </c>
      <c r="B1615" t="s">
        <v>105</v>
      </c>
      <c r="C1615" t="s">
        <v>80</v>
      </c>
      <c r="D1615" t="s">
        <v>96</v>
      </c>
      <c r="E1615" t="s">
        <v>89</v>
      </c>
      <c r="F1615" t="s">
        <v>5</v>
      </c>
      <c r="G1615" t="s">
        <v>109</v>
      </c>
      <c r="H1615" s="62">
        <v>2030</v>
      </c>
      <c r="I1615">
        <v>0.14860000000000001</v>
      </c>
    </row>
    <row r="1616" spans="1:9">
      <c r="A1616" t="s">
        <v>104</v>
      </c>
      <c r="B1616" t="s">
        <v>105</v>
      </c>
      <c r="C1616" t="s">
        <v>80</v>
      </c>
      <c r="D1616" t="s">
        <v>97</v>
      </c>
      <c r="E1616" t="s">
        <v>98</v>
      </c>
      <c r="F1616" t="s">
        <v>5</v>
      </c>
      <c r="G1616" t="s">
        <v>109</v>
      </c>
      <c r="H1616" s="62">
        <v>2030</v>
      </c>
      <c r="I1616">
        <v>0.27989999999999998</v>
      </c>
    </row>
    <row r="1617" spans="1:9">
      <c r="A1617" t="s">
        <v>104</v>
      </c>
      <c r="B1617" t="s">
        <v>105</v>
      </c>
      <c r="C1617" t="s">
        <v>80</v>
      </c>
      <c r="D1617" t="s">
        <v>97</v>
      </c>
      <c r="E1617" t="s">
        <v>99</v>
      </c>
      <c r="F1617" t="s">
        <v>5</v>
      </c>
      <c r="G1617" t="s">
        <v>109</v>
      </c>
      <c r="H1617" s="62">
        <v>2030</v>
      </c>
      <c r="I1617">
        <v>0</v>
      </c>
    </row>
    <row r="1618" spans="1:9">
      <c r="A1618" t="s">
        <v>104</v>
      </c>
      <c r="B1618" t="s">
        <v>105</v>
      </c>
      <c r="C1618" t="s">
        <v>80</v>
      </c>
      <c r="D1618" t="s">
        <v>100</v>
      </c>
      <c r="E1618" t="s">
        <v>101</v>
      </c>
      <c r="F1618" t="s">
        <v>5</v>
      </c>
      <c r="G1618" t="s">
        <v>109</v>
      </c>
      <c r="H1618" s="62">
        <v>2030</v>
      </c>
      <c r="I1618">
        <v>0.81730000000000003</v>
      </c>
    </row>
    <row r="1619" spans="1:9">
      <c r="A1619" t="s">
        <v>104</v>
      </c>
      <c r="B1619" t="s">
        <v>105</v>
      </c>
      <c r="C1619" t="s">
        <v>80</v>
      </c>
      <c r="D1619" t="s">
        <v>100</v>
      </c>
      <c r="E1619" t="s">
        <v>102</v>
      </c>
      <c r="F1619" t="s">
        <v>5</v>
      </c>
      <c r="G1619" t="s">
        <v>109</v>
      </c>
      <c r="H1619" s="62">
        <v>2030</v>
      </c>
      <c r="I1619">
        <v>0</v>
      </c>
    </row>
    <row r="1620" spans="1:9">
      <c r="A1620" t="s">
        <v>104</v>
      </c>
      <c r="B1620" t="s">
        <v>105</v>
      </c>
      <c r="C1620" t="s">
        <v>80</v>
      </c>
      <c r="D1620" t="s">
        <v>100</v>
      </c>
      <c r="E1620" t="s">
        <v>111</v>
      </c>
      <c r="F1620" t="s">
        <v>5</v>
      </c>
      <c r="G1620" t="s">
        <v>109</v>
      </c>
      <c r="H1620" s="62">
        <v>2030</v>
      </c>
      <c r="I1620">
        <v>0</v>
      </c>
    </row>
    <row r="1621" spans="1:9">
      <c r="A1621" t="s">
        <v>104</v>
      </c>
      <c r="B1621" t="s">
        <v>105</v>
      </c>
      <c r="C1621" t="s">
        <v>80</v>
      </c>
      <c r="D1621" t="s">
        <v>100</v>
      </c>
      <c r="E1621" t="s">
        <v>112</v>
      </c>
      <c r="F1621" t="s">
        <v>5</v>
      </c>
      <c r="G1621" t="s">
        <v>109</v>
      </c>
      <c r="H1621" s="62">
        <v>2030</v>
      </c>
      <c r="I1621">
        <v>0</v>
      </c>
    </row>
    <row r="1622" spans="1:9">
      <c r="A1622" t="s">
        <v>104</v>
      </c>
      <c r="B1622" t="s">
        <v>105</v>
      </c>
      <c r="C1622" t="s">
        <v>80</v>
      </c>
      <c r="D1622" t="s">
        <v>83</v>
      </c>
      <c r="E1622" t="s">
        <v>84</v>
      </c>
      <c r="F1622" t="s">
        <v>5</v>
      </c>
      <c r="G1622" t="s">
        <v>109</v>
      </c>
      <c r="H1622" s="62">
        <v>2030</v>
      </c>
      <c r="I1622">
        <v>0.48099999999999998</v>
      </c>
    </row>
    <row r="1623" spans="1:9">
      <c r="A1623" t="s">
        <v>104</v>
      </c>
      <c r="B1623" t="s">
        <v>105</v>
      </c>
      <c r="C1623" t="s">
        <v>80</v>
      </c>
      <c r="D1623" t="s">
        <v>83</v>
      </c>
      <c r="E1623" t="s">
        <v>85</v>
      </c>
      <c r="F1623" t="s">
        <v>5</v>
      </c>
      <c r="G1623" t="s">
        <v>109</v>
      </c>
      <c r="H1623" s="62">
        <v>2030</v>
      </c>
      <c r="I1623">
        <v>0.44019999999999998</v>
      </c>
    </row>
    <row r="1624" spans="1:9">
      <c r="A1624" t="s">
        <v>104</v>
      </c>
      <c r="B1624" t="s">
        <v>105</v>
      </c>
      <c r="C1624" t="s">
        <v>80</v>
      </c>
      <c r="D1624" t="s">
        <v>86</v>
      </c>
      <c r="E1624" t="s">
        <v>106</v>
      </c>
      <c r="F1624" t="s">
        <v>5</v>
      </c>
      <c r="G1624" t="s">
        <v>109</v>
      </c>
      <c r="H1624" s="62">
        <v>2030</v>
      </c>
      <c r="I1624">
        <v>5.8799999999999998E-2</v>
      </c>
    </row>
    <row r="1625" spans="1:9">
      <c r="A1625" t="s">
        <v>104</v>
      </c>
      <c r="B1625" t="s">
        <v>105</v>
      </c>
      <c r="C1625" t="s">
        <v>80</v>
      </c>
      <c r="D1625" t="s">
        <v>86</v>
      </c>
      <c r="E1625" t="s">
        <v>87</v>
      </c>
      <c r="F1625" t="s">
        <v>5</v>
      </c>
      <c r="G1625" t="s">
        <v>109</v>
      </c>
      <c r="H1625" s="62">
        <v>2030</v>
      </c>
      <c r="I1625">
        <v>0.93310000000000004</v>
      </c>
    </row>
    <row r="1626" spans="1:9">
      <c r="A1626" t="s">
        <v>104</v>
      </c>
      <c r="B1626" t="s">
        <v>105</v>
      </c>
      <c r="C1626" t="s">
        <v>80</v>
      </c>
      <c r="D1626" t="s">
        <v>103</v>
      </c>
      <c r="E1626" t="s">
        <v>92</v>
      </c>
      <c r="F1626" t="s">
        <v>5</v>
      </c>
      <c r="G1626" t="s">
        <v>109</v>
      </c>
      <c r="H1626" s="62">
        <v>2030</v>
      </c>
      <c r="I1626">
        <v>0.82779999999999998</v>
      </c>
    </row>
    <row r="1627" spans="1:9">
      <c r="A1627" t="s">
        <v>104</v>
      </c>
      <c r="B1627" t="s">
        <v>105</v>
      </c>
      <c r="C1627" t="s">
        <v>80</v>
      </c>
      <c r="D1627" t="s">
        <v>103</v>
      </c>
      <c r="E1627" t="s">
        <v>89</v>
      </c>
      <c r="F1627" t="s">
        <v>5</v>
      </c>
      <c r="G1627" t="s">
        <v>109</v>
      </c>
      <c r="H1627" s="62">
        <v>2030</v>
      </c>
      <c r="I1627">
        <v>3.6934999999999998</v>
      </c>
    </row>
    <row r="1628" spans="1:9">
      <c r="A1628" t="s">
        <v>104</v>
      </c>
      <c r="B1628" t="s">
        <v>105</v>
      </c>
      <c r="C1628" t="s">
        <v>107</v>
      </c>
      <c r="D1628" t="s">
        <v>107</v>
      </c>
      <c r="E1628" t="s">
        <v>107</v>
      </c>
      <c r="F1628" t="s">
        <v>5</v>
      </c>
      <c r="G1628" t="s">
        <v>109</v>
      </c>
      <c r="H1628" s="62">
        <v>2031</v>
      </c>
      <c r="I1628">
        <v>13.3086</v>
      </c>
    </row>
    <row r="1629" spans="1:9">
      <c r="A1629" t="s">
        <v>104</v>
      </c>
      <c r="B1629" t="s">
        <v>105</v>
      </c>
      <c r="C1629" t="s">
        <v>107</v>
      </c>
      <c r="D1629" t="s">
        <v>108</v>
      </c>
      <c r="E1629" t="s">
        <v>108</v>
      </c>
      <c r="F1629" t="s">
        <v>5</v>
      </c>
      <c r="G1629" t="s">
        <v>109</v>
      </c>
      <c r="H1629" s="62">
        <v>2031</v>
      </c>
      <c r="I1629">
        <v>3.9300000000000002E-2</v>
      </c>
    </row>
    <row r="1630" spans="1:9">
      <c r="A1630" t="s">
        <v>104</v>
      </c>
      <c r="B1630" t="s">
        <v>105</v>
      </c>
      <c r="C1630" t="s">
        <v>80</v>
      </c>
      <c r="D1630" t="s">
        <v>80</v>
      </c>
      <c r="E1630" t="s">
        <v>80</v>
      </c>
      <c r="F1630" t="s">
        <v>5</v>
      </c>
      <c r="G1630" t="s">
        <v>109</v>
      </c>
      <c r="H1630" s="62">
        <v>2031</v>
      </c>
      <c r="I1630">
        <v>13.269399999999999</v>
      </c>
    </row>
    <row r="1631" spans="1:9">
      <c r="A1631" t="s">
        <v>104</v>
      </c>
      <c r="B1631" t="s">
        <v>105</v>
      </c>
      <c r="C1631" t="s">
        <v>80</v>
      </c>
      <c r="D1631" t="s">
        <v>89</v>
      </c>
      <c r="E1631" t="s">
        <v>90</v>
      </c>
      <c r="F1631" t="s">
        <v>5</v>
      </c>
      <c r="G1631" t="s">
        <v>109</v>
      </c>
      <c r="H1631" s="62">
        <v>2031</v>
      </c>
      <c r="I1631">
        <v>0.57189999999999996</v>
      </c>
    </row>
    <row r="1632" spans="1:9">
      <c r="A1632" t="s">
        <v>104</v>
      </c>
      <c r="B1632" t="s">
        <v>105</v>
      </c>
      <c r="C1632" t="s">
        <v>80</v>
      </c>
      <c r="D1632" t="s">
        <v>89</v>
      </c>
      <c r="E1632" t="s">
        <v>91</v>
      </c>
      <c r="F1632" t="s">
        <v>5</v>
      </c>
      <c r="G1632" t="s">
        <v>109</v>
      </c>
      <c r="H1632" s="62">
        <v>2031</v>
      </c>
      <c r="I1632">
        <v>-5.7200000000000001E-2</v>
      </c>
    </row>
    <row r="1633" spans="1:9">
      <c r="A1633" t="s">
        <v>104</v>
      </c>
      <c r="B1633" t="s">
        <v>105</v>
      </c>
      <c r="C1633" t="s">
        <v>80</v>
      </c>
      <c r="D1633" t="s">
        <v>92</v>
      </c>
      <c r="E1633" t="s">
        <v>93</v>
      </c>
      <c r="F1633" t="s">
        <v>5</v>
      </c>
      <c r="G1633" t="s">
        <v>109</v>
      </c>
      <c r="H1633" s="62">
        <v>2031</v>
      </c>
      <c r="I1633">
        <v>-1.0096000000000001</v>
      </c>
    </row>
    <row r="1634" spans="1:9">
      <c r="A1634" t="s">
        <v>104</v>
      </c>
      <c r="B1634" t="s">
        <v>105</v>
      </c>
      <c r="C1634" t="s">
        <v>80</v>
      </c>
      <c r="D1634" t="s">
        <v>92</v>
      </c>
      <c r="E1634" t="s">
        <v>94</v>
      </c>
      <c r="F1634" t="s">
        <v>5</v>
      </c>
      <c r="G1634" t="s">
        <v>109</v>
      </c>
      <c r="H1634" s="62">
        <v>2031</v>
      </c>
      <c r="I1634">
        <v>5.9813000000000001</v>
      </c>
    </row>
    <row r="1635" spans="1:9">
      <c r="A1635" t="s">
        <v>104</v>
      </c>
      <c r="B1635" t="s">
        <v>105</v>
      </c>
      <c r="C1635" t="s">
        <v>80</v>
      </c>
      <c r="D1635" t="s">
        <v>92</v>
      </c>
      <c r="E1635" t="s">
        <v>110</v>
      </c>
      <c r="F1635" t="s">
        <v>5</v>
      </c>
      <c r="G1635" t="s">
        <v>109</v>
      </c>
      <c r="H1635" s="62">
        <v>2031</v>
      </c>
      <c r="I1635">
        <v>0</v>
      </c>
    </row>
    <row r="1636" spans="1:9">
      <c r="A1636" t="s">
        <v>104</v>
      </c>
      <c r="B1636" t="s">
        <v>105</v>
      </c>
      <c r="C1636" t="s">
        <v>80</v>
      </c>
      <c r="D1636" t="s">
        <v>92</v>
      </c>
      <c r="E1636" t="s">
        <v>95</v>
      </c>
      <c r="F1636" t="s">
        <v>5</v>
      </c>
      <c r="G1636" t="s">
        <v>109</v>
      </c>
      <c r="H1636" s="62">
        <v>2031</v>
      </c>
      <c r="I1636">
        <v>4.1130000000000004</v>
      </c>
    </row>
    <row r="1637" spans="1:9">
      <c r="A1637" t="s">
        <v>104</v>
      </c>
      <c r="B1637" t="s">
        <v>105</v>
      </c>
      <c r="C1637" t="s">
        <v>80</v>
      </c>
      <c r="D1637" t="s">
        <v>96</v>
      </c>
      <c r="E1637" t="s">
        <v>92</v>
      </c>
      <c r="F1637" t="s">
        <v>5</v>
      </c>
      <c r="G1637" t="s">
        <v>109</v>
      </c>
      <c r="H1637" s="62">
        <v>2031</v>
      </c>
      <c r="I1637">
        <v>1.4077</v>
      </c>
    </row>
    <row r="1638" spans="1:9">
      <c r="A1638" t="s">
        <v>104</v>
      </c>
      <c r="B1638" t="s">
        <v>105</v>
      </c>
      <c r="C1638" t="s">
        <v>80</v>
      </c>
      <c r="D1638" t="s">
        <v>96</v>
      </c>
      <c r="E1638" t="s">
        <v>89</v>
      </c>
      <c r="F1638" t="s">
        <v>5</v>
      </c>
      <c r="G1638" t="s">
        <v>109</v>
      </c>
      <c r="H1638" s="62">
        <v>2031</v>
      </c>
      <c r="I1638">
        <v>0.17560000000000001</v>
      </c>
    </row>
    <row r="1639" spans="1:9">
      <c r="A1639" t="s">
        <v>104</v>
      </c>
      <c r="B1639" t="s">
        <v>105</v>
      </c>
      <c r="C1639" t="s">
        <v>80</v>
      </c>
      <c r="D1639" t="s">
        <v>97</v>
      </c>
      <c r="E1639" t="s">
        <v>98</v>
      </c>
      <c r="F1639" t="s">
        <v>5</v>
      </c>
      <c r="G1639" t="s">
        <v>109</v>
      </c>
      <c r="H1639" s="62">
        <v>2031</v>
      </c>
      <c r="I1639">
        <v>0.35349999999999998</v>
      </c>
    </row>
    <row r="1640" spans="1:9">
      <c r="A1640" t="s">
        <v>104</v>
      </c>
      <c r="B1640" t="s">
        <v>105</v>
      </c>
      <c r="C1640" t="s">
        <v>80</v>
      </c>
      <c r="D1640" t="s">
        <v>97</v>
      </c>
      <c r="E1640" t="s">
        <v>99</v>
      </c>
      <c r="F1640" t="s">
        <v>5</v>
      </c>
      <c r="G1640" t="s">
        <v>109</v>
      </c>
      <c r="H1640" s="62">
        <v>2031</v>
      </c>
      <c r="I1640">
        <v>5.0000000000000001E-4</v>
      </c>
    </row>
    <row r="1641" spans="1:9">
      <c r="A1641" t="s">
        <v>104</v>
      </c>
      <c r="B1641" t="s">
        <v>105</v>
      </c>
      <c r="C1641" t="s">
        <v>80</v>
      </c>
      <c r="D1641" t="s">
        <v>100</v>
      </c>
      <c r="E1641" t="s">
        <v>101</v>
      </c>
      <c r="F1641" t="s">
        <v>5</v>
      </c>
      <c r="G1641" t="s">
        <v>109</v>
      </c>
      <c r="H1641" s="62">
        <v>2031</v>
      </c>
      <c r="I1641">
        <v>0.79359999999999997</v>
      </c>
    </row>
    <row r="1642" spans="1:9">
      <c r="A1642" t="s">
        <v>104</v>
      </c>
      <c r="B1642" t="s">
        <v>105</v>
      </c>
      <c r="C1642" t="s">
        <v>80</v>
      </c>
      <c r="D1642" t="s">
        <v>100</v>
      </c>
      <c r="E1642" t="s">
        <v>102</v>
      </c>
      <c r="F1642" t="s">
        <v>5</v>
      </c>
      <c r="G1642" t="s">
        <v>109</v>
      </c>
      <c r="H1642" s="62">
        <v>2031</v>
      </c>
      <c r="I1642">
        <v>0</v>
      </c>
    </row>
    <row r="1643" spans="1:9">
      <c r="A1643" t="s">
        <v>104</v>
      </c>
      <c r="B1643" t="s">
        <v>105</v>
      </c>
      <c r="C1643" t="s">
        <v>80</v>
      </c>
      <c r="D1643" t="s">
        <v>100</v>
      </c>
      <c r="E1643" t="s">
        <v>111</v>
      </c>
      <c r="F1643" t="s">
        <v>5</v>
      </c>
      <c r="G1643" t="s">
        <v>109</v>
      </c>
      <c r="H1643" s="62">
        <v>2031</v>
      </c>
      <c r="I1643">
        <v>0</v>
      </c>
    </row>
    <row r="1644" spans="1:9">
      <c r="A1644" t="s">
        <v>104</v>
      </c>
      <c r="B1644" t="s">
        <v>105</v>
      </c>
      <c r="C1644" t="s">
        <v>80</v>
      </c>
      <c r="D1644" t="s">
        <v>100</v>
      </c>
      <c r="E1644" t="s">
        <v>112</v>
      </c>
      <c r="F1644" t="s">
        <v>5</v>
      </c>
      <c r="G1644" t="s">
        <v>109</v>
      </c>
      <c r="H1644" s="62">
        <v>2031</v>
      </c>
      <c r="I1644">
        <v>0</v>
      </c>
    </row>
    <row r="1645" spans="1:9">
      <c r="A1645" t="s">
        <v>104</v>
      </c>
      <c r="B1645" t="s">
        <v>105</v>
      </c>
      <c r="C1645" t="s">
        <v>80</v>
      </c>
      <c r="D1645" t="s">
        <v>83</v>
      </c>
      <c r="E1645" t="s">
        <v>84</v>
      </c>
      <c r="F1645" t="s">
        <v>5</v>
      </c>
      <c r="G1645" t="s">
        <v>109</v>
      </c>
      <c r="H1645" s="62">
        <v>2031</v>
      </c>
      <c r="I1645">
        <v>0.48909999999999998</v>
      </c>
    </row>
    <row r="1646" spans="1:9">
      <c r="A1646" t="s">
        <v>104</v>
      </c>
      <c r="B1646" t="s">
        <v>105</v>
      </c>
      <c r="C1646" t="s">
        <v>80</v>
      </c>
      <c r="D1646" t="s">
        <v>83</v>
      </c>
      <c r="E1646" t="s">
        <v>85</v>
      </c>
      <c r="F1646" t="s">
        <v>5</v>
      </c>
      <c r="G1646" t="s">
        <v>109</v>
      </c>
      <c r="H1646" s="62">
        <v>2031</v>
      </c>
      <c r="I1646">
        <v>0.44990000000000002</v>
      </c>
    </row>
    <row r="1647" spans="1:9">
      <c r="A1647" t="s">
        <v>104</v>
      </c>
      <c r="B1647" t="s">
        <v>105</v>
      </c>
      <c r="C1647" t="s">
        <v>80</v>
      </c>
      <c r="D1647" t="s">
        <v>86</v>
      </c>
      <c r="E1647" t="s">
        <v>106</v>
      </c>
      <c r="F1647" t="s">
        <v>5</v>
      </c>
      <c r="G1647" t="s">
        <v>109</v>
      </c>
      <c r="H1647" s="62">
        <v>2031</v>
      </c>
      <c r="I1647">
        <v>5.9299999999999999E-2</v>
      </c>
    </row>
    <row r="1648" spans="1:9">
      <c r="A1648" t="s">
        <v>104</v>
      </c>
      <c r="B1648" t="s">
        <v>105</v>
      </c>
      <c r="C1648" t="s">
        <v>80</v>
      </c>
      <c r="D1648" t="s">
        <v>86</v>
      </c>
      <c r="E1648" t="s">
        <v>87</v>
      </c>
      <c r="F1648" t="s">
        <v>5</v>
      </c>
      <c r="G1648" t="s">
        <v>109</v>
      </c>
      <c r="H1648" s="62">
        <v>2031</v>
      </c>
      <c r="I1648">
        <v>1.0076000000000001</v>
      </c>
    </row>
    <row r="1649" spans="1:9">
      <c r="A1649" t="s">
        <v>104</v>
      </c>
      <c r="B1649" t="s">
        <v>105</v>
      </c>
      <c r="C1649" t="s">
        <v>80</v>
      </c>
      <c r="D1649" t="s">
        <v>103</v>
      </c>
      <c r="E1649" t="s">
        <v>92</v>
      </c>
      <c r="F1649" t="s">
        <v>5</v>
      </c>
      <c r="G1649" t="s">
        <v>109</v>
      </c>
      <c r="H1649" s="62">
        <v>2031</v>
      </c>
      <c r="I1649">
        <v>0.85499999999999998</v>
      </c>
    </row>
    <row r="1650" spans="1:9">
      <c r="A1650" t="s">
        <v>104</v>
      </c>
      <c r="B1650" t="s">
        <v>105</v>
      </c>
      <c r="C1650" t="s">
        <v>80</v>
      </c>
      <c r="D1650" t="s">
        <v>103</v>
      </c>
      <c r="E1650" t="s">
        <v>89</v>
      </c>
      <c r="F1650" t="s">
        <v>5</v>
      </c>
      <c r="G1650" t="s">
        <v>109</v>
      </c>
      <c r="H1650" s="62">
        <v>2031</v>
      </c>
      <c r="I1650">
        <v>3.8635000000000002</v>
      </c>
    </row>
    <row r="1651" spans="1:9">
      <c r="A1651" t="s">
        <v>104</v>
      </c>
      <c r="B1651" t="s">
        <v>105</v>
      </c>
      <c r="C1651" t="s">
        <v>107</v>
      </c>
      <c r="D1651" t="s">
        <v>107</v>
      </c>
      <c r="E1651" t="s">
        <v>107</v>
      </c>
      <c r="F1651" t="s">
        <v>5</v>
      </c>
      <c r="G1651" t="s">
        <v>109</v>
      </c>
      <c r="H1651" s="62">
        <v>2032</v>
      </c>
      <c r="I1651">
        <v>13.3575</v>
      </c>
    </row>
    <row r="1652" spans="1:9">
      <c r="A1652" t="s">
        <v>104</v>
      </c>
      <c r="B1652" t="s">
        <v>105</v>
      </c>
      <c r="C1652" t="s">
        <v>107</v>
      </c>
      <c r="D1652" t="s">
        <v>108</v>
      </c>
      <c r="E1652" t="s">
        <v>108</v>
      </c>
      <c r="F1652" t="s">
        <v>5</v>
      </c>
      <c r="G1652" t="s">
        <v>109</v>
      </c>
      <c r="H1652" s="62">
        <v>2032</v>
      </c>
      <c r="I1652">
        <v>4.5400000000000003E-2</v>
      </c>
    </row>
    <row r="1653" spans="1:9">
      <c r="A1653" t="s">
        <v>104</v>
      </c>
      <c r="B1653" t="s">
        <v>105</v>
      </c>
      <c r="C1653" t="s">
        <v>80</v>
      </c>
      <c r="D1653" t="s">
        <v>80</v>
      </c>
      <c r="E1653" t="s">
        <v>80</v>
      </c>
      <c r="F1653" t="s">
        <v>5</v>
      </c>
      <c r="G1653" t="s">
        <v>109</v>
      </c>
      <c r="H1653" s="62">
        <v>2032</v>
      </c>
      <c r="I1653">
        <v>13.312099999999999</v>
      </c>
    </row>
    <row r="1654" spans="1:9">
      <c r="A1654" t="s">
        <v>104</v>
      </c>
      <c r="B1654" t="s">
        <v>105</v>
      </c>
      <c r="C1654" t="s">
        <v>80</v>
      </c>
      <c r="D1654" t="s">
        <v>89</v>
      </c>
      <c r="E1654" t="s">
        <v>90</v>
      </c>
      <c r="F1654" t="s">
        <v>5</v>
      </c>
      <c r="G1654" t="s">
        <v>109</v>
      </c>
      <c r="H1654" s="62">
        <v>2032</v>
      </c>
      <c r="I1654">
        <v>0.3977</v>
      </c>
    </row>
    <row r="1655" spans="1:9">
      <c r="A1655" t="s">
        <v>104</v>
      </c>
      <c r="B1655" t="s">
        <v>105</v>
      </c>
      <c r="C1655" t="s">
        <v>80</v>
      </c>
      <c r="D1655" t="s">
        <v>89</v>
      </c>
      <c r="E1655" t="s">
        <v>91</v>
      </c>
      <c r="F1655" t="s">
        <v>5</v>
      </c>
      <c r="G1655" t="s">
        <v>109</v>
      </c>
      <c r="H1655" s="62">
        <v>2032</v>
      </c>
      <c r="I1655">
        <v>-4.3400000000000001E-2</v>
      </c>
    </row>
    <row r="1656" spans="1:9">
      <c r="A1656" t="s">
        <v>104</v>
      </c>
      <c r="B1656" t="s">
        <v>105</v>
      </c>
      <c r="C1656" t="s">
        <v>80</v>
      </c>
      <c r="D1656" t="s">
        <v>92</v>
      </c>
      <c r="E1656" t="s">
        <v>93</v>
      </c>
      <c r="F1656" t="s">
        <v>5</v>
      </c>
      <c r="G1656" t="s">
        <v>109</v>
      </c>
      <c r="H1656" s="62">
        <v>2032</v>
      </c>
      <c r="I1656">
        <v>-1.1111</v>
      </c>
    </row>
    <row r="1657" spans="1:9">
      <c r="A1657" t="s">
        <v>104</v>
      </c>
      <c r="B1657" t="s">
        <v>105</v>
      </c>
      <c r="C1657" t="s">
        <v>80</v>
      </c>
      <c r="D1657" t="s">
        <v>92</v>
      </c>
      <c r="E1657" t="s">
        <v>94</v>
      </c>
      <c r="F1657" t="s">
        <v>5</v>
      </c>
      <c r="G1657" t="s">
        <v>109</v>
      </c>
      <c r="H1657" s="62">
        <v>2032</v>
      </c>
      <c r="I1657">
        <v>6.0286999999999997</v>
      </c>
    </row>
    <row r="1658" spans="1:9">
      <c r="A1658" t="s">
        <v>104</v>
      </c>
      <c r="B1658" t="s">
        <v>105</v>
      </c>
      <c r="C1658" t="s">
        <v>80</v>
      </c>
      <c r="D1658" t="s">
        <v>92</v>
      </c>
      <c r="E1658" t="s">
        <v>110</v>
      </c>
      <c r="F1658" t="s">
        <v>5</v>
      </c>
      <c r="G1658" t="s">
        <v>109</v>
      </c>
      <c r="H1658" s="62">
        <v>2032</v>
      </c>
      <c r="I1658">
        <v>0</v>
      </c>
    </row>
    <row r="1659" spans="1:9">
      <c r="A1659" t="s">
        <v>104</v>
      </c>
      <c r="B1659" t="s">
        <v>105</v>
      </c>
      <c r="C1659" t="s">
        <v>80</v>
      </c>
      <c r="D1659" t="s">
        <v>92</v>
      </c>
      <c r="E1659" t="s">
        <v>95</v>
      </c>
      <c r="F1659" t="s">
        <v>5</v>
      </c>
      <c r="G1659" t="s">
        <v>109</v>
      </c>
      <c r="H1659" s="62">
        <v>2032</v>
      </c>
      <c r="I1659">
        <v>4.1555999999999997</v>
      </c>
    </row>
    <row r="1660" spans="1:9">
      <c r="A1660" t="s">
        <v>104</v>
      </c>
      <c r="B1660" t="s">
        <v>105</v>
      </c>
      <c r="C1660" t="s">
        <v>80</v>
      </c>
      <c r="D1660" t="s">
        <v>96</v>
      </c>
      <c r="E1660" t="s">
        <v>92</v>
      </c>
      <c r="F1660" t="s">
        <v>5</v>
      </c>
      <c r="G1660" t="s">
        <v>109</v>
      </c>
      <c r="H1660" s="62">
        <v>2032</v>
      </c>
      <c r="I1660">
        <v>1.4537</v>
      </c>
    </row>
    <row r="1661" spans="1:9">
      <c r="A1661" t="s">
        <v>104</v>
      </c>
      <c r="B1661" t="s">
        <v>105</v>
      </c>
      <c r="C1661" t="s">
        <v>80</v>
      </c>
      <c r="D1661" t="s">
        <v>96</v>
      </c>
      <c r="E1661" t="s">
        <v>89</v>
      </c>
      <c r="F1661" t="s">
        <v>5</v>
      </c>
      <c r="G1661" t="s">
        <v>109</v>
      </c>
      <c r="H1661" s="62">
        <v>2032</v>
      </c>
      <c r="I1661">
        <v>0.2031</v>
      </c>
    </row>
    <row r="1662" spans="1:9">
      <c r="A1662" t="s">
        <v>104</v>
      </c>
      <c r="B1662" t="s">
        <v>105</v>
      </c>
      <c r="C1662" t="s">
        <v>80</v>
      </c>
      <c r="D1662" t="s">
        <v>97</v>
      </c>
      <c r="E1662" t="s">
        <v>98</v>
      </c>
      <c r="F1662" t="s">
        <v>5</v>
      </c>
      <c r="G1662" t="s">
        <v>109</v>
      </c>
      <c r="H1662" s="62">
        <v>2032</v>
      </c>
      <c r="I1662">
        <v>0.43530000000000002</v>
      </c>
    </row>
    <row r="1663" spans="1:9">
      <c r="A1663" t="s">
        <v>104</v>
      </c>
      <c r="B1663" t="s">
        <v>105</v>
      </c>
      <c r="C1663" t="s">
        <v>80</v>
      </c>
      <c r="D1663" t="s">
        <v>97</v>
      </c>
      <c r="E1663" t="s">
        <v>99</v>
      </c>
      <c r="F1663" t="s">
        <v>5</v>
      </c>
      <c r="G1663" t="s">
        <v>109</v>
      </c>
      <c r="H1663" s="62">
        <v>2032</v>
      </c>
      <c r="I1663">
        <v>1.2999999999999999E-3</v>
      </c>
    </row>
    <row r="1664" spans="1:9">
      <c r="A1664" t="s">
        <v>104</v>
      </c>
      <c r="B1664" t="s">
        <v>105</v>
      </c>
      <c r="C1664" t="s">
        <v>80</v>
      </c>
      <c r="D1664" t="s">
        <v>100</v>
      </c>
      <c r="E1664" t="s">
        <v>101</v>
      </c>
      <c r="F1664" t="s">
        <v>5</v>
      </c>
      <c r="G1664" t="s">
        <v>109</v>
      </c>
      <c r="H1664" s="62">
        <v>2032</v>
      </c>
      <c r="I1664">
        <v>0.84789999999999999</v>
      </c>
    </row>
    <row r="1665" spans="1:9">
      <c r="A1665" t="s">
        <v>104</v>
      </c>
      <c r="B1665" t="s">
        <v>105</v>
      </c>
      <c r="C1665" t="s">
        <v>80</v>
      </c>
      <c r="D1665" t="s">
        <v>100</v>
      </c>
      <c r="E1665" t="s">
        <v>102</v>
      </c>
      <c r="F1665" t="s">
        <v>5</v>
      </c>
      <c r="G1665" t="s">
        <v>109</v>
      </c>
      <c r="H1665" s="62">
        <v>2032</v>
      </c>
      <c r="I1665">
        <v>0</v>
      </c>
    </row>
    <row r="1666" spans="1:9">
      <c r="A1666" t="s">
        <v>104</v>
      </c>
      <c r="B1666" t="s">
        <v>105</v>
      </c>
      <c r="C1666" t="s">
        <v>80</v>
      </c>
      <c r="D1666" t="s">
        <v>100</v>
      </c>
      <c r="E1666" t="s">
        <v>111</v>
      </c>
      <c r="F1666" t="s">
        <v>5</v>
      </c>
      <c r="G1666" t="s">
        <v>109</v>
      </c>
      <c r="H1666" s="62">
        <v>2032</v>
      </c>
      <c r="I1666">
        <v>0</v>
      </c>
    </row>
    <row r="1667" spans="1:9">
      <c r="A1667" t="s">
        <v>104</v>
      </c>
      <c r="B1667" t="s">
        <v>105</v>
      </c>
      <c r="C1667" t="s">
        <v>80</v>
      </c>
      <c r="D1667" t="s">
        <v>100</v>
      </c>
      <c r="E1667" t="s">
        <v>112</v>
      </c>
      <c r="F1667" t="s">
        <v>5</v>
      </c>
      <c r="G1667" t="s">
        <v>109</v>
      </c>
      <c r="H1667" s="62">
        <v>2032</v>
      </c>
      <c r="I1667">
        <v>0</v>
      </c>
    </row>
    <row r="1668" spans="1:9">
      <c r="A1668" t="s">
        <v>104</v>
      </c>
      <c r="B1668" t="s">
        <v>105</v>
      </c>
      <c r="C1668" t="s">
        <v>80</v>
      </c>
      <c r="D1668" t="s">
        <v>83</v>
      </c>
      <c r="E1668" t="s">
        <v>84</v>
      </c>
      <c r="F1668" t="s">
        <v>5</v>
      </c>
      <c r="G1668" t="s">
        <v>109</v>
      </c>
      <c r="H1668" s="62">
        <v>2032</v>
      </c>
      <c r="I1668">
        <v>0.49070000000000003</v>
      </c>
    </row>
    <row r="1669" spans="1:9">
      <c r="A1669" t="s">
        <v>104</v>
      </c>
      <c r="B1669" t="s">
        <v>105</v>
      </c>
      <c r="C1669" t="s">
        <v>80</v>
      </c>
      <c r="D1669" t="s">
        <v>83</v>
      </c>
      <c r="E1669" t="s">
        <v>85</v>
      </c>
      <c r="F1669" t="s">
        <v>5</v>
      </c>
      <c r="G1669" t="s">
        <v>109</v>
      </c>
      <c r="H1669" s="62">
        <v>2032</v>
      </c>
      <c r="I1669">
        <v>0.45250000000000001</v>
      </c>
    </row>
    <row r="1670" spans="1:9">
      <c r="A1670" t="s">
        <v>104</v>
      </c>
      <c r="B1670" t="s">
        <v>105</v>
      </c>
      <c r="C1670" t="s">
        <v>80</v>
      </c>
      <c r="D1670" t="s">
        <v>86</v>
      </c>
      <c r="E1670" t="s">
        <v>106</v>
      </c>
      <c r="F1670" t="s">
        <v>5</v>
      </c>
      <c r="G1670" t="s">
        <v>109</v>
      </c>
      <c r="H1670" s="62">
        <v>2032</v>
      </c>
      <c r="I1670">
        <v>5.9900000000000002E-2</v>
      </c>
    </row>
    <row r="1671" spans="1:9">
      <c r="A1671" t="s">
        <v>104</v>
      </c>
      <c r="B1671" t="s">
        <v>105</v>
      </c>
      <c r="C1671" t="s">
        <v>80</v>
      </c>
      <c r="D1671" t="s">
        <v>86</v>
      </c>
      <c r="E1671" t="s">
        <v>87</v>
      </c>
      <c r="F1671" t="s">
        <v>5</v>
      </c>
      <c r="G1671" t="s">
        <v>109</v>
      </c>
      <c r="H1671" s="62">
        <v>2032</v>
      </c>
      <c r="I1671">
        <v>1.0945</v>
      </c>
    </row>
    <row r="1672" spans="1:9">
      <c r="A1672" t="s">
        <v>104</v>
      </c>
      <c r="B1672" t="s">
        <v>105</v>
      </c>
      <c r="C1672" t="s">
        <v>80</v>
      </c>
      <c r="D1672" t="s">
        <v>103</v>
      </c>
      <c r="E1672" t="s">
        <v>92</v>
      </c>
      <c r="F1672" t="s">
        <v>5</v>
      </c>
      <c r="G1672" t="s">
        <v>109</v>
      </c>
      <c r="H1672" s="62">
        <v>2032</v>
      </c>
      <c r="I1672">
        <v>0.88590000000000002</v>
      </c>
    </row>
    <row r="1673" spans="1:9">
      <c r="A1673" t="s">
        <v>104</v>
      </c>
      <c r="B1673" t="s">
        <v>105</v>
      </c>
      <c r="C1673" t="s">
        <v>80</v>
      </c>
      <c r="D1673" t="s">
        <v>103</v>
      </c>
      <c r="E1673" t="s">
        <v>89</v>
      </c>
      <c r="F1673" t="s">
        <v>5</v>
      </c>
      <c r="G1673" t="s">
        <v>109</v>
      </c>
      <c r="H1673" s="62">
        <v>2032</v>
      </c>
      <c r="I1673">
        <v>4.0574000000000003</v>
      </c>
    </row>
    <row r="1674" spans="1:9">
      <c r="A1674" t="s">
        <v>104</v>
      </c>
      <c r="B1674" t="s">
        <v>105</v>
      </c>
      <c r="C1674" t="s">
        <v>107</v>
      </c>
      <c r="D1674" t="s">
        <v>107</v>
      </c>
      <c r="E1674" t="s">
        <v>107</v>
      </c>
      <c r="F1674" t="s">
        <v>5</v>
      </c>
      <c r="G1674" t="s">
        <v>109</v>
      </c>
      <c r="H1674" s="62">
        <v>2033</v>
      </c>
      <c r="I1674">
        <v>13.3857</v>
      </c>
    </row>
    <row r="1675" spans="1:9">
      <c r="A1675" t="s">
        <v>104</v>
      </c>
      <c r="B1675" t="s">
        <v>105</v>
      </c>
      <c r="C1675" t="s">
        <v>107</v>
      </c>
      <c r="D1675" t="s">
        <v>108</v>
      </c>
      <c r="E1675" t="s">
        <v>108</v>
      </c>
      <c r="F1675" t="s">
        <v>5</v>
      </c>
      <c r="G1675" t="s">
        <v>109</v>
      </c>
      <c r="H1675" s="62">
        <v>2033</v>
      </c>
      <c r="I1675">
        <v>4.5600000000000002E-2</v>
      </c>
    </row>
    <row r="1676" spans="1:9">
      <c r="A1676" t="s">
        <v>104</v>
      </c>
      <c r="B1676" t="s">
        <v>105</v>
      </c>
      <c r="C1676" t="s">
        <v>80</v>
      </c>
      <c r="D1676" t="s">
        <v>80</v>
      </c>
      <c r="E1676" t="s">
        <v>80</v>
      </c>
      <c r="F1676" t="s">
        <v>5</v>
      </c>
      <c r="G1676" t="s">
        <v>109</v>
      </c>
      <c r="H1676" s="62">
        <v>2033</v>
      </c>
      <c r="I1676">
        <v>13.34</v>
      </c>
    </row>
    <row r="1677" spans="1:9">
      <c r="A1677" t="s">
        <v>104</v>
      </c>
      <c r="B1677" t="s">
        <v>105</v>
      </c>
      <c r="C1677" t="s">
        <v>80</v>
      </c>
      <c r="D1677" t="s">
        <v>89</v>
      </c>
      <c r="E1677" t="s">
        <v>90</v>
      </c>
      <c r="F1677" t="s">
        <v>5</v>
      </c>
      <c r="G1677" t="s">
        <v>109</v>
      </c>
      <c r="H1677" s="62">
        <v>2033</v>
      </c>
      <c r="I1677">
        <v>0.22819999999999999</v>
      </c>
    </row>
    <row r="1678" spans="1:9">
      <c r="A1678" t="s">
        <v>104</v>
      </c>
      <c r="B1678" t="s">
        <v>105</v>
      </c>
      <c r="C1678" t="s">
        <v>80</v>
      </c>
      <c r="D1678" t="s">
        <v>89</v>
      </c>
      <c r="E1678" t="s">
        <v>91</v>
      </c>
      <c r="F1678" t="s">
        <v>5</v>
      </c>
      <c r="G1678" t="s">
        <v>109</v>
      </c>
      <c r="H1678" s="62">
        <v>2033</v>
      </c>
      <c r="I1678">
        <v>-2.7099999999999999E-2</v>
      </c>
    </row>
    <row r="1679" spans="1:9">
      <c r="A1679" t="s">
        <v>104</v>
      </c>
      <c r="B1679" t="s">
        <v>105</v>
      </c>
      <c r="C1679" t="s">
        <v>80</v>
      </c>
      <c r="D1679" t="s">
        <v>92</v>
      </c>
      <c r="E1679" t="s">
        <v>93</v>
      </c>
      <c r="F1679" t="s">
        <v>5</v>
      </c>
      <c r="G1679" t="s">
        <v>109</v>
      </c>
      <c r="H1679" s="62">
        <v>2033</v>
      </c>
      <c r="I1679">
        <v>-1.2157</v>
      </c>
    </row>
    <row r="1680" spans="1:9">
      <c r="A1680" t="s">
        <v>104</v>
      </c>
      <c r="B1680" t="s">
        <v>105</v>
      </c>
      <c r="C1680" t="s">
        <v>80</v>
      </c>
      <c r="D1680" t="s">
        <v>92</v>
      </c>
      <c r="E1680" t="s">
        <v>94</v>
      </c>
      <c r="F1680" t="s">
        <v>5</v>
      </c>
      <c r="G1680" t="s">
        <v>109</v>
      </c>
      <c r="H1680" s="62">
        <v>2033</v>
      </c>
      <c r="I1680">
        <v>6.0572999999999997</v>
      </c>
    </row>
    <row r="1681" spans="1:9">
      <c r="A1681" t="s">
        <v>104</v>
      </c>
      <c r="B1681" t="s">
        <v>105</v>
      </c>
      <c r="C1681" t="s">
        <v>80</v>
      </c>
      <c r="D1681" t="s">
        <v>92</v>
      </c>
      <c r="E1681" t="s">
        <v>110</v>
      </c>
      <c r="F1681" t="s">
        <v>5</v>
      </c>
      <c r="G1681" t="s">
        <v>109</v>
      </c>
      <c r="H1681" s="62">
        <v>2033</v>
      </c>
      <c r="I1681">
        <v>0</v>
      </c>
    </row>
    <row r="1682" spans="1:9">
      <c r="A1682" t="s">
        <v>104</v>
      </c>
      <c r="B1682" t="s">
        <v>105</v>
      </c>
      <c r="C1682" t="s">
        <v>80</v>
      </c>
      <c r="D1682" t="s">
        <v>92</v>
      </c>
      <c r="E1682" t="s">
        <v>95</v>
      </c>
      <c r="F1682" t="s">
        <v>5</v>
      </c>
      <c r="G1682" t="s">
        <v>109</v>
      </c>
      <c r="H1682" s="62">
        <v>2033</v>
      </c>
      <c r="I1682">
        <v>4.1776</v>
      </c>
    </row>
    <row r="1683" spans="1:9">
      <c r="A1683" t="s">
        <v>104</v>
      </c>
      <c r="B1683" t="s">
        <v>105</v>
      </c>
      <c r="C1683" t="s">
        <v>80</v>
      </c>
      <c r="D1683" t="s">
        <v>96</v>
      </c>
      <c r="E1683" t="s">
        <v>92</v>
      </c>
      <c r="F1683" t="s">
        <v>5</v>
      </c>
      <c r="G1683" t="s">
        <v>109</v>
      </c>
      <c r="H1683" s="62">
        <v>2033</v>
      </c>
      <c r="I1683">
        <v>1.4668000000000001</v>
      </c>
    </row>
    <row r="1684" spans="1:9">
      <c r="A1684" t="s">
        <v>104</v>
      </c>
      <c r="B1684" t="s">
        <v>105</v>
      </c>
      <c r="C1684" t="s">
        <v>80</v>
      </c>
      <c r="D1684" t="s">
        <v>96</v>
      </c>
      <c r="E1684" t="s">
        <v>89</v>
      </c>
      <c r="F1684" t="s">
        <v>5</v>
      </c>
      <c r="G1684" t="s">
        <v>109</v>
      </c>
      <c r="H1684" s="62">
        <v>2033</v>
      </c>
      <c r="I1684">
        <v>0.2321</v>
      </c>
    </row>
    <row r="1685" spans="1:9">
      <c r="A1685" t="s">
        <v>104</v>
      </c>
      <c r="B1685" t="s">
        <v>105</v>
      </c>
      <c r="C1685" t="s">
        <v>80</v>
      </c>
      <c r="D1685" t="s">
        <v>97</v>
      </c>
      <c r="E1685" t="s">
        <v>98</v>
      </c>
      <c r="F1685" t="s">
        <v>5</v>
      </c>
      <c r="G1685" t="s">
        <v>109</v>
      </c>
      <c r="H1685" s="62">
        <v>2033</v>
      </c>
      <c r="I1685">
        <v>0.52129999999999999</v>
      </c>
    </row>
    <row r="1686" spans="1:9">
      <c r="A1686" t="s">
        <v>104</v>
      </c>
      <c r="B1686" t="s">
        <v>105</v>
      </c>
      <c r="C1686" t="s">
        <v>80</v>
      </c>
      <c r="D1686" t="s">
        <v>97</v>
      </c>
      <c r="E1686" t="s">
        <v>99</v>
      </c>
      <c r="F1686" t="s">
        <v>5</v>
      </c>
      <c r="G1686" t="s">
        <v>109</v>
      </c>
      <c r="H1686" s="62">
        <v>2033</v>
      </c>
      <c r="I1686">
        <v>2.2000000000000001E-3</v>
      </c>
    </row>
    <row r="1687" spans="1:9">
      <c r="A1687" t="s">
        <v>104</v>
      </c>
      <c r="B1687" t="s">
        <v>105</v>
      </c>
      <c r="C1687" t="s">
        <v>80</v>
      </c>
      <c r="D1687" t="s">
        <v>100</v>
      </c>
      <c r="E1687" t="s">
        <v>101</v>
      </c>
      <c r="F1687" t="s">
        <v>5</v>
      </c>
      <c r="G1687" t="s">
        <v>109</v>
      </c>
      <c r="H1687" s="62">
        <v>2033</v>
      </c>
      <c r="I1687">
        <v>0.95450000000000002</v>
      </c>
    </row>
    <row r="1688" spans="1:9">
      <c r="A1688" t="s">
        <v>104</v>
      </c>
      <c r="B1688" t="s">
        <v>105</v>
      </c>
      <c r="C1688" t="s">
        <v>80</v>
      </c>
      <c r="D1688" t="s">
        <v>100</v>
      </c>
      <c r="E1688" t="s">
        <v>102</v>
      </c>
      <c r="F1688" t="s">
        <v>5</v>
      </c>
      <c r="G1688" t="s">
        <v>109</v>
      </c>
      <c r="H1688" s="62">
        <v>2033</v>
      </c>
      <c r="I1688">
        <v>0</v>
      </c>
    </row>
    <row r="1689" spans="1:9">
      <c r="A1689" t="s">
        <v>104</v>
      </c>
      <c r="B1689" t="s">
        <v>105</v>
      </c>
      <c r="C1689" t="s">
        <v>80</v>
      </c>
      <c r="D1689" t="s">
        <v>100</v>
      </c>
      <c r="E1689" t="s">
        <v>111</v>
      </c>
      <c r="F1689" t="s">
        <v>5</v>
      </c>
      <c r="G1689" t="s">
        <v>109</v>
      </c>
      <c r="H1689" s="62">
        <v>2033</v>
      </c>
      <c r="I1689">
        <v>0</v>
      </c>
    </row>
    <row r="1690" spans="1:9">
      <c r="A1690" t="s">
        <v>104</v>
      </c>
      <c r="B1690" t="s">
        <v>105</v>
      </c>
      <c r="C1690" t="s">
        <v>80</v>
      </c>
      <c r="D1690" t="s">
        <v>100</v>
      </c>
      <c r="E1690" t="s">
        <v>112</v>
      </c>
      <c r="F1690" t="s">
        <v>5</v>
      </c>
      <c r="G1690" t="s">
        <v>109</v>
      </c>
      <c r="H1690" s="62">
        <v>2033</v>
      </c>
      <c r="I1690">
        <v>0</v>
      </c>
    </row>
    <row r="1691" spans="1:9">
      <c r="A1691" t="s">
        <v>104</v>
      </c>
      <c r="B1691" t="s">
        <v>105</v>
      </c>
      <c r="C1691" t="s">
        <v>80</v>
      </c>
      <c r="D1691" t="s">
        <v>83</v>
      </c>
      <c r="E1691" t="s">
        <v>84</v>
      </c>
      <c r="F1691" t="s">
        <v>5</v>
      </c>
      <c r="G1691" t="s">
        <v>109</v>
      </c>
      <c r="H1691" s="62">
        <v>2033</v>
      </c>
      <c r="I1691">
        <v>0.49009999999999998</v>
      </c>
    </row>
    <row r="1692" spans="1:9">
      <c r="A1692" t="s">
        <v>104</v>
      </c>
      <c r="B1692" t="s">
        <v>105</v>
      </c>
      <c r="C1692" t="s">
        <v>80</v>
      </c>
      <c r="D1692" t="s">
        <v>83</v>
      </c>
      <c r="E1692" t="s">
        <v>85</v>
      </c>
      <c r="F1692" t="s">
        <v>5</v>
      </c>
      <c r="G1692" t="s">
        <v>109</v>
      </c>
      <c r="H1692" s="62">
        <v>2033</v>
      </c>
      <c r="I1692">
        <v>0.45290000000000002</v>
      </c>
    </row>
    <row r="1693" spans="1:9">
      <c r="A1693" t="s">
        <v>104</v>
      </c>
      <c r="B1693" t="s">
        <v>105</v>
      </c>
      <c r="C1693" t="s">
        <v>80</v>
      </c>
      <c r="D1693" t="s">
        <v>86</v>
      </c>
      <c r="E1693" t="s">
        <v>106</v>
      </c>
      <c r="F1693" t="s">
        <v>5</v>
      </c>
      <c r="G1693" t="s">
        <v>109</v>
      </c>
      <c r="H1693" s="62">
        <v>2033</v>
      </c>
      <c r="I1693">
        <v>6.0299999999999999E-2</v>
      </c>
    </row>
    <row r="1694" spans="1:9">
      <c r="A1694" t="s">
        <v>104</v>
      </c>
      <c r="B1694" t="s">
        <v>105</v>
      </c>
      <c r="C1694" t="s">
        <v>80</v>
      </c>
      <c r="D1694" t="s">
        <v>86</v>
      </c>
      <c r="E1694" t="s">
        <v>87</v>
      </c>
      <c r="F1694" t="s">
        <v>5</v>
      </c>
      <c r="G1694" t="s">
        <v>109</v>
      </c>
      <c r="H1694" s="62">
        <v>2033</v>
      </c>
      <c r="I1694">
        <v>1.1825000000000001</v>
      </c>
    </row>
    <row r="1695" spans="1:9">
      <c r="A1695" t="s">
        <v>104</v>
      </c>
      <c r="B1695" t="s">
        <v>105</v>
      </c>
      <c r="C1695" t="s">
        <v>80</v>
      </c>
      <c r="D1695" t="s">
        <v>103</v>
      </c>
      <c r="E1695" t="s">
        <v>92</v>
      </c>
      <c r="F1695" t="s">
        <v>5</v>
      </c>
      <c r="G1695" t="s">
        <v>109</v>
      </c>
      <c r="H1695" s="62">
        <v>2033</v>
      </c>
      <c r="I1695">
        <v>0.91669999999999996</v>
      </c>
    </row>
    <row r="1696" spans="1:9">
      <c r="A1696" t="s">
        <v>104</v>
      </c>
      <c r="B1696" t="s">
        <v>105</v>
      </c>
      <c r="C1696" t="s">
        <v>80</v>
      </c>
      <c r="D1696" t="s">
        <v>103</v>
      </c>
      <c r="E1696" t="s">
        <v>89</v>
      </c>
      <c r="F1696" t="s">
        <v>5</v>
      </c>
      <c r="G1696" t="s">
        <v>109</v>
      </c>
      <c r="H1696" s="62">
        <v>2033</v>
      </c>
      <c r="I1696">
        <v>4.2495000000000003</v>
      </c>
    </row>
    <row r="1697" spans="1:9">
      <c r="A1697" t="s">
        <v>104</v>
      </c>
      <c r="B1697" t="s">
        <v>105</v>
      </c>
      <c r="C1697" t="s">
        <v>107</v>
      </c>
      <c r="D1697" t="s">
        <v>107</v>
      </c>
      <c r="E1697" t="s">
        <v>107</v>
      </c>
      <c r="F1697" t="s">
        <v>5</v>
      </c>
      <c r="G1697" t="s">
        <v>109</v>
      </c>
      <c r="H1697" s="62">
        <v>2034</v>
      </c>
      <c r="I1697">
        <v>13.9245</v>
      </c>
    </row>
    <row r="1698" spans="1:9">
      <c r="A1698" t="s">
        <v>104</v>
      </c>
      <c r="B1698" t="s">
        <v>105</v>
      </c>
      <c r="C1698" t="s">
        <v>107</v>
      </c>
      <c r="D1698" t="s">
        <v>108</v>
      </c>
      <c r="E1698" t="s">
        <v>108</v>
      </c>
      <c r="F1698" t="s">
        <v>5</v>
      </c>
      <c r="G1698" t="s">
        <v>109</v>
      </c>
      <c r="H1698" s="62">
        <v>2034</v>
      </c>
      <c r="I1698">
        <v>6.3899999999999998E-2</v>
      </c>
    </row>
    <row r="1699" spans="1:9">
      <c r="A1699" t="s">
        <v>104</v>
      </c>
      <c r="B1699" t="s">
        <v>105</v>
      </c>
      <c r="C1699" t="s">
        <v>80</v>
      </c>
      <c r="D1699" t="s">
        <v>80</v>
      </c>
      <c r="E1699" t="s">
        <v>80</v>
      </c>
      <c r="F1699" t="s">
        <v>5</v>
      </c>
      <c r="G1699" t="s">
        <v>109</v>
      </c>
      <c r="H1699" s="62">
        <v>2034</v>
      </c>
      <c r="I1699">
        <v>13.8606</v>
      </c>
    </row>
    <row r="1700" spans="1:9">
      <c r="A1700" t="s">
        <v>104</v>
      </c>
      <c r="B1700" t="s">
        <v>105</v>
      </c>
      <c r="C1700" t="s">
        <v>80</v>
      </c>
      <c r="D1700" t="s">
        <v>89</v>
      </c>
      <c r="E1700" t="s">
        <v>90</v>
      </c>
      <c r="F1700" t="s">
        <v>5</v>
      </c>
      <c r="G1700" t="s">
        <v>109</v>
      </c>
      <c r="H1700" s="62">
        <v>2034</v>
      </c>
      <c r="I1700">
        <v>6.2899999999999998E-2</v>
      </c>
    </row>
    <row r="1701" spans="1:9">
      <c r="A1701" t="s">
        <v>104</v>
      </c>
      <c r="B1701" t="s">
        <v>105</v>
      </c>
      <c r="C1701" t="s">
        <v>80</v>
      </c>
      <c r="D1701" t="s">
        <v>89</v>
      </c>
      <c r="E1701" t="s">
        <v>91</v>
      </c>
      <c r="F1701" t="s">
        <v>5</v>
      </c>
      <c r="G1701" t="s">
        <v>109</v>
      </c>
      <c r="H1701" s="62">
        <v>2034</v>
      </c>
      <c r="I1701">
        <v>-8.2000000000000007E-3</v>
      </c>
    </row>
    <row r="1702" spans="1:9">
      <c r="A1702" t="s">
        <v>104</v>
      </c>
      <c r="B1702" t="s">
        <v>105</v>
      </c>
      <c r="C1702" t="s">
        <v>80</v>
      </c>
      <c r="D1702" t="s">
        <v>92</v>
      </c>
      <c r="E1702" t="s">
        <v>93</v>
      </c>
      <c r="F1702" t="s">
        <v>5</v>
      </c>
      <c r="G1702" t="s">
        <v>109</v>
      </c>
      <c r="H1702" s="62">
        <v>2034</v>
      </c>
      <c r="I1702">
        <v>-1.3297000000000001</v>
      </c>
    </row>
    <row r="1703" spans="1:9">
      <c r="A1703" t="s">
        <v>104</v>
      </c>
      <c r="B1703" t="s">
        <v>105</v>
      </c>
      <c r="C1703" t="s">
        <v>80</v>
      </c>
      <c r="D1703" t="s">
        <v>92</v>
      </c>
      <c r="E1703" t="s">
        <v>94</v>
      </c>
      <c r="F1703" t="s">
        <v>5</v>
      </c>
      <c r="G1703" t="s">
        <v>109</v>
      </c>
      <c r="H1703" s="62">
        <v>2034</v>
      </c>
      <c r="I1703">
        <v>6.0065</v>
      </c>
    </row>
    <row r="1704" spans="1:9">
      <c r="A1704" t="s">
        <v>104</v>
      </c>
      <c r="B1704" t="s">
        <v>105</v>
      </c>
      <c r="C1704" t="s">
        <v>80</v>
      </c>
      <c r="D1704" t="s">
        <v>92</v>
      </c>
      <c r="E1704" t="s">
        <v>110</v>
      </c>
      <c r="F1704" t="s">
        <v>5</v>
      </c>
      <c r="G1704" t="s">
        <v>109</v>
      </c>
      <c r="H1704" s="62">
        <v>2034</v>
      </c>
      <c r="I1704">
        <v>0</v>
      </c>
    </row>
    <row r="1705" spans="1:9">
      <c r="A1705" t="s">
        <v>104</v>
      </c>
      <c r="B1705" t="s">
        <v>105</v>
      </c>
      <c r="C1705" t="s">
        <v>80</v>
      </c>
      <c r="D1705" t="s">
        <v>92</v>
      </c>
      <c r="E1705" t="s">
        <v>95</v>
      </c>
      <c r="F1705" t="s">
        <v>5</v>
      </c>
      <c r="G1705" t="s">
        <v>109</v>
      </c>
      <c r="H1705" s="62">
        <v>2034</v>
      </c>
      <c r="I1705">
        <v>4.2032999999999996</v>
      </c>
    </row>
    <row r="1706" spans="1:9">
      <c r="A1706" t="s">
        <v>104</v>
      </c>
      <c r="B1706" t="s">
        <v>105</v>
      </c>
      <c r="C1706" t="s">
        <v>80</v>
      </c>
      <c r="D1706" t="s">
        <v>96</v>
      </c>
      <c r="E1706" t="s">
        <v>92</v>
      </c>
      <c r="F1706" t="s">
        <v>5</v>
      </c>
      <c r="G1706" t="s">
        <v>109</v>
      </c>
      <c r="H1706" s="62">
        <v>2034</v>
      </c>
      <c r="I1706">
        <v>1.5192000000000001</v>
      </c>
    </row>
    <row r="1707" spans="1:9">
      <c r="A1707" t="s">
        <v>104</v>
      </c>
      <c r="B1707" t="s">
        <v>105</v>
      </c>
      <c r="C1707" t="s">
        <v>80</v>
      </c>
      <c r="D1707" t="s">
        <v>96</v>
      </c>
      <c r="E1707" t="s">
        <v>89</v>
      </c>
      <c r="F1707" t="s">
        <v>5</v>
      </c>
      <c r="G1707" t="s">
        <v>109</v>
      </c>
      <c r="H1707" s="62">
        <v>2034</v>
      </c>
      <c r="I1707">
        <v>0.26019999999999999</v>
      </c>
    </row>
    <row r="1708" spans="1:9">
      <c r="A1708" t="s">
        <v>104</v>
      </c>
      <c r="B1708" t="s">
        <v>105</v>
      </c>
      <c r="C1708" t="s">
        <v>80</v>
      </c>
      <c r="D1708" t="s">
        <v>97</v>
      </c>
      <c r="E1708" t="s">
        <v>98</v>
      </c>
      <c r="F1708" t="s">
        <v>5</v>
      </c>
      <c r="G1708" t="s">
        <v>109</v>
      </c>
      <c r="H1708" s="62">
        <v>2034</v>
      </c>
      <c r="I1708">
        <v>0.61450000000000005</v>
      </c>
    </row>
    <row r="1709" spans="1:9">
      <c r="A1709" t="s">
        <v>104</v>
      </c>
      <c r="B1709" t="s">
        <v>105</v>
      </c>
      <c r="C1709" t="s">
        <v>80</v>
      </c>
      <c r="D1709" t="s">
        <v>97</v>
      </c>
      <c r="E1709" t="s">
        <v>99</v>
      </c>
      <c r="F1709" t="s">
        <v>5</v>
      </c>
      <c r="G1709" t="s">
        <v>109</v>
      </c>
      <c r="H1709" s="62">
        <v>2034</v>
      </c>
      <c r="I1709">
        <v>3.3999999999999998E-3</v>
      </c>
    </row>
    <row r="1710" spans="1:9">
      <c r="A1710" t="s">
        <v>104</v>
      </c>
      <c r="B1710" t="s">
        <v>105</v>
      </c>
      <c r="C1710" t="s">
        <v>80</v>
      </c>
      <c r="D1710" t="s">
        <v>100</v>
      </c>
      <c r="E1710" t="s">
        <v>101</v>
      </c>
      <c r="F1710" t="s">
        <v>5</v>
      </c>
      <c r="G1710" t="s">
        <v>109</v>
      </c>
      <c r="H1710" s="62">
        <v>2034</v>
      </c>
      <c r="I1710">
        <v>1.0913999999999999</v>
      </c>
    </row>
    <row r="1711" spans="1:9">
      <c r="A1711" t="s">
        <v>104</v>
      </c>
      <c r="B1711" t="s">
        <v>105</v>
      </c>
      <c r="C1711" t="s">
        <v>80</v>
      </c>
      <c r="D1711" t="s">
        <v>100</v>
      </c>
      <c r="E1711" t="s">
        <v>102</v>
      </c>
      <c r="F1711" t="s">
        <v>5</v>
      </c>
      <c r="G1711" t="s">
        <v>109</v>
      </c>
      <c r="H1711" s="62">
        <v>2034</v>
      </c>
      <c r="I1711">
        <v>0.49709999999999999</v>
      </c>
    </row>
    <row r="1712" spans="1:9">
      <c r="A1712" t="s">
        <v>104</v>
      </c>
      <c r="B1712" t="s">
        <v>105</v>
      </c>
      <c r="C1712" t="s">
        <v>80</v>
      </c>
      <c r="D1712" t="s">
        <v>100</v>
      </c>
      <c r="E1712" t="s">
        <v>111</v>
      </c>
      <c r="F1712" t="s">
        <v>5</v>
      </c>
      <c r="G1712" t="s">
        <v>109</v>
      </c>
      <c r="H1712" s="62">
        <v>2034</v>
      </c>
      <c r="I1712">
        <v>0</v>
      </c>
    </row>
    <row r="1713" spans="1:9">
      <c r="A1713" t="s">
        <v>104</v>
      </c>
      <c r="B1713" t="s">
        <v>105</v>
      </c>
      <c r="C1713" t="s">
        <v>80</v>
      </c>
      <c r="D1713" t="s">
        <v>100</v>
      </c>
      <c r="E1713" t="s">
        <v>112</v>
      </c>
      <c r="F1713" t="s">
        <v>5</v>
      </c>
      <c r="G1713" t="s">
        <v>109</v>
      </c>
      <c r="H1713" s="62">
        <v>2034</v>
      </c>
      <c r="I1713">
        <v>0</v>
      </c>
    </row>
    <row r="1714" spans="1:9">
      <c r="A1714" t="s">
        <v>104</v>
      </c>
      <c r="B1714" t="s">
        <v>105</v>
      </c>
      <c r="C1714" t="s">
        <v>80</v>
      </c>
      <c r="D1714" t="s">
        <v>83</v>
      </c>
      <c r="E1714" t="s">
        <v>84</v>
      </c>
      <c r="F1714" t="s">
        <v>5</v>
      </c>
      <c r="G1714" t="s">
        <v>109</v>
      </c>
      <c r="H1714" s="62">
        <v>2034</v>
      </c>
      <c r="I1714">
        <v>0.48770000000000002</v>
      </c>
    </row>
    <row r="1715" spans="1:9">
      <c r="A1715" t="s">
        <v>104</v>
      </c>
      <c r="B1715" t="s">
        <v>105</v>
      </c>
      <c r="C1715" t="s">
        <v>80</v>
      </c>
      <c r="D1715" t="s">
        <v>83</v>
      </c>
      <c r="E1715" t="s">
        <v>85</v>
      </c>
      <c r="F1715" t="s">
        <v>5</v>
      </c>
      <c r="G1715" t="s">
        <v>109</v>
      </c>
      <c r="H1715" s="62">
        <v>2034</v>
      </c>
      <c r="I1715">
        <v>0.45229999999999998</v>
      </c>
    </row>
    <row r="1716" spans="1:9">
      <c r="A1716" t="s">
        <v>104</v>
      </c>
      <c r="B1716" t="s">
        <v>105</v>
      </c>
      <c r="C1716" t="s">
        <v>80</v>
      </c>
      <c r="D1716" t="s">
        <v>86</v>
      </c>
      <c r="E1716" t="s">
        <v>106</v>
      </c>
      <c r="F1716" t="s">
        <v>5</v>
      </c>
      <c r="G1716" t="s">
        <v>109</v>
      </c>
      <c r="H1716" s="62">
        <v>2034</v>
      </c>
      <c r="I1716">
        <v>6.08E-2</v>
      </c>
    </row>
    <row r="1717" spans="1:9">
      <c r="A1717" t="s">
        <v>104</v>
      </c>
      <c r="B1717" t="s">
        <v>105</v>
      </c>
      <c r="C1717" t="s">
        <v>80</v>
      </c>
      <c r="D1717" t="s">
        <v>86</v>
      </c>
      <c r="E1717" t="s">
        <v>87</v>
      </c>
      <c r="F1717" t="s">
        <v>5</v>
      </c>
      <c r="G1717" t="s">
        <v>109</v>
      </c>
      <c r="H1717" s="62">
        <v>2034</v>
      </c>
      <c r="I1717">
        <v>1.2770999999999999</v>
      </c>
    </row>
    <row r="1718" spans="1:9">
      <c r="A1718" t="s">
        <v>104</v>
      </c>
      <c r="B1718" t="s">
        <v>105</v>
      </c>
      <c r="C1718" t="s">
        <v>80</v>
      </c>
      <c r="D1718" t="s">
        <v>103</v>
      </c>
      <c r="E1718" t="s">
        <v>92</v>
      </c>
      <c r="F1718" t="s">
        <v>5</v>
      </c>
      <c r="G1718" t="s">
        <v>109</v>
      </c>
      <c r="H1718" s="62">
        <v>2034</v>
      </c>
      <c r="I1718">
        <v>0.94599999999999995</v>
      </c>
    </row>
    <row r="1719" spans="1:9">
      <c r="A1719" t="s">
        <v>104</v>
      </c>
      <c r="B1719" t="s">
        <v>105</v>
      </c>
      <c r="C1719" t="s">
        <v>80</v>
      </c>
      <c r="D1719" t="s">
        <v>103</v>
      </c>
      <c r="E1719" t="s">
        <v>89</v>
      </c>
      <c r="F1719" t="s">
        <v>5</v>
      </c>
      <c r="G1719" t="s">
        <v>109</v>
      </c>
      <c r="H1719" s="62">
        <v>2034</v>
      </c>
      <c r="I1719">
        <v>4.4259000000000004</v>
      </c>
    </row>
    <row r="1720" spans="1:9">
      <c r="A1720" t="s">
        <v>104</v>
      </c>
      <c r="B1720" t="s">
        <v>105</v>
      </c>
      <c r="C1720" t="s">
        <v>107</v>
      </c>
      <c r="D1720" t="s">
        <v>107</v>
      </c>
      <c r="E1720" t="s">
        <v>107</v>
      </c>
      <c r="F1720" t="s">
        <v>5</v>
      </c>
      <c r="G1720" t="s">
        <v>109</v>
      </c>
      <c r="H1720" s="62">
        <v>2035</v>
      </c>
      <c r="I1720">
        <v>13.961499999999999</v>
      </c>
    </row>
    <row r="1721" spans="1:9">
      <c r="A1721" t="s">
        <v>104</v>
      </c>
      <c r="B1721" t="s">
        <v>105</v>
      </c>
      <c r="C1721" t="s">
        <v>107</v>
      </c>
      <c r="D1721" t="s">
        <v>108</v>
      </c>
      <c r="E1721" t="s">
        <v>108</v>
      </c>
      <c r="F1721" t="s">
        <v>5</v>
      </c>
      <c r="G1721" t="s">
        <v>109</v>
      </c>
      <c r="H1721" s="62">
        <v>2035</v>
      </c>
      <c r="I1721">
        <v>6.88E-2</v>
      </c>
    </row>
    <row r="1722" spans="1:9">
      <c r="A1722" t="s">
        <v>104</v>
      </c>
      <c r="B1722" t="s">
        <v>105</v>
      </c>
      <c r="C1722" t="s">
        <v>80</v>
      </c>
      <c r="D1722" t="s">
        <v>80</v>
      </c>
      <c r="E1722" t="s">
        <v>80</v>
      </c>
      <c r="F1722" t="s">
        <v>5</v>
      </c>
      <c r="G1722" t="s">
        <v>109</v>
      </c>
      <c r="H1722" s="62">
        <v>2035</v>
      </c>
      <c r="I1722">
        <v>13.8927</v>
      </c>
    </row>
    <row r="1723" spans="1:9">
      <c r="A1723" t="s">
        <v>104</v>
      </c>
      <c r="B1723" t="s">
        <v>105</v>
      </c>
      <c r="C1723" t="s">
        <v>80</v>
      </c>
      <c r="D1723" t="s">
        <v>89</v>
      </c>
      <c r="E1723" t="s">
        <v>90</v>
      </c>
      <c r="F1723" t="s">
        <v>5</v>
      </c>
      <c r="G1723" t="s">
        <v>109</v>
      </c>
      <c r="H1723" s="62">
        <v>2035</v>
      </c>
      <c r="I1723">
        <v>-9.0399999999999994E-2</v>
      </c>
    </row>
    <row r="1724" spans="1:9">
      <c r="A1724" t="s">
        <v>104</v>
      </c>
      <c r="B1724" t="s">
        <v>105</v>
      </c>
      <c r="C1724" t="s">
        <v>80</v>
      </c>
      <c r="D1724" t="s">
        <v>89</v>
      </c>
      <c r="E1724" t="s">
        <v>91</v>
      </c>
      <c r="F1724" t="s">
        <v>5</v>
      </c>
      <c r="G1724" t="s">
        <v>109</v>
      </c>
      <c r="H1724" s="62">
        <v>2035</v>
      </c>
      <c r="I1724">
        <v>1.2699999999999999E-2</v>
      </c>
    </row>
    <row r="1725" spans="1:9">
      <c r="A1725" t="s">
        <v>104</v>
      </c>
      <c r="B1725" t="s">
        <v>105</v>
      </c>
      <c r="C1725" t="s">
        <v>80</v>
      </c>
      <c r="D1725" t="s">
        <v>92</v>
      </c>
      <c r="E1725" t="s">
        <v>93</v>
      </c>
      <c r="F1725" t="s">
        <v>5</v>
      </c>
      <c r="G1725" t="s">
        <v>109</v>
      </c>
      <c r="H1725" s="62">
        <v>2035</v>
      </c>
      <c r="I1725">
        <v>-1.4395</v>
      </c>
    </row>
    <row r="1726" spans="1:9">
      <c r="A1726" t="s">
        <v>104</v>
      </c>
      <c r="B1726" t="s">
        <v>105</v>
      </c>
      <c r="C1726" t="s">
        <v>80</v>
      </c>
      <c r="D1726" t="s">
        <v>92</v>
      </c>
      <c r="E1726" t="s">
        <v>94</v>
      </c>
      <c r="F1726" t="s">
        <v>5</v>
      </c>
      <c r="G1726" t="s">
        <v>109</v>
      </c>
      <c r="H1726" s="62">
        <v>2035</v>
      </c>
      <c r="I1726">
        <v>5.9808000000000003</v>
      </c>
    </row>
    <row r="1727" spans="1:9">
      <c r="A1727" t="s">
        <v>104</v>
      </c>
      <c r="B1727" t="s">
        <v>105</v>
      </c>
      <c r="C1727" t="s">
        <v>80</v>
      </c>
      <c r="D1727" t="s">
        <v>92</v>
      </c>
      <c r="E1727" t="s">
        <v>110</v>
      </c>
      <c r="F1727" t="s">
        <v>5</v>
      </c>
      <c r="G1727" t="s">
        <v>109</v>
      </c>
      <c r="H1727" s="62">
        <v>2035</v>
      </c>
      <c r="I1727">
        <v>0</v>
      </c>
    </row>
    <row r="1728" spans="1:9">
      <c r="A1728" t="s">
        <v>104</v>
      </c>
      <c r="B1728" t="s">
        <v>105</v>
      </c>
      <c r="C1728" t="s">
        <v>80</v>
      </c>
      <c r="D1728" t="s">
        <v>92</v>
      </c>
      <c r="E1728" t="s">
        <v>95</v>
      </c>
      <c r="F1728" t="s">
        <v>5</v>
      </c>
      <c r="G1728" t="s">
        <v>109</v>
      </c>
      <c r="H1728" s="62">
        <v>2035</v>
      </c>
      <c r="I1728">
        <v>4.2554999999999996</v>
      </c>
    </row>
    <row r="1729" spans="1:9">
      <c r="A1729" t="s">
        <v>104</v>
      </c>
      <c r="B1729" t="s">
        <v>105</v>
      </c>
      <c r="C1729" t="s">
        <v>80</v>
      </c>
      <c r="D1729" t="s">
        <v>96</v>
      </c>
      <c r="E1729" t="s">
        <v>92</v>
      </c>
      <c r="F1729" t="s">
        <v>5</v>
      </c>
      <c r="G1729" t="s">
        <v>109</v>
      </c>
      <c r="H1729" s="62">
        <v>2035</v>
      </c>
      <c r="I1729">
        <v>1.7186999999999999</v>
      </c>
    </row>
    <row r="1730" spans="1:9">
      <c r="A1730" t="s">
        <v>104</v>
      </c>
      <c r="B1730" t="s">
        <v>105</v>
      </c>
      <c r="C1730" t="s">
        <v>80</v>
      </c>
      <c r="D1730" t="s">
        <v>96</v>
      </c>
      <c r="E1730" t="s">
        <v>89</v>
      </c>
      <c r="F1730" t="s">
        <v>5</v>
      </c>
      <c r="G1730" t="s">
        <v>109</v>
      </c>
      <c r="H1730" s="62">
        <v>2035</v>
      </c>
      <c r="I1730">
        <v>0.28749999999999998</v>
      </c>
    </row>
    <row r="1731" spans="1:9">
      <c r="A1731" t="s">
        <v>104</v>
      </c>
      <c r="B1731" t="s">
        <v>105</v>
      </c>
      <c r="C1731" t="s">
        <v>80</v>
      </c>
      <c r="D1731" t="s">
        <v>97</v>
      </c>
      <c r="E1731" t="s">
        <v>98</v>
      </c>
      <c r="F1731" t="s">
        <v>5</v>
      </c>
      <c r="G1731" t="s">
        <v>109</v>
      </c>
      <c r="H1731" s="62">
        <v>2035</v>
      </c>
      <c r="I1731">
        <v>0.7147</v>
      </c>
    </row>
    <row r="1732" spans="1:9">
      <c r="A1732" t="s">
        <v>104</v>
      </c>
      <c r="B1732" t="s">
        <v>105</v>
      </c>
      <c r="C1732" t="s">
        <v>80</v>
      </c>
      <c r="D1732" t="s">
        <v>97</v>
      </c>
      <c r="E1732" t="s">
        <v>99</v>
      </c>
      <c r="F1732" t="s">
        <v>5</v>
      </c>
      <c r="G1732" t="s">
        <v>109</v>
      </c>
      <c r="H1732" s="62">
        <v>2035</v>
      </c>
      <c r="I1732">
        <v>4.7999999999999996E-3</v>
      </c>
    </row>
    <row r="1733" spans="1:9">
      <c r="A1733" t="s">
        <v>104</v>
      </c>
      <c r="B1733" t="s">
        <v>105</v>
      </c>
      <c r="C1733" t="s">
        <v>80</v>
      </c>
      <c r="D1733" t="s">
        <v>100</v>
      </c>
      <c r="E1733" t="s">
        <v>101</v>
      </c>
      <c r="F1733" t="s">
        <v>5</v>
      </c>
      <c r="G1733" t="s">
        <v>109</v>
      </c>
      <c r="H1733" s="62">
        <v>2035</v>
      </c>
      <c r="I1733">
        <v>1.1128</v>
      </c>
    </row>
    <row r="1734" spans="1:9">
      <c r="A1734" t="s">
        <v>104</v>
      </c>
      <c r="B1734" t="s">
        <v>105</v>
      </c>
      <c r="C1734" t="s">
        <v>80</v>
      </c>
      <c r="D1734" t="s">
        <v>100</v>
      </c>
      <c r="E1734" t="s">
        <v>102</v>
      </c>
      <c r="F1734" t="s">
        <v>5</v>
      </c>
      <c r="G1734" t="s">
        <v>109</v>
      </c>
      <c r="H1734" s="62">
        <v>2035</v>
      </c>
      <c r="I1734">
        <v>0.37919999999999998</v>
      </c>
    </row>
    <row r="1735" spans="1:9">
      <c r="A1735" t="s">
        <v>104</v>
      </c>
      <c r="B1735" t="s">
        <v>105</v>
      </c>
      <c r="C1735" t="s">
        <v>80</v>
      </c>
      <c r="D1735" t="s">
        <v>100</v>
      </c>
      <c r="E1735" t="s">
        <v>111</v>
      </c>
      <c r="F1735" t="s">
        <v>5</v>
      </c>
      <c r="G1735" t="s">
        <v>109</v>
      </c>
      <c r="H1735" s="62">
        <v>2035</v>
      </c>
      <c r="I1735">
        <v>0</v>
      </c>
    </row>
    <row r="1736" spans="1:9">
      <c r="A1736" t="s">
        <v>104</v>
      </c>
      <c r="B1736" t="s">
        <v>105</v>
      </c>
      <c r="C1736" t="s">
        <v>80</v>
      </c>
      <c r="D1736" t="s">
        <v>100</v>
      </c>
      <c r="E1736" t="s">
        <v>112</v>
      </c>
      <c r="F1736" t="s">
        <v>5</v>
      </c>
      <c r="G1736" t="s">
        <v>109</v>
      </c>
      <c r="H1736" s="62">
        <v>2035</v>
      </c>
      <c r="I1736">
        <v>0</v>
      </c>
    </row>
    <row r="1737" spans="1:9">
      <c r="A1737" t="s">
        <v>104</v>
      </c>
      <c r="B1737" t="s">
        <v>105</v>
      </c>
      <c r="C1737" t="s">
        <v>80</v>
      </c>
      <c r="D1737" t="s">
        <v>83</v>
      </c>
      <c r="E1737" t="s">
        <v>84</v>
      </c>
      <c r="F1737" t="s">
        <v>5</v>
      </c>
      <c r="G1737" t="s">
        <v>109</v>
      </c>
      <c r="H1737" s="62">
        <v>2035</v>
      </c>
      <c r="I1737">
        <v>0.49630000000000002</v>
      </c>
    </row>
    <row r="1738" spans="1:9">
      <c r="A1738" t="s">
        <v>104</v>
      </c>
      <c r="B1738" t="s">
        <v>105</v>
      </c>
      <c r="C1738" t="s">
        <v>80</v>
      </c>
      <c r="D1738" t="s">
        <v>83</v>
      </c>
      <c r="E1738" t="s">
        <v>85</v>
      </c>
      <c r="F1738" t="s">
        <v>5</v>
      </c>
      <c r="G1738" t="s">
        <v>109</v>
      </c>
      <c r="H1738" s="62">
        <v>2035</v>
      </c>
      <c r="I1738">
        <v>0.45950000000000002</v>
      </c>
    </row>
    <row r="1739" spans="1:9">
      <c r="A1739" t="s">
        <v>104</v>
      </c>
      <c r="B1739" t="s">
        <v>105</v>
      </c>
      <c r="C1739" t="s">
        <v>80</v>
      </c>
      <c r="D1739" t="s">
        <v>86</v>
      </c>
      <c r="E1739" t="s">
        <v>106</v>
      </c>
      <c r="F1739" t="s">
        <v>5</v>
      </c>
      <c r="G1739" t="s">
        <v>109</v>
      </c>
      <c r="H1739" s="62">
        <v>2035</v>
      </c>
      <c r="I1739">
        <v>5.4199999999999998E-2</v>
      </c>
    </row>
    <row r="1740" spans="1:9">
      <c r="A1740" t="s">
        <v>104</v>
      </c>
      <c r="B1740" t="s">
        <v>105</v>
      </c>
      <c r="C1740" t="s">
        <v>80</v>
      </c>
      <c r="D1740" t="s">
        <v>86</v>
      </c>
      <c r="E1740" t="s">
        <v>87</v>
      </c>
      <c r="F1740" t="s">
        <v>5</v>
      </c>
      <c r="G1740" t="s">
        <v>109</v>
      </c>
      <c r="H1740" s="62">
        <v>2035</v>
      </c>
      <c r="I1740">
        <v>1.3725000000000001</v>
      </c>
    </row>
    <row r="1741" spans="1:9">
      <c r="A1741" t="s">
        <v>104</v>
      </c>
      <c r="B1741" t="s">
        <v>105</v>
      </c>
      <c r="C1741" t="s">
        <v>80</v>
      </c>
      <c r="D1741" t="s">
        <v>103</v>
      </c>
      <c r="E1741" t="s">
        <v>92</v>
      </c>
      <c r="F1741" t="s">
        <v>5</v>
      </c>
      <c r="G1741" t="s">
        <v>109</v>
      </c>
      <c r="H1741" s="62">
        <v>2035</v>
      </c>
      <c r="I1741">
        <v>0.97750000000000004</v>
      </c>
    </row>
    <row r="1742" spans="1:9">
      <c r="A1742" t="s">
        <v>104</v>
      </c>
      <c r="B1742" t="s">
        <v>105</v>
      </c>
      <c r="C1742" t="s">
        <v>80</v>
      </c>
      <c r="D1742" t="s">
        <v>103</v>
      </c>
      <c r="E1742" t="s">
        <v>89</v>
      </c>
      <c r="F1742" t="s">
        <v>5</v>
      </c>
      <c r="G1742" t="s">
        <v>109</v>
      </c>
      <c r="H1742" s="62">
        <v>2035</v>
      </c>
      <c r="I1742">
        <v>4.5964999999999998</v>
      </c>
    </row>
    <row r="1743" spans="1:9">
      <c r="A1743" t="s">
        <v>104</v>
      </c>
      <c r="B1743" t="s">
        <v>105</v>
      </c>
      <c r="C1743" t="s">
        <v>107</v>
      </c>
      <c r="D1743" t="s">
        <v>107</v>
      </c>
      <c r="E1743" t="s">
        <v>107</v>
      </c>
      <c r="F1743" t="s">
        <v>5</v>
      </c>
      <c r="G1743" t="s">
        <v>109</v>
      </c>
      <c r="H1743" s="62">
        <v>2036</v>
      </c>
      <c r="I1743">
        <v>14.3589</v>
      </c>
    </row>
    <row r="1744" spans="1:9">
      <c r="A1744" t="s">
        <v>104</v>
      </c>
      <c r="B1744" t="s">
        <v>105</v>
      </c>
      <c r="C1744" t="s">
        <v>107</v>
      </c>
      <c r="D1744" t="s">
        <v>108</v>
      </c>
      <c r="E1744" t="s">
        <v>108</v>
      </c>
      <c r="F1744" t="s">
        <v>5</v>
      </c>
      <c r="G1744" t="s">
        <v>109</v>
      </c>
      <c r="H1744" s="62">
        <v>2036</v>
      </c>
      <c r="I1744">
        <v>5.8599999999999999E-2</v>
      </c>
    </row>
    <row r="1745" spans="1:9">
      <c r="A1745" t="s">
        <v>104</v>
      </c>
      <c r="B1745" t="s">
        <v>105</v>
      </c>
      <c r="C1745" t="s">
        <v>80</v>
      </c>
      <c r="D1745" t="s">
        <v>80</v>
      </c>
      <c r="E1745" t="s">
        <v>80</v>
      </c>
      <c r="F1745" t="s">
        <v>5</v>
      </c>
      <c r="G1745" t="s">
        <v>109</v>
      </c>
      <c r="H1745" s="62">
        <v>2036</v>
      </c>
      <c r="I1745">
        <v>14.3003</v>
      </c>
    </row>
    <row r="1746" spans="1:9">
      <c r="A1746" t="s">
        <v>104</v>
      </c>
      <c r="B1746" t="s">
        <v>105</v>
      </c>
      <c r="C1746" t="s">
        <v>80</v>
      </c>
      <c r="D1746" t="s">
        <v>89</v>
      </c>
      <c r="E1746" t="s">
        <v>90</v>
      </c>
      <c r="F1746" t="s">
        <v>5</v>
      </c>
      <c r="G1746" t="s">
        <v>109</v>
      </c>
      <c r="H1746" s="62">
        <v>2036</v>
      </c>
      <c r="I1746">
        <v>-0.22339999999999999</v>
      </c>
    </row>
    <row r="1747" spans="1:9">
      <c r="A1747" t="s">
        <v>104</v>
      </c>
      <c r="B1747" t="s">
        <v>105</v>
      </c>
      <c r="C1747" t="s">
        <v>80</v>
      </c>
      <c r="D1747" t="s">
        <v>89</v>
      </c>
      <c r="E1747" t="s">
        <v>91</v>
      </c>
      <c r="F1747" t="s">
        <v>5</v>
      </c>
      <c r="G1747" t="s">
        <v>109</v>
      </c>
      <c r="H1747" s="62">
        <v>2036</v>
      </c>
      <c r="I1747">
        <v>3.3700000000000001E-2</v>
      </c>
    </row>
    <row r="1748" spans="1:9">
      <c r="A1748" t="s">
        <v>104</v>
      </c>
      <c r="B1748" t="s">
        <v>105</v>
      </c>
      <c r="C1748" t="s">
        <v>80</v>
      </c>
      <c r="D1748" t="s">
        <v>92</v>
      </c>
      <c r="E1748" t="s">
        <v>93</v>
      </c>
      <c r="F1748" t="s">
        <v>5</v>
      </c>
      <c r="G1748" t="s">
        <v>109</v>
      </c>
      <c r="H1748" s="62">
        <v>2036</v>
      </c>
      <c r="I1748">
        <v>-1.5557000000000001</v>
      </c>
    </row>
    <row r="1749" spans="1:9">
      <c r="A1749" t="s">
        <v>104</v>
      </c>
      <c r="B1749" t="s">
        <v>105</v>
      </c>
      <c r="C1749" t="s">
        <v>80</v>
      </c>
      <c r="D1749" t="s">
        <v>92</v>
      </c>
      <c r="E1749" t="s">
        <v>94</v>
      </c>
      <c r="F1749" t="s">
        <v>5</v>
      </c>
      <c r="G1749" t="s">
        <v>109</v>
      </c>
      <c r="H1749" s="62">
        <v>2036</v>
      </c>
      <c r="I1749">
        <v>5.9813000000000001</v>
      </c>
    </row>
    <row r="1750" spans="1:9">
      <c r="A1750" t="s">
        <v>104</v>
      </c>
      <c r="B1750" t="s">
        <v>105</v>
      </c>
      <c r="C1750" t="s">
        <v>80</v>
      </c>
      <c r="D1750" t="s">
        <v>92</v>
      </c>
      <c r="E1750" t="s">
        <v>110</v>
      </c>
      <c r="F1750" t="s">
        <v>5</v>
      </c>
      <c r="G1750" t="s">
        <v>109</v>
      </c>
      <c r="H1750" s="62">
        <v>2036</v>
      </c>
      <c r="I1750">
        <v>0</v>
      </c>
    </row>
    <row r="1751" spans="1:9">
      <c r="A1751" t="s">
        <v>104</v>
      </c>
      <c r="B1751" t="s">
        <v>105</v>
      </c>
      <c r="C1751" t="s">
        <v>80</v>
      </c>
      <c r="D1751" t="s">
        <v>92</v>
      </c>
      <c r="E1751" t="s">
        <v>95</v>
      </c>
      <c r="F1751" t="s">
        <v>5</v>
      </c>
      <c r="G1751" t="s">
        <v>109</v>
      </c>
      <c r="H1751" s="62">
        <v>2036</v>
      </c>
      <c r="I1751">
        <v>4.3159999999999998</v>
      </c>
    </row>
    <row r="1752" spans="1:9">
      <c r="A1752" t="s">
        <v>104</v>
      </c>
      <c r="B1752" t="s">
        <v>105</v>
      </c>
      <c r="C1752" t="s">
        <v>80</v>
      </c>
      <c r="D1752" t="s">
        <v>96</v>
      </c>
      <c r="E1752" t="s">
        <v>92</v>
      </c>
      <c r="F1752" t="s">
        <v>5</v>
      </c>
      <c r="G1752" t="s">
        <v>109</v>
      </c>
      <c r="H1752" s="62">
        <v>2036</v>
      </c>
      <c r="I1752">
        <v>1.9786999999999999</v>
      </c>
    </row>
    <row r="1753" spans="1:9">
      <c r="A1753" t="s">
        <v>104</v>
      </c>
      <c r="B1753" t="s">
        <v>105</v>
      </c>
      <c r="C1753" t="s">
        <v>80</v>
      </c>
      <c r="D1753" t="s">
        <v>96</v>
      </c>
      <c r="E1753" t="s">
        <v>89</v>
      </c>
      <c r="F1753" t="s">
        <v>5</v>
      </c>
      <c r="G1753" t="s">
        <v>109</v>
      </c>
      <c r="H1753" s="62">
        <v>2036</v>
      </c>
      <c r="I1753">
        <v>0.31630000000000003</v>
      </c>
    </row>
    <row r="1754" spans="1:9">
      <c r="A1754" t="s">
        <v>104</v>
      </c>
      <c r="B1754" t="s">
        <v>105</v>
      </c>
      <c r="C1754" t="s">
        <v>80</v>
      </c>
      <c r="D1754" t="s">
        <v>97</v>
      </c>
      <c r="E1754" t="s">
        <v>98</v>
      </c>
      <c r="F1754" t="s">
        <v>5</v>
      </c>
      <c r="G1754" t="s">
        <v>109</v>
      </c>
      <c r="H1754" s="62">
        <v>2036</v>
      </c>
      <c r="I1754">
        <v>0.88780000000000003</v>
      </c>
    </row>
    <row r="1755" spans="1:9">
      <c r="A1755" t="s">
        <v>104</v>
      </c>
      <c r="B1755" t="s">
        <v>105</v>
      </c>
      <c r="C1755" t="s">
        <v>80</v>
      </c>
      <c r="D1755" t="s">
        <v>97</v>
      </c>
      <c r="E1755" t="s">
        <v>99</v>
      </c>
      <c r="F1755" t="s">
        <v>5</v>
      </c>
      <c r="G1755" t="s">
        <v>109</v>
      </c>
      <c r="H1755" s="62">
        <v>2036</v>
      </c>
      <c r="I1755">
        <v>6.6E-3</v>
      </c>
    </row>
    <row r="1756" spans="1:9">
      <c r="A1756" t="s">
        <v>104</v>
      </c>
      <c r="B1756" t="s">
        <v>105</v>
      </c>
      <c r="C1756" t="s">
        <v>80</v>
      </c>
      <c r="D1756" t="s">
        <v>100</v>
      </c>
      <c r="E1756" t="s">
        <v>101</v>
      </c>
      <c r="F1756" t="s">
        <v>5</v>
      </c>
      <c r="G1756" t="s">
        <v>109</v>
      </c>
      <c r="H1756" s="62">
        <v>2036</v>
      </c>
      <c r="I1756">
        <v>1.2041999999999999</v>
      </c>
    </row>
    <row r="1757" spans="1:9">
      <c r="A1757" t="s">
        <v>104</v>
      </c>
      <c r="B1757" t="s">
        <v>105</v>
      </c>
      <c r="C1757" t="s">
        <v>80</v>
      </c>
      <c r="D1757" t="s">
        <v>100</v>
      </c>
      <c r="E1757" t="s">
        <v>102</v>
      </c>
      <c r="F1757" t="s">
        <v>5</v>
      </c>
      <c r="G1757" t="s">
        <v>109</v>
      </c>
      <c r="H1757" s="62">
        <v>2036</v>
      </c>
      <c r="I1757">
        <v>0.3659</v>
      </c>
    </row>
    <row r="1758" spans="1:9">
      <c r="A1758" t="s">
        <v>104</v>
      </c>
      <c r="B1758" t="s">
        <v>105</v>
      </c>
      <c r="C1758" t="s">
        <v>80</v>
      </c>
      <c r="D1758" t="s">
        <v>100</v>
      </c>
      <c r="E1758" t="s">
        <v>111</v>
      </c>
      <c r="F1758" t="s">
        <v>5</v>
      </c>
      <c r="G1758" t="s">
        <v>109</v>
      </c>
      <c r="H1758" s="62">
        <v>2036</v>
      </c>
      <c r="I1758">
        <v>0</v>
      </c>
    </row>
    <row r="1759" spans="1:9">
      <c r="A1759" t="s">
        <v>104</v>
      </c>
      <c r="B1759" t="s">
        <v>105</v>
      </c>
      <c r="C1759" t="s">
        <v>80</v>
      </c>
      <c r="D1759" t="s">
        <v>100</v>
      </c>
      <c r="E1759" t="s">
        <v>112</v>
      </c>
      <c r="F1759" t="s">
        <v>5</v>
      </c>
      <c r="G1759" t="s">
        <v>109</v>
      </c>
      <c r="H1759" s="62">
        <v>2036</v>
      </c>
      <c r="I1759">
        <v>0</v>
      </c>
    </row>
    <row r="1760" spans="1:9">
      <c r="A1760" t="s">
        <v>104</v>
      </c>
      <c r="B1760" t="s">
        <v>105</v>
      </c>
      <c r="C1760" t="s">
        <v>80</v>
      </c>
      <c r="D1760" t="s">
        <v>83</v>
      </c>
      <c r="E1760" t="s">
        <v>84</v>
      </c>
      <c r="F1760" t="s">
        <v>5</v>
      </c>
      <c r="G1760" t="s">
        <v>109</v>
      </c>
      <c r="H1760" s="62">
        <v>2036</v>
      </c>
      <c r="I1760">
        <v>0.51539999999999997</v>
      </c>
    </row>
    <row r="1761" spans="1:9">
      <c r="A1761" t="s">
        <v>104</v>
      </c>
      <c r="B1761" t="s">
        <v>105</v>
      </c>
      <c r="C1761" t="s">
        <v>80</v>
      </c>
      <c r="D1761" t="s">
        <v>83</v>
      </c>
      <c r="E1761" t="s">
        <v>85</v>
      </c>
      <c r="F1761" t="s">
        <v>5</v>
      </c>
      <c r="G1761" t="s">
        <v>109</v>
      </c>
      <c r="H1761" s="62">
        <v>2036</v>
      </c>
      <c r="I1761">
        <v>0.47349999999999998</v>
      </c>
    </row>
    <row r="1762" spans="1:9">
      <c r="A1762" t="s">
        <v>104</v>
      </c>
      <c r="B1762" t="s">
        <v>105</v>
      </c>
      <c r="C1762" t="s">
        <v>80</v>
      </c>
      <c r="D1762" t="s">
        <v>86</v>
      </c>
      <c r="E1762" t="s">
        <v>106</v>
      </c>
      <c r="F1762" t="s">
        <v>5</v>
      </c>
      <c r="G1762" t="s">
        <v>109</v>
      </c>
      <c r="H1762" s="62">
        <v>2036</v>
      </c>
      <c r="I1762">
        <v>5.4899999999999997E-2</v>
      </c>
    </row>
    <row r="1763" spans="1:9">
      <c r="A1763" t="s">
        <v>104</v>
      </c>
      <c r="B1763" t="s">
        <v>105</v>
      </c>
      <c r="C1763" t="s">
        <v>80</v>
      </c>
      <c r="D1763" t="s">
        <v>86</v>
      </c>
      <c r="E1763" t="s">
        <v>87</v>
      </c>
      <c r="F1763" t="s">
        <v>5</v>
      </c>
      <c r="G1763" t="s">
        <v>109</v>
      </c>
      <c r="H1763" s="62">
        <v>2036</v>
      </c>
      <c r="I1763">
        <v>1.4671000000000001</v>
      </c>
    </row>
    <row r="1764" spans="1:9">
      <c r="A1764" t="s">
        <v>104</v>
      </c>
      <c r="B1764" t="s">
        <v>105</v>
      </c>
      <c r="C1764" t="s">
        <v>80</v>
      </c>
      <c r="D1764" t="s">
        <v>103</v>
      </c>
      <c r="E1764" t="s">
        <v>92</v>
      </c>
      <c r="F1764" t="s">
        <v>5</v>
      </c>
      <c r="G1764" t="s">
        <v>109</v>
      </c>
      <c r="H1764" s="62">
        <v>2036</v>
      </c>
      <c r="I1764">
        <v>1.0102</v>
      </c>
    </row>
    <row r="1765" spans="1:9">
      <c r="A1765" t="s">
        <v>104</v>
      </c>
      <c r="B1765" t="s">
        <v>105</v>
      </c>
      <c r="C1765" t="s">
        <v>80</v>
      </c>
      <c r="D1765" t="s">
        <v>103</v>
      </c>
      <c r="E1765" t="s">
        <v>89</v>
      </c>
      <c r="F1765" t="s">
        <v>5</v>
      </c>
      <c r="G1765" t="s">
        <v>109</v>
      </c>
      <c r="H1765" s="62">
        <v>2036</v>
      </c>
      <c r="I1765">
        <v>4.7630999999999997</v>
      </c>
    </row>
    <row r="1766" spans="1:9">
      <c r="A1766" t="s">
        <v>104</v>
      </c>
      <c r="B1766" t="s">
        <v>105</v>
      </c>
      <c r="C1766" t="s">
        <v>107</v>
      </c>
      <c r="D1766" t="s">
        <v>107</v>
      </c>
      <c r="E1766" t="s">
        <v>107</v>
      </c>
      <c r="F1766" t="s">
        <v>5</v>
      </c>
      <c r="G1766" t="s">
        <v>109</v>
      </c>
      <c r="H1766" s="62">
        <v>2037</v>
      </c>
      <c r="I1766">
        <v>14.8962</v>
      </c>
    </row>
    <row r="1767" spans="1:9">
      <c r="A1767" t="s">
        <v>104</v>
      </c>
      <c r="B1767" t="s">
        <v>105</v>
      </c>
      <c r="C1767" t="s">
        <v>107</v>
      </c>
      <c r="D1767" t="s">
        <v>108</v>
      </c>
      <c r="E1767" t="s">
        <v>108</v>
      </c>
      <c r="F1767" t="s">
        <v>5</v>
      </c>
      <c r="G1767" t="s">
        <v>109</v>
      </c>
      <c r="H1767" s="62">
        <v>2037</v>
      </c>
      <c r="I1767">
        <v>6.3200000000000006E-2</v>
      </c>
    </row>
    <row r="1768" spans="1:9">
      <c r="A1768" t="s">
        <v>104</v>
      </c>
      <c r="B1768" t="s">
        <v>105</v>
      </c>
      <c r="C1768" t="s">
        <v>80</v>
      </c>
      <c r="D1768" t="s">
        <v>80</v>
      </c>
      <c r="E1768" t="s">
        <v>80</v>
      </c>
      <c r="F1768" t="s">
        <v>5</v>
      </c>
      <c r="G1768" t="s">
        <v>109</v>
      </c>
      <c r="H1768" s="62">
        <v>2037</v>
      </c>
      <c r="I1768">
        <v>14.8329</v>
      </c>
    </row>
    <row r="1769" spans="1:9">
      <c r="A1769" t="s">
        <v>104</v>
      </c>
      <c r="B1769" t="s">
        <v>105</v>
      </c>
      <c r="C1769" t="s">
        <v>80</v>
      </c>
      <c r="D1769" t="s">
        <v>89</v>
      </c>
      <c r="E1769" t="s">
        <v>90</v>
      </c>
      <c r="F1769" t="s">
        <v>5</v>
      </c>
      <c r="G1769" t="s">
        <v>109</v>
      </c>
      <c r="H1769" s="62">
        <v>2037</v>
      </c>
      <c r="I1769">
        <v>-0.3448</v>
      </c>
    </row>
    <row r="1770" spans="1:9">
      <c r="A1770" t="s">
        <v>104</v>
      </c>
      <c r="B1770" t="s">
        <v>105</v>
      </c>
      <c r="C1770" t="s">
        <v>80</v>
      </c>
      <c r="D1770" t="s">
        <v>89</v>
      </c>
      <c r="E1770" t="s">
        <v>91</v>
      </c>
      <c r="F1770" t="s">
        <v>5</v>
      </c>
      <c r="G1770" t="s">
        <v>109</v>
      </c>
      <c r="H1770" s="62">
        <v>2037</v>
      </c>
      <c r="I1770">
        <v>5.57E-2</v>
      </c>
    </row>
    <row r="1771" spans="1:9">
      <c r="A1771" t="s">
        <v>104</v>
      </c>
      <c r="B1771" t="s">
        <v>105</v>
      </c>
      <c r="C1771" t="s">
        <v>80</v>
      </c>
      <c r="D1771" t="s">
        <v>92</v>
      </c>
      <c r="E1771" t="s">
        <v>93</v>
      </c>
      <c r="F1771" t="s">
        <v>5</v>
      </c>
      <c r="G1771" t="s">
        <v>109</v>
      </c>
      <c r="H1771" s="62">
        <v>2037</v>
      </c>
      <c r="I1771">
        <v>-1.6805000000000001</v>
      </c>
    </row>
    <row r="1772" spans="1:9">
      <c r="A1772" t="s">
        <v>104</v>
      </c>
      <c r="B1772" t="s">
        <v>105</v>
      </c>
      <c r="C1772" t="s">
        <v>80</v>
      </c>
      <c r="D1772" t="s">
        <v>92</v>
      </c>
      <c r="E1772" t="s">
        <v>94</v>
      </c>
      <c r="F1772" t="s">
        <v>5</v>
      </c>
      <c r="G1772" t="s">
        <v>109</v>
      </c>
      <c r="H1772" s="62">
        <v>2037</v>
      </c>
      <c r="I1772">
        <v>6.0175999999999998</v>
      </c>
    </row>
    <row r="1773" spans="1:9">
      <c r="A1773" t="s">
        <v>104</v>
      </c>
      <c r="B1773" t="s">
        <v>105</v>
      </c>
      <c r="C1773" t="s">
        <v>80</v>
      </c>
      <c r="D1773" t="s">
        <v>92</v>
      </c>
      <c r="E1773" t="s">
        <v>110</v>
      </c>
      <c r="F1773" t="s">
        <v>5</v>
      </c>
      <c r="G1773" t="s">
        <v>109</v>
      </c>
      <c r="H1773" s="62">
        <v>2037</v>
      </c>
      <c r="I1773">
        <v>0</v>
      </c>
    </row>
    <row r="1774" spans="1:9">
      <c r="A1774" t="s">
        <v>104</v>
      </c>
      <c r="B1774" t="s">
        <v>105</v>
      </c>
      <c r="C1774" t="s">
        <v>80</v>
      </c>
      <c r="D1774" t="s">
        <v>92</v>
      </c>
      <c r="E1774" t="s">
        <v>95</v>
      </c>
      <c r="F1774" t="s">
        <v>5</v>
      </c>
      <c r="G1774" t="s">
        <v>109</v>
      </c>
      <c r="H1774" s="62">
        <v>2037</v>
      </c>
      <c r="I1774">
        <v>4.3872999999999998</v>
      </c>
    </row>
    <row r="1775" spans="1:9">
      <c r="A1775" t="s">
        <v>104</v>
      </c>
      <c r="B1775" t="s">
        <v>105</v>
      </c>
      <c r="C1775" t="s">
        <v>80</v>
      </c>
      <c r="D1775" t="s">
        <v>96</v>
      </c>
      <c r="E1775" t="s">
        <v>92</v>
      </c>
      <c r="F1775" t="s">
        <v>5</v>
      </c>
      <c r="G1775" t="s">
        <v>109</v>
      </c>
      <c r="H1775" s="62">
        <v>2037</v>
      </c>
      <c r="I1775">
        <v>2.2669000000000001</v>
      </c>
    </row>
    <row r="1776" spans="1:9">
      <c r="A1776" t="s">
        <v>104</v>
      </c>
      <c r="B1776" t="s">
        <v>105</v>
      </c>
      <c r="C1776" t="s">
        <v>80</v>
      </c>
      <c r="D1776" t="s">
        <v>96</v>
      </c>
      <c r="E1776" t="s">
        <v>89</v>
      </c>
      <c r="F1776" t="s">
        <v>5</v>
      </c>
      <c r="G1776" t="s">
        <v>109</v>
      </c>
      <c r="H1776" s="62">
        <v>2037</v>
      </c>
      <c r="I1776">
        <v>0.34670000000000001</v>
      </c>
    </row>
    <row r="1777" spans="1:9">
      <c r="A1777" t="s">
        <v>104</v>
      </c>
      <c r="B1777" t="s">
        <v>105</v>
      </c>
      <c r="C1777" t="s">
        <v>80</v>
      </c>
      <c r="D1777" t="s">
        <v>97</v>
      </c>
      <c r="E1777" t="s">
        <v>98</v>
      </c>
      <c r="F1777" t="s">
        <v>5</v>
      </c>
      <c r="G1777" t="s">
        <v>109</v>
      </c>
      <c r="H1777" s="62">
        <v>2037</v>
      </c>
      <c r="I1777">
        <v>1.1145</v>
      </c>
    </row>
    <row r="1778" spans="1:9">
      <c r="A1778" t="s">
        <v>104</v>
      </c>
      <c r="B1778" t="s">
        <v>105</v>
      </c>
      <c r="C1778" t="s">
        <v>80</v>
      </c>
      <c r="D1778" t="s">
        <v>97</v>
      </c>
      <c r="E1778" t="s">
        <v>99</v>
      </c>
      <c r="F1778" t="s">
        <v>5</v>
      </c>
      <c r="G1778" t="s">
        <v>109</v>
      </c>
      <c r="H1778" s="62">
        <v>2037</v>
      </c>
      <c r="I1778">
        <v>8.8000000000000005E-3</v>
      </c>
    </row>
    <row r="1779" spans="1:9">
      <c r="A1779" t="s">
        <v>104</v>
      </c>
      <c r="B1779" t="s">
        <v>105</v>
      </c>
      <c r="C1779" t="s">
        <v>80</v>
      </c>
      <c r="D1779" t="s">
        <v>100</v>
      </c>
      <c r="E1779" t="s">
        <v>101</v>
      </c>
      <c r="F1779" t="s">
        <v>5</v>
      </c>
      <c r="G1779" t="s">
        <v>109</v>
      </c>
      <c r="H1779" s="62">
        <v>2037</v>
      </c>
      <c r="I1779">
        <v>1.2725</v>
      </c>
    </row>
    <row r="1780" spans="1:9">
      <c r="A1780" t="s">
        <v>104</v>
      </c>
      <c r="B1780" t="s">
        <v>105</v>
      </c>
      <c r="C1780" t="s">
        <v>80</v>
      </c>
      <c r="D1780" t="s">
        <v>100</v>
      </c>
      <c r="E1780" t="s">
        <v>102</v>
      </c>
      <c r="F1780" t="s">
        <v>5</v>
      </c>
      <c r="G1780" t="s">
        <v>109</v>
      </c>
      <c r="H1780" s="62">
        <v>2037</v>
      </c>
      <c r="I1780">
        <v>0.35360000000000003</v>
      </c>
    </row>
    <row r="1781" spans="1:9">
      <c r="A1781" t="s">
        <v>104</v>
      </c>
      <c r="B1781" t="s">
        <v>105</v>
      </c>
      <c r="C1781" t="s">
        <v>80</v>
      </c>
      <c r="D1781" t="s">
        <v>100</v>
      </c>
      <c r="E1781" t="s">
        <v>111</v>
      </c>
      <c r="F1781" t="s">
        <v>5</v>
      </c>
      <c r="G1781" t="s">
        <v>109</v>
      </c>
      <c r="H1781" s="62">
        <v>2037</v>
      </c>
      <c r="I1781">
        <v>0</v>
      </c>
    </row>
    <row r="1782" spans="1:9">
      <c r="A1782" t="s">
        <v>104</v>
      </c>
      <c r="B1782" t="s">
        <v>105</v>
      </c>
      <c r="C1782" t="s">
        <v>80</v>
      </c>
      <c r="D1782" t="s">
        <v>100</v>
      </c>
      <c r="E1782" t="s">
        <v>112</v>
      </c>
      <c r="F1782" t="s">
        <v>5</v>
      </c>
      <c r="G1782" t="s">
        <v>109</v>
      </c>
      <c r="H1782" s="62">
        <v>2037</v>
      </c>
      <c r="I1782">
        <v>0</v>
      </c>
    </row>
    <row r="1783" spans="1:9">
      <c r="A1783" t="s">
        <v>104</v>
      </c>
      <c r="B1783" t="s">
        <v>105</v>
      </c>
      <c r="C1783" t="s">
        <v>80</v>
      </c>
      <c r="D1783" t="s">
        <v>83</v>
      </c>
      <c r="E1783" t="s">
        <v>84</v>
      </c>
      <c r="F1783" t="s">
        <v>5</v>
      </c>
      <c r="G1783" t="s">
        <v>109</v>
      </c>
      <c r="H1783" s="62">
        <v>2037</v>
      </c>
      <c r="I1783">
        <v>0.54200000000000004</v>
      </c>
    </row>
    <row r="1784" spans="1:9">
      <c r="A1784" t="s">
        <v>104</v>
      </c>
      <c r="B1784" t="s">
        <v>105</v>
      </c>
      <c r="C1784" t="s">
        <v>80</v>
      </c>
      <c r="D1784" t="s">
        <v>83</v>
      </c>
      <c r="E1784" t="s">
        <v>85</v>
      </c>
      <c r="F1784" t="s">
        <v>5</v>
      </c>
      <c r="G1784" t="s">
        <v>109</v>
      </c>
      <c r="H1784" s="62">
        <v>2037</v>
      </c>
      <c r="I1784">
        <v>0.49259999999999998</v>
      </c>
    </row>
    <row r="1785" spans="1:9">
      <c r="A1785" t="s">
        <v>104</v>
      </c>
      <c r="B1785" t="s">
        <v>105</v>
      </c>
      <c r="C1785" t="s">
        <v>80</v>
      </c>
      <c r="D1785" t="s">
        <v>86</v>
      </c>
      <c r="E1785" t="s">
        <v>106</v>
      </c>
      <c r="F1785" t="s">
        <v>5</v>
      </c>
      <c r="G1785" t="s">
        <v>109</v>
      </c>
      <c r="H1785" s="62">
        <v>2037</v>
      </c>
      <c r="I1785">
        <v>5.5199999999999999E-2</v>
      </c>
    </row>
    <row r="1786" spans="1:9">
      <c r="A1786" t="s">
        <v>104</v>
      </c>
      <c r="B1786" t="s">
        <v>105</v>
      </c>
      <c r="C1786" t="s">
        <v>80</v>
      </c>
      <c r="D1786" t="s">
        <v>86</v>
      </c>
      <c r="E1786" t="s">
        <v>87</v>
      </c>
      <c r="F1786" t="s">
        <v>5</v>
      </c>
      <c r="G1786" t="s">
        <v>109</v>
      </c>
      <c r="H1786" s="62">
        <v>2037</v>
      </c>
      <c r="I1786">
        <v>1.5696000000000001</v>
      </c>
    </row>
    <row r="1787" spans="1:9">
      <c r="A1787" t="s">
        <v>104</v>
      </c>
      <c r="B1787" t="s">
        <v>105</v>
      </c>
      <c r="C1787" t="s">
        <v>80</v>
      </c>
      <c r="D1787" t="s">
        <v>103</v>
      </c>
      <c r="E1787" t="s">
        <v>92</v>
      </c>
      <c r="F1787" t="s">
        <v>5</v>
      </c>
      <c r="G1787" t="s">
        <v>109</v>
      </c>
      <c r="H1787" s="62">
        <v>2037</v>
      </c>
      <c r="I1787">
        <v>1.0432999999999999</v>
      </c>
    </row>
    <row r="1788" spans="1:9">
      <c r="A1788" t="s">
        <v>104</v>
      </c>
      <c r="B1788" t="s">
        <v>105</v>
      </c>
      <c r="C1788" t="s">
        <v>80</v>
      </c>
      <c r="D1788" t="s">
        <v>103</v>
      </c>
      <c r="E1788" t="s">
        <v>89</v>
      </c>
      <c r="F1788" t="s">
        <v>5</v>
      </c>
      <c r="G1788" t="s">
        <v>109</v>
      </c>
      <c r="H1788" s="62">
        <v>2037</v>
      </c>
      <c r="I1788">
        <v>4.9222999999999999</v>
      </c>
    </row>
    <row r="1789" spans="1:9">
      <c r="A1789" t="s">
        <v>104</v>
      </c>
      <c r="B1789" t="s">
        <v>105</v>
      </c>
      <c r="C1789" t="s">
        <v>107</v>
      </c>
      <c r="D1789" t="s">
        <v>107</v>
      </c>
      <c r="E1789" t="s">
        <v>107</v>
      </c>
      <c r="F1789" t="s">
        <v>5</v>
      </c>
      <c r="G1789" t="s">
        <v>109</v>
      </c>
      <c r="H1789" s="62">
        <v>2038</v>
      </c>
      <c r="I1789">
        <v>15.6327</v>
      </c>
    </row>
    <row r="1790" spans="1:9">
      <c r="A1790" t="s">
        <v>104</v>
      </c>
      <c r="B1790" t="s">
        <v>105</v>
      </c>
      <c r="C1790" t="s">
        <v>107</v>
      </c>
      <c r="D1790" t="s">
        <v>108</v>
      </c>
      <c r="E1790" t="s">
        <v>108</v>
      </c>
      <c r="F1790" t="s">
        <v>5</v>
      </c>
      <c r="G1790" t="s">
        <v>109</v>
      </c>
      <c r="H1790" s="62">
        <v>2038</v>
      </c>
      <c r="I1790">
        <v>3.6299999999999999E-2</v>
      </c>
    </row>
    <row r="1791" spans="1:9">
      <c r="A1791" t="s">
        <v>104</v>
      </c>
      <c r="B1791" t="s">
        <v>105</v>
      </c>
      <c r="C1791" t="s">
        <v>80</v>
      </c>
      <c r="D1791" t="s">
        <v>80</v>
      </c>
      <c r="E1791" t="s">
        <v>80</v>
      </c>
      <c r="F1791" t="s">
        <v>5</v>
      </c>
      <c r="G1791" t="s">
        <v>109</v>
      </c>
      <c r="H1791" s="62">
        <v>2038</v>
      </c>
      <c r="I1791">
        <v>15.596299999999999</v>
      </c>
    </row>
    <row r="1792" spans="1:9">
      <c r="A1792" t="s">
        <v>104</v>
      </c>
      <c r="B1792" t="s">
        <v>105</v>
      </c>
      <c r="C1792" t="s">
        <v>80</v>
      </c>
      <c r="D1792" t="s">
        <v>89</v>
      </c>
      <c r="E1792" t="s">
        <v>90</v>
      </c>
      <c r="F1792" t="s">
        <v>5</v>
      </c>
      <c r="G1792" t="s">
        <v>109</v>
      </c>
      <c r="H1792" s="62">
        <v>2038</v>
      </c>
      <c r="I1792">
        <v>-0.48199999999999998</v>
      </c>
    </row>
    <row r="1793" spans="1:9">
      <c r="A1793" t="s">
        <v>104</v>
      </c>
      <c r="B1793" t="s">
        <v>105</v>
      </c>
      <c r="C1793" t="s">
        <v>80</v>
      </c>
      <c r="D1793" t="s">
        <v>89</v>
      </c>
      <c r="E1793" t="s">
        <v>91</v>
      </c>
      <c r="F1793" t="s">
        <v>5</v>
      </c>
      <c r="G1793" t="s">
        <v>109</v>
      </c>
      <c r="H1793" s="62">
        <v>2038</v>
      </c>
      <c r="I1793">
        <v>8.3799999999999999E-2</v>
      </c>
    </row>
    <row r="1794" spans="1:9">
      <c r="A1794" t="s">
        <v>104</v>
      </c>
      <c r="B1794" t="s">
        <v>105</v>
      </c>
      <c r="C1794" t="s">
        <v>80</v>
      </c>
      <c r="D1794" t="s">
        <v>92</v>
      </c>
      <c r="E1794" t="s">
        <v>93</v>
      </c>
      <c r="F1794" t="s">
        <v>5</v>
      </c>
      <c r="G1794" t="s">
        <v>109</v>
      </c>
      <c r="H1794" s="62">
        <v>2038</v>
      </c>
      <c r="I1794">
        <v>-1.8287</v>
      </c>
    </row>
    <row r="1795" spans="1:9">
      <c r="A1795" t="s">
        <v>104</v>
      </c>
      <c r="B1795" t="s">
        <v>105</v>
      </c>
      <c r="C1795" t="s">
        <v>80</v>
      </c>
      <c r="D1795" t="s">
        <v>92</v>
      </c>
      <c r="E1795" t="s">
        <v>94</v>
      </c>
      <c r="F1795" t="s">
        <v>5</v>
      </c>
      <c r="G1795" t="s">
        <v>109</v>
      </c>
      <c r="H1795" s="62">
        <v>2038</v>
      </c>
      <c r="I1795">
        <v>6.0381999999999998</v>
      </c>
    </row>
    <row r="1796" spans="1:9">
      <c r="A1796" t="s">
        <v>104</v>
      </c>
      <c r="B1796" t="s">
        <v>105</v>
      </c>
      <c r="C1796" t="s">
        <v>80</v>
      </c>
      <c r="D1796" t="s">
        <v>92</v>
      </c>
      <c r="E1796" t="s">
        <v>110</v>
      </c>
      <c r="F1796" t="s">
        <v>5</v>
      </c>
      <c r="G1796" t="s">
        <v>109</v>
      </c>
      <c r="H1796" s="62">
        <v>2038</v>
      </c>
      <c r="I1796">
        <v>0</v>
      </c>
    </row>
    <row r="1797" spans="1:9">
      <c r="A1797" t="s">
        <v>104</v>
      </c>
      <c r="B1797" t="s">
        <v>105</v>
      </c>
      <c r="C1797" t="s">
        <v>80</v>
      </c>
      <c r="D1797" t="s">
        <v>92</v>
      </c>
      <c r="E1797" t="s">
        <v>95</v>
      </c>
      <c r="F1797" t="s">
        <v>5</v>
      </c>
      <c r="G1797" t="s">
        <v>109</v>
      </c>
      <c r="H1797" s="62">
        <v>2038</v>
      </c>
      <c r="I1797">
        <v>4.4793000000000003</v>
      </c>
    </row>
    <row r="1798" spans="1:9">
      <c r="A1798" t="s">
        <v>104</v>
      </c>
      <c r="B1798" t="s">
        <v>105</v>
      </c>
      <c r="C1798" t="s">
        <v>80</v>
      </c>
      <c r="D1798" t="s">
        <v>96</v>
      </c>
      <c r="E1798" t="s">
        <v>92</v>
      </c>
      <c r="F1798" t="s">
        <v>5</v>
      </c>
      <c r="G1798" t="s">
        <v>109</v>
      </c>
      <c r="H1798" s="62">
        <v>2038</v>
      </c>
      <c r="I1798">
        <v>2.4094000000000002</v>
      </c>
    </row>
    <row r="1799" spans="1:9">
      <c r="A1799" t="s">
        <v>104</v>
      </c>
      <c r="B1799" t="s">
        <v>105</v>
      </c>
      <c r="C1799" t="s">
        <v>80</v>
      </c>
      <c r="D1799" t="s">
        <v>96</v>
      </c>
      <c r="E1799" t="s">
        <v>89</v>
      </c>
      <c r="F1799" t="s">
        <v>5</v>
      </c>
      <c r="G1799" t="s">
        <v>109</v>
      </c>
      <c r="H1799" s="62">
        <v>2038</v>
      </c>
      <c r="I1799">
        <v>0.37469999999999998</v>
      </c>
    </row>
    <row r="1800" spans="1:9">
      <c r="A1800" t="s">
        <v>104</v>
      </c>
      <c r="B1800" t="s">
        <v>105</v>
      </c>
      <c r="C1800" t="s">
        <v>80</v>
      </c>
      <c r="D1800" t="s">
        <v>97</v>
      </c>
      <c r="E1800" t="s">
        <v>98</v>
      </c>
      <c r="F1800" t="s">
        <v>5</v>
      </c>
      <c r="G1800" t="s">
        <v>109</v>
      </c>
      <c r="H1800" s="62">
        <v>2038</v>
      </c>
      <c r="I1800">
        <v>1.3438000000000001</v>
      </c>
    </row>
    <row r="1801" spans="1:9">
      <c r="A1801" t="s">
        <v>104</v>
      </c>
      <c r="B1801" t="s">
        <v>105</v>
      </c>
      <c r="C1801" t="s">
        <v>80</v>
      </c>
      <c r="D1801" t="s">
        <v>97</v>
      </c>
      <c r="E1801" t="s">
        <v>99</v>
      </c>
      <c r="F1801" t="s">
        <v>5</v>
      </c>
      <c r="G1801" t="s">
        <v>109</v>
      </c>
      <c r="H1801" s="62">
        <v>2038</v>
      </c>
      <c r="I1801">
        <v>1.14E-2</v>
      </c>
    </row>
    <row r="1802" spans="1:9">
      <c r="A1802" t="s">
        <v>104</v>
      </c>
      <c r="B1802" t="s">
        <v>105</v>
      </c>
      <c r="C1802" t="s">
        <v>80</v>
      </c>
      <c r="D1802" t="s">
        <v>100</v>
      </c>
      <c r="E1802" t="s">
        <v>101</v>
      </c>
      <c r="F1802" t="s">
        <v>5</v>
      </c>
      <c r="G1802" t="s">
        <v>109</v>
      </c>
      <c r="H1802" s="62">
        <v>2038</v>
      </c>
      <c r="I1802">
        <v>1.7437</v>
      </c>
    </row>
    <row r="1803" spans="1:9">
      <c r="A1803" t="s">
        <v>104</v>
      </c>
      <c r="B1803" t="s">
        <v>105</v>
      </c>
      <c r="C1803" t="s">
        <v>80</v>
      </c>
      <c r="D1803" t="s">
        <v>100</v>
      </c>
      <c r="E1803" t="s">
        <v>102</v>
      </c>
      <c r="F1803" t="s">
        <v>5</v>
      </c>
      <c r="G1803" t="s">
        <v>109</v>
      </c>
      <c r="H1803" s="62">
        <v>2038</v>
      </c>
      <c r="I1803">
        <v>0.35830000000000001</v>
      </c>
    </row>
    <row r="1804" spans="1:9">
      <c r="A1804" t="s">
        <v>104</v>
      </c>
      <c r="B1804" t="s">
        <v>105</v>
      </c>
      <c r="C1804" t="s">
        <v>80</v>
      </c>
      <c r="D1804" t="s">
        <v>100</v>
      </c>
      <c r="E1804" t="s">
        <v>111</v>
      </c>
      <c r="F1804" t="s">
        <v>5</v>
      </c>
      <c r="G1804" t="s">
        <v>109</v>
      </c>
      <c r="H1804" s="62">
        <v>2038</v>
      </c>
      <c r="I1804">
        <v>0</v>
      </c>
    </row>
    <row r="1805" spans="1:9">
      <c r="A1805" t="s">
        <v>104</v>
      </c>
      <c r="B1805" t="s">
        <v>105</v>
      </c>
      <c r="C1805" t="s">
        <v>80</v>
      </c>
      <c r="D1805" t="s">
        <v>100</v>
      </c>
      <c r="E1805" t="s">
        <v>112</v>
      </c>
      <c r="F1805" t="s">
        <v>5</v>
      </c>
      <c r="G1805" t="s">
        <v>109</v>
      </c>
      <c r="H1805" s="62">
        <v>2038</v>
      </c>
      <c r="I1805">
        <v>0</v>
      </c>
    </row>
    <row r="1806" spans="1:9">
      <c r="A1806" t="s">
        <v>104</v>
      </c>
      <c r="B1806" t="s">
        <v>105</v>
      </c>
      <c r="C1806" t="s">
        <v>80</v>
      </c>
      <c r="D1806" t="s">
        <v>83</v>
      </c>
      <c r="E1806" t="s">
        <v>84</v>
      </c>
      <c r="F1806" t="s">
        <v>5</v>
      </c>
      <c r="G1806" t="s">
        <v>109</v>
      </c>
      <c r="H1806" s="62">
        <v>2038</v>
      </c>
      <c r="I1806">
        <v>0.5585</v>
      </c>
    </row>
    <row r="1807" spans="1:9">
      <c r="A1807" t="s">
        <v>104</v>
      </c>
      <c r="B1807" t="s">
        <v>105</v>
      </c>
      <c r="C1807" t="s">
        <v>80</v>
      </c>
      <c r="D1807" t="s">
        <v>83</v>
      </c>
      <c r="E1807" t="s">
        <v>85</v>
      </c>
      <c r="F1807" t="s">
        <v>5</v>
      </c>
      <c r="G1807" t="s">
        <v>109</v>
      </c>
      <c r="H1807" s="62">
        <v>2038</v>
      </c>
      <c r="I1807">
        <v>0.50600000000000001</v>
      </c>
    </row>
    <row r="1808" spans="1:9">
      <c r="A1808" t="s">
        <v>104</v>
      </c>
      <c r="B1808" t="s">
        <v>105</v>
      </c>
      <c r="C1808" t="s">
        <v>80</v>
      </c>
      <c r="D1808" t="s">
        <v>86</v>
      </c>
      <c r="E1808" t="s">
        <v>106</v>
      </c>
      <c r="F1808" t="s">
        <v>5</v>
      </c>
      <c r="G1808" t="s">
        <v>109</v>
      </c>
      <c r="H1808" s="62">
        <v>2038</v>
      </c>
      <c r="I1808">
        <v>5.57E-2</v>
      </c>
    </row>
    <row r="1809" spans="1:9">
      <c r="A1809" t="s">
        <v>104</v>
      </c>
      <c r="B1809" t="s">
        <v>105</v>
      </c>
      <c r="C1809" t="s">
        <v>80</v>
      </c>
      <c r="D1809" t="s">
        <v>86</v>
      </c>
      <c r="E1809" t="s">
        <v>87</v>
      </c>
      <c r="F1809" t="s">
        <v>5</v>
      </c>
      <c r="G1809" t="s">
        <v>109</v>
      </c>
      <c r="H1809" s="62">
        <v>2038</v>
      </c>
      <c r="I1809">
        <v>1.6892</v>
      </c>
    </row>
    <row r="1810" spans="1:9">
      <c r="A1810" t="s">
        <v>104</v>
      </c>
      <c r="B1810" t="s">
        <v>105</v>
      </c>
      <c r="C1810" t="s">
        <v>80</v>
      </c>
      <c r="D1810" t="s">
        <v>103</v>
      </c>
      <c r="E1810" t="s">
        <v>92</v>
      </c>
      <c r="F1810" t="s">
        <v>5</v>
      </c>
      <c r="G1810" t="s">
        <v>109</v>
      </c>
      <c r="H1810" s="62">
        <v>2038</v>
      </c>
      <c r="I1810">
        <v>1.0786</v>
      </c>
    </row>
    <row r="1811" spans="1:9">
      <c r="A1811" t="s">
        <v>104</v>
      </c>
      <c r="B1811" t="s">
        <v>105</v>
      </c>
      <c r="C1811" t="s">
        <v>80</v>
      </c>
      <c r="D1811" t="s">
        <v>103</v>
      </c>
      <c r="E1811" t="s">
        <v>89</v>
      </c>
      <c r="F1811" t="s">
        <v>5</v>
      </c>
      <c r="G1811" t="s">
        <v>109</v>
      </c>
      <c r="H1811" s="62">
        <v>2038</v>
      </c>
      <c r="I1811">
        <v>5.077</v>
      </c>
    </row>
    <row r="1812" spans="1:9">
      <c r="A1812" t="s">
        <v>104</v>
      </c>
      <c r="B1812" t="s">
        <v>105</v>
      </c>
      <c r="C1812" t="s">
        <v>107</v>
      </c>
      <c r="D1812" t="s">
        <v>107</v>
      </c>
      <c r="E1812" t="s">
        <v>107</v>
      </c>
      <c r="F1812" t="s">
        <v>5</v>
      </c>
      <c r="G1812" t="s">
        <v>109</v>
      </c>
      <c r="H1812" s="62">
        <v>2039</v>
      </c>
      <c r="I1812">
        <v>15.917899999999999</v>
      </c>
    </row>
    <row r="1813" spans="1:9">
      <c r="A1813" t="s">
        <v>104</v>
      </c>
      <c r="B1813" t="s">
        <v>105</v>
      </c>
      <c r="C1813" t="s">
        <v>107</v>
      </c>
      <c r="D1813" t="s">
        <v>108</v>
      </c>
      <c r="E1813" t="s">
        <v>108</v>
      </c>
      <c r="F1813" t="s">
        <v>5</v>
      </c>
      <c r="G1813" t="s">
        <v>109</v>
      </c>
      <c r="H1813" s="62">
        <v>2039</v>
      </c>
      <c r="I1813">
        <v>3.6400000000000002E-2</v>
      </c>
    </row>
    <row r="1814" spans="1:9">
      <c r="A1814" t="s">
        <v>104</v>
      </c>
      <c r="B1814" t="s">
        <v>105</v>
      </c>
      <c r="C1814" t="s">
        <v>80</v>
      </c>
      <c r="D1814" t="s">
        <v>80</v>
      </c>
      <c r="E1814" t="s">
        <v>80</v>
      </c>
      <c r="F1814" t="s">
        <v>5</v>
      </c>
      <c r="G1814" t="s">
        <v>109</v>
      </c>
      <c r="H1814" s="62">
        <v>2039</v>
      </c>
      <c r="I1814">
        <v>15.881500000000001</v>
      </c>
    </row>
    <row r="1815" spans="1:9">
      <c r="A1815" t="s">
        <v>104</v>
      </c>
      <c r="B1815" t="s">
        <v>105</v>
      </c>
      <c r="C1815" t="s">
        <v>80</v>
      </c>
      <c r="D1815" t="s">
        <v>89</v>
      </c>
      <c r="E1815" t="s">
        <v>90</v>
      </c>
      <c r="F1815" t="s">
        <v>5</v>
      </c>
      <c r="G1815" t="s">
        <v>109</v>
      </c>
      <c r="H1815" s="62">
        <v>2039</v>
      </c>
      <c r="I1815">
        <v>-0.64259999999999995</v>
      </c>
    </row>
    <row r="1816" spans="1:9">
      <c r="A1816" t="s">
        <v>104</v>
      </c>
      <c r="B1816" t="s">
        <v>105</v>
      </c>
      <c r="C1816" t="s">
        <v>80</v>
      </c>
      <c r="D1816" t="s">
        <v>89</v>
      </c>
      <c r="E1816" t="s">
        <v>91</v>
      </c>
      <c r="F1816" t="s">
        <v>5</v>
      </c>
      <c r="G1816" t="s">
        <v>109</v>
      </c>
      <c r="H1816" s="62">
        <v>2039</v>
      </c>
      <c r="I1816">
        <v>0.121</v>
      </c>
    </row>
    <row r="1817" spans="1:9">
      <c r="A1817" t="s">
        <v>104</v>
      </c>
      <c r="B1817" t="s">
        <v>105</v>
      </c>
      <c r="C1817" t="s">
        <v>80</v>
      </c>
      <c r="D1817" t="s">
        <v>92</v>
      </c>
      <c r="E1817" t="s">
        <v>93</v>
      </c>
      <c r="F1817" t="s">
        <v>5</v>
      </c>
      <c r="G1817" t="s">
        <v>109</v>
      </c>
      <c r="H1817" s="62">
        <v>2039</v>
      </c>
      <c r="I1817">
        <v>-2.0026999999999999</v>
      </c>
    </row>
    <row r="1818" spans="1:9">
      <c r="A1818" t="s">
        <v>104</v>
      </c>
      <c r="B1818" t="s">
        <v>105</v>
      </c>
      <c r="C1818" t="s">
        <v>80</v>
      </c>
      <c r="D1818" t="s">
        <v>92</v>
      </c>
      <c r="E1818" t="s">
        <v>94</v>
      </c>
      <c r="F1818" t="s">
        <v>5</v>
      </c>
      <c r="G1818" t="s">
        <v>109</v>
      </c>
      <c r="H1818" s="62">
        <v>2039</v>
      </c>
      <c r="I1818">
        <v>6.0334000000000003</v>
      </c>
    </row>
    <row r="1819" spans="1:9">
      <c r="A1819" t="s">
        <v>104</v>
      </c>
      <c r="B1819" t="s">
        <v>105</v>
      </c>
      <c r="C1819" t="s">
        <v>80</v>
      </c>
      <c r="D1819" t="s">
        <v>92</v>
      </c>
      <c r="E1819" t="s">
        <v>110</v>
      </c>
      <c r="F1819" t="s">
        <v>5</v>
      </c>
      <c r="G1819" t="s">
        <v>109</v>
      </c>
      <c r="H1819" s="62">
        <v>2039</v>
      </c>
      <c r="I1819">
        <v>0</v>
      </c>
    </row>
    <row r="1820" spans="1:9">
      <c r="A1820" t="s">
        <v>104</v>
      </c>
      <c r="B1820" t="s">
        <v>105</v>
      </c>
      <c r="C1820" t="s">
        <v>80</v>
      </c>
      <c r="D1820" t="s">
        <v>92</v>
      </c>
      <c r="E1820" t="s">
        <v>95</v>
      </c>
      <c r="F1820" t="s">
        <v>5</v>
      </c>
      <c r="G1820" t="s">
        <v>109</v>
      </c>
      <c r="H1820" s="62">
        <v>2039</v>
      </c>
      <c r="I1820">
        <v>4.5975999999999999</v>
      </c>
    </row>
    <row r="1821" spans="1:9">
      <c r="A1821" t="s">
        <v>104</v>
      </c>
      <c r="B1821" t="s">
        <v>105</v>
      </c>
      <c r="C1821" t="s">
        <v>80</v>
      </c>
      <c r="D1821" t="s">
        <v>96</v>
      </c>
      <c r="E1821" t="s">
        <v>92</v>
      </c>
      <c r="F1821" t="s">
        <v>5</v>
      </c>
      <c r="G1821" t="s">
        <v>109</v>
      </c>
      <c r="H1821" s="62">
        <v>2039</v>
      </c>
      <c r="I1821">
        <v>2.5367000000000002</v>
      </c>
    </row>
    <row r="1822" spans="1:9">
      <c r="A1822" t="s">
        <v>104</v>
      </c>
      <c r="B1822" t="s">
        <v>105</v>
      </c>
      <c r="C1822" t="s">
        <v>80</v>
      </c>
      <c r="D1822" t="s">
        <v>96</v>
      </c>
      <c r="E1822" t="s">
        <v>89</v>
      </c>
      <c r="F1822" t="s">
        <v>5</v>
      </c>
      <c r="G1822" t="s">
        <v>109</v>
      </c>
      <c r="H1822" s="62">
        <v>2039</v>
      </c>
      <c r="I1822">
        <v>0.40500000000000003</v>
      </c>
    </row>
    <row r="1823" spans="1:9">
      <c r="A1823" t="s">
        <v>104</v>
      </c>
      <c r="B1823" t="s">
        <v>105</v>
      </c>
      <c r="C1823" t="s">
        <v>80</v>
      </c>
      <c r="D1823" t="s">
        <v>97</v>
      </c>
      <c r="E1823" t="s">
        <v>98</v>
      </c>
      <c r="F1823" t="s">
        <v>5</v>
      </c>
      <c r="G1823" t="s">
        <v>109</v>
      </c>
      <c r="H1823" s="62">
        <v>2039</v>
      </c>
      <c r="I1823">
        <v>1.5730999999999999</v>
      </c>
    </row>
    <row r="1824" spans="1:9">
      <c r="A1824" t="s">
        <v>104</v>
      </c>
      <c r="B1824" t="s">
        <v>105</v>
      </c>
      <c r="C1824" t="s">
        <v>80</v>
      </c>
      <c r="D1824" t="s">
        <v>97</v>
      </c>
      <c r="E1824" t="s">
        <v>99</v>
      </c>
      <c r="F1824" t="s">
        <v>5</v>
      </c>
      <c r="G1824" t="s">
        <v>109</v>
      </c>
      <c r="H1824" s="62">
        <v>2039</v>
      </c>
      <c r="I1824">
        <v>1.43E-2</v>
      </c>
    </row>
    <row r="1825" spans="1:9">
      <c r="A1825" t="s">
        <v>104</v>
      </c>
      <c r="B1825" t="s">
        <v>105</v>
      </c>
      <c r="C1825" t="s">
        <v>80</v>
      </c>
      <c r="D1825" t="s">
        <v>100</v>
      </c>
      <c r="E1825" t="s">
        <v>101</v>
      </c>
      <c r="F1825" t="s">
        <v>5</v>
      </c>
      <c r="G1825" t="s">
        <v>109</v>
      </c>
      <c r="H1825" s="62">
        <v>2039</v>
      </c>
      <c r="I1825">
        <v>1.8315999999999999</v>
      </c>
    </row>
    <row r="1826" spans="1:9">
      <c r="A1826" t="s">
        <v>104</v>
      </c>
      <c r="B1826" t="s">
        <v>105</v>
      </c>
      <c r="C1826" t="s">
        <v>80</v>
      </c>
      <c r="D1826" t="s">
        <v>100</v>
      </c>
      <c r="E1826" t="s">
        <v>102</v>
      </c>
      <c r="F1826" t="s">
        <v>5</v>
      </c>
      <c r="G1826" t="s">
        <v>109</v>
      </c>
      <c r="H1826" s="62">
        <v>2039</v>
      </c>
      <c r="I1826">
        <v>0.32419999999999999</v>
      </c>
    </row>
    <row r="1827" spans="1:9">
      <c r="A1827" t="s">
        <v>104</v>
      </c>
      <c r="B1827" t="s">
        <v>105</v>
      </c>
      <c r="C1827" t="s">
        <v>80</v>
      </c>
      <c r="D1827" t="s">
        <v>100</v>
      </c>
      <c r="E1827" t="s">
        <v>111</v>
      </c>
      <c r="F1827" t="s">
        <v>5</v>
      </c>
      <c r="G1827" t="s">
        <v>109</v>
      </c>
      <c r="H1827" s="62">
        <v>2039</v>
      </c>
      <c r="I1827">
        <v>0</v>
      </c>
    </row>
    <row r="1828" spans="1:9">
      <c r="A1828" t="s">
        <v>104</v>
      </c>
      <c r="B1828" t="s">
        <v>105</v>
      </c>
      <c r="C1828" t="s">
        <v>80</v>
      </c>
      <c r="D1828" t="s">
        <v>100</v>
      </c>
      <c r="E1828" t="s">
        <v>112</v>
      </c>
      <c r="F1828" t="s">
        <v>5</v>
      </c>
      <c r="G1828" t="s">
        <v>109</v>
      </c>
      <c r="H1828" s="62">
        <v>2039</v>
      </c>
      <c r="I1828">
        <v>0</v>
      </c>
    </row>
    <row r="1829" spans="1:9">
      <c r="A1829" t="s">
        <v>104</v>
      </c>
      <c r="B1829" t="s">
        <v>105</v>
      </c>
      <c r="C1829" t="s">
        <v>80</v>
      </c>
      <c r="D1829" t="s">
        <v>83</v>
      </c>
      <c r="E1829" t="s">
        <v>84</v>
      </c>
      <c r="F1829" t="s">
        <v>5</v>
      </c>
      <c r="G1829" t="s">
        <v>109</v>
      </c>
      <c r="H1829" s="62">
        <v>2039</v>
      </c>
      <c r="I1829">
        <v>0.57140000000000002</v>
      </c>
    </row>
    <row r="1830" spans="1:9">
      <c r="A1830" t="s">
        <v>104</v>
      </c>
      <c r="B1830" t="s">
        <v>105</v>
      </c>
      <c r="C1830" t="s">
        <v>80</v>
      </c>
      <c r="D1830" t="s">
        <v>83</v>
      </c>
      <c r="E1830" t="s">
        <v>85</v>
      </c>
      <c r="F1830" t="s">
        <v>5</v>
      </c>
      <c r="G1830" t="s">
        <v>109</v>
      </c>
      <c r="H1830" s="62">
        <v>2039</v>
      </c>
      <c r="I1830">
        <v>0.51829999999999998</v>
      </c>
    </row>
    <row r="1831" spans="1:9">
      <c r="A1831" t="s">
        <v>104</v>
      </c>
      <c r="B1831" t="s">
        <v>105</v>
      </c>
      <c r="C1831" t="s">
        <v>80</v>
      </c>
      <c r="D1831" t="s">
        <v>86</v>
      </c>
      <c r="E1831" t="s">
        <v>106</v>
      </c>
      <c r="F1831" t="s">
        <v>5</v>
      </c>
      <c r="G1831" t="s">
        <v>109</v>
      </c>
      <c r="H1831" s="62">
        <v>2039</v>
      </c>
      <c r="I1831">
        <v>5.62E-2</v>
      </c>
    </row>
    <row r="1832" spans="1:9">
      <c r="A1832" t="s">
        <v>104</v>
      </c>
      <c r="B1832" t="s">
        <v>105</v>
      </c>
      <c r="C1832" t="s">
        <v>80</v>
      </c>
      <c r="D1832" t="s">
        <v>86</v>
      </c>
      <c r="E1832" t="s">
        <v>87</v>
      </c>
      <c r="F1832" t="s">
        <v>5</v>
      </c>
      <c r="G1832" t="s">
        <v>109</v>
      </c>
      <c r="H1832" s="62">
        <v>2039</v>
      </c>
      <c r="I1832">
        <v>1.8254999999999999</v>
      </c>
    </row>
    <row r="1833" spans="1:9">
      <c r="A1833" t="s">
        <v>104</v>
      </c>
      <c r="B1833" t="s">
        <v>105</v>
      </c>
      <c r="C1833" t="s">
        <v>80</v>
      </c>
      <c r="D1833" t="s">
        <v>103</v>
      </c>
      <c r="E1833" t="s">
        <v>92</v>
      </c>
      <c r="F1833" t="s">
        <v>5</v>
      </c>
      <c r="G1833" t="s">
        <v>109</v>
      </c>
      <c r="H1833" s="62">
        <v>2039</v>
      </c>
      <c r="I1833">
        <v>1.1181000000000001</v>
      </c>
    </row>
    <row r="1834" spans="1:9">
      <c r="A1834" t="s">
        <v>104</v>
      </c>
      <c r="B1834" t="s">
        <v>105</v>
      </c>
      <c r="C1834" t="s">
        <v>80</v>
      </c>
      <c r="D1834" t="s">
        <v>103</v>
      </c>
      <c r="E1834" t="s">
        <v>89</v>
      </c>
      <c r="F1834" t="s">
        <v>5</v>
      </c>
      <c r="G1834" t="s">
        <v>109</v>
      </c>
      <c r="H1834" s="62">
        <v>2039</v>
      </c>
      <c r="I1834">
        <v>5.2403000000000004</v>
      </c>
    </row>
    <row r="1835" spans="1:9">
      <c r="A1835" t="s">
        <v>104</v>
      </c>
      <c r="B1835" t="s">
        <v>105</v>
      </c>
      <c r="C1835" t="s">
        <v>107</v>
      </c>
      <c r="D1835" t="s">
        <v>107</v>
      </c>
      <c r="E1835" t="s">
        <v>107</v>
      </c>
      <c r="F1835" t="s">
        <v>5</v>
      </c>
      <c r="G1835" t="s">
        <v>109</v>
      </c>
      <c r="H1835" s="62">
        <v>2040</v>
      </c>
      <c r="I1835">
        <v>16.1922</v>
      </c>
    </row>
    <row r="1836" spans="1:9">
      <c r="A1836" t="s">
        <v>104</v>
      </c>
      <c r="B1836" t="s">
        <v>105</v>
      </c>
      <c r="C1836" t="s">
        <v>107</v>
      </c>
      <c r="D1836" t="s">
        <v>108</v>
      </c>
      <c r="E1836" t="s">
        <v>108</v>
      </c>
      <c r="F1836" t="s">
        <v>5</v>
      </c>
      <c r="G1836" t="s">
        <v>109</v>
      </c>
      <c r="H1836" s="62">
        <v>2040</v>
      </c>
      <c r="I1836">
        <v>3.8699999999999998E-2</v>
      </c>
    </row>
    <row r="1837" spans="1:9">
      <c r="A1837" t="s">
        <v>104</v>
      </c>
      <c r="B1837" t="s">
        <v>105</v>
      </c>
      <c r="C1837" t="s">
        <v>80</v>
      </c>
      <c r="D1837" t="s">
        <v>80</v>
      </c>
      <c r="E1837" t="s">
        <v>80</v>
      </c>
      <c r="F1837" t="s">
        <v>5</v>
      </c>
      <c r="G1837" t="s">
        <v>109</v>
      </c>
      <c r="H1837" s="62">
        <v>2040</v>
      </c>
      <c r="I1837">
        <v>16.153500000000001</v>
      </c>
    </row>
    <row r="1838" spans="1:9">
      <c r="A1838" t="s">
        <v>104</v>
      </c>
      <c r="B1838" t="s">
        <v>105</v>
      </c>
      <c r="C1838" t="s">
        <v>80</v>
      </c>
      <c r="D1838" t="s">
        <v>89</v>
      </c>
      <c r="E1838" t="s">
        <v>90</v>
      </c>
      <c r="F1838" t="s">
        <v>5</v>
      </c>
      <c r="G1838" t="s">
        <v>109</v>
      </c>
      <c r="H1838" s="62">
        <v>2040</v>
      </c>
      <c r="I1838">
        <v>-0.78490000000000004</v>
      </c>
    </row>
    <row r="1839" spans="1:9">
      <c r="A1839" t="s">
        <v>104</v>
      </c>
      <c r="B1839" t="s">
        <v>105</v>
      </c>
      <c r="C1839" t="s">
        <v>80</v>
      </c>
      <c r="D1839" t="s">
        <v>89</v>
      </c>
      <c r="E1839" t="s">
        <v>91</v>
      </c>
      <c r="F1839" t="s">
        <v>5</v>
      </c>
      <c r="G1839" t="s">
        <v>109</v>
      </c>
      <c r="H1839" s="62">
        <v>2040</v>
      </c>
      <c r="I1839">
        <v>0.16009999999999999</v>
      </c>
    </row>
    <row r="1840" spans="1:9">
      <c r="A1840" t="s">
        <v>104</v>
      </c>
      <c r="B1840" t="s">
        <v>105</v>
      </c>
      <c r="C1840" t="s">
        <v>80</v>
      </c>
      <c r="D1840" t="s">
        <v>92</v>
      </c>
      <c r="E1840" t="s">
        <v>93</v>
      </c>
      <c r="F1840" t="s">
        <v>5</v>
      </c>
      <c r="G1840" t="s">
        <v>109</v>
      </c>
      <c r="H1840" s="62">
        <v>2040</v>
      </c>
      <c r="I1840">
        <v>-2.1850999999999998</v>
      </c>
    </row>
    <row r="1841" spans="1:9">
      <c r="A1841" t="s">
        <v>104</v>
      </c>
      <c r="B1841" t="s">
        <v>105</v>
      </c>
      <c r="C1841" t="s">
        <v>80</v>
      </c>
      <c r="D1841" t="s">
        <v>92</v>
      </c>
      <c r="E1841" t="s">
        <v>94</v>
      </c>
      <c r="F1841" t="s">
        <v>5</v>
      </c>
      <c r="G1841" t="s">
        <v>109</v>
      </c>
      <c r="H1841" s="62">
        <v>2040</v>
      </c>
      <c r="I1841">
        <v>6.0221</v>
      </c>
    </row>
    <row r="1842" spans="1:9">
      <c r="A1842" t="s">
        <v>104</v>
      </c>
      <c r="B1842" t="s">
        <v>105</v>
      </c>
      <c r="C1842" t="s">
        <v>80</v>
      </c>
      <c r="D1842" t="s">
        <v>92</v>
      </c>
      <c r="E1842" t="s">
        <v>110</v>
      </c>
      <c r="F1842" t="s">
        <v>5</v>
      </c>
      <c r="G1842" t="s">
        <v>109</v>
      </c>
      <c r="H1842" s="62">
        <v>2040</v>
      </c>
      <c r="I1842">
        <v>0</v>
      </c>
    </row>
    <row r="1843" spans="1:9">
      <c r="A1843" t="s">
        <v>104</v>
      </c>
      <c r="B1843" t="s">
        <v>105</v>
      </c>
      <c r="C1843" t="s">
        <v>80</v>
      </c>
      <c r="D1843" t="s">
        <v>92</v>
      </c>
      <c r="E1843" t="s">
        <v>95</v>
      </c>
      <c r="F1843" t="s">
        <v>5</v>
      </c>
      <c r="G1843" t="s">
        <v>109</v>
      </c>
      <c r="H1843" s="62">
        <v>2040</v>
      </c>
      <c r="I1843">
        <v>4.6874000000000002</v>
      </c>
    </row>
    <row r="1844" spans="1:9">
      <c r="A1844" t="s">
        <v>104</v>
      </c>
      <c r="B1844" t="s">
        <v>105</v>
      </c>
      <c r="C1844" t="s">
        <v>80</v>
      </c>
      <c r="D1844" t="s">
        <v>96</v>
      </c>
      <c r="E1844" t="s">
        <v>92</v>
      </c>
      <c r="F1844" t="s">
        <v>5</v>
      </c>
      <c r="G1844" t="s">
        <v>109</v>
      </c>
      <c r="H1844" s="62">
        <v>2040</v>
      </c>
      <c r="I1844">
        <v>2.6046</v>
      </c>
    </row>
    <row r="1845" spans="1:9">
      <c r="A1845" t="s">
        <v>104</v>
      </c>
      <c r="B1845" t="s">
        <v>105</v>
      </c>
      <c r="C1845" t="s">
        <v>80</v>
      </c>
      <c r="D1845" t="s">
        <v>96</v>
      </c>
      <c r="E1845" t="s">
        <v>89</v>
      </c>
      <c r="F1845" t="s">
        <v>5</v>
      </c>
      <c r="G1845" t="s">
        <v>109</v>
      </c>
      <c r="H1845" s="62">
        <v>2040</v>
      </c>
      <c r="I1845">
        <v>0.43319999999999997</v>
      </c>
    </row>
    <row r="1846" spans="1:9">
      <c r="A1846" t="s">
        <v>104</v>
      </c>
      <c r="B1846" t="s">
        <v>105</v>
      </c>
      <c r="C1846" t="s">
        <v>80</v>
      </c>
      <c r="D1846" t="s">
        <v>97</v>
      </c>
      <c r="E1846" t="s">
        <v>98</v>
      </c>
      <c r="F1846" t="s">
        <v>5</v>
      </c>
      <c r="G1846" t="s">
        <v>109</v>
      </c>
      <c r="H1846" s="62">
        <v>2040</v>
      </c>
      <c r="I1846">
        <v>1.8080000000000001</v>
      </c>
    </row>
    <row r="1847" spans="1:9">
      <c r="A1847" t="s">
        <v>104</v>
      </c>
      <c r="B1847" t="s">
        <v>105</v>
      </c>
      <c r="C1847" t="s">
        <v>80</v>
      </c>
      <c r="D1847" t="s">
        <v>97</v>
      </c>
      <c r="E1847" t="s">
        <v>99</v>
      </c>
      <c r="F1847" t="s">
        <v>5</v>
      </c>
      <c r="G1847" t="s">
        <v>109</v>
      </c>
      <c r="H1847" s="62">
        <v>2040</v>
      </c>
      <c r="I1847">
        <v>1.7600000000000001E-2</v>
      </c>
    </row>
    <row r="1848" spans="1:9">
      <c r="A1848" t="s">
        <v>104</v>
      </c>
      <c r="B1848" t="s">
        <v>105</v>
      </c>
      <c r="C1848" t="s">
        <v>80</v>
      </c>
      <c r="D1848" t="s">
        <v>100</v>
      </c>
      <c r="E1848" t="s">
        <v>101</v>
      </c>
      <c r="F1848" t="s">
        <v>5</v>
      </c>
      <c r="G1848" t="s">
        <v>109</v>
      </c>
      <c r="H1848" s="62">
        <v>2040</v>
      </c>
      <c r="I1848">
        <v>1.9119999999999999</v>
      </c>
    </row>
    <row r="1849" spans="1:9">
      <c r="A1849" t="s">
        <v>104</v>
      </c>
      <c r="B1849" t="s">
        <v>105</v>
      </c>
      <c r="C1849" t="s">
        <v>80</v>
      </c>
      <c r="D1849" t="s">
        <v>100</v>
      </c>
      <c r="E1849" t="s">
        <v>102</v>
      </c>
      <c r="F1849" t="s">
        <v>5</v>
      </c>
      <c r="G1849" t="s">
        <v>109</v>
      </c>
      <c r="H1849" s="62">
        <v>2040</v>
      </c>
      <c r="I1849">
        <v>0.36859999999999998</v>
      </c>
    </row>
    <row r="1850" spans="1:9">
      <c r="A1850" t="s">
        <v>104</v>
      </c>
      <c r="B1850" t="s">
        <v>105</v>
      </c>
      <c r="C1850" t="s">
        <v>80</v>
      </c>
      <c r="D1850" t="s">
        <v>100</v>
      </c>
      <c r="E1850" t="s">
        <v>111</v>
      </c>
      <c r="F1850" t="s">
        <v>5</v>
      </c>
      <c r="G1850" t="s">
        <v>109</v>
      </c>
      <c r="H1850" s="62">
        <v>2040</v>
      </c>
      <c r="I1850">
        <v>0</v>
      </c>
    </row>
    <row r="1851" spans="1:9">
      <c r="A1851" t="s">
        <v>104</v>
      </c>
      <c r="B1851" t="s">
        <v>105</v>
      </c>
      <c r="C1851" t="s">
        <v>80</v>
      </c>
      <c r="D1851" t="s">
        <v>100</v>
      </c>
      <c r="E1851" t="s">
        <v>112</v>
      </c>
      <c r="F1851" t="s">
        <v>5</v>
      </c>
      <c r="G1851" t="s">
        <v>109</v>
      </c>
      <c r="H1851" s="62">
        <v>2040</v>
      </c>
      <c r="I1851">
        <v>0</v>
      </c>
    </row>
    <row r="1852" spans="1:9">
      <c r="A1852" t="s">
        <v>104</v>
      </c>
      <c r="B1852" t="s">
        <v>105</v>
      </c>
      <c r="C1852" t="s">
        <v>80</v>
      </c>
      <c r="D1852" t="s">
        <v>83</v>
      </c>
      <c r="E1852" t="s">
        <v>84</v>
      </c>
      <c r="F1852" t="s">
        <v>5</v>
      </c>
      <c r="G1852" t="s">
        <v>109</v>
      </c>
      <c r="H1852" s="62">
        <v>2040</v>
      </c>
      <c r="I1852">
        <v>0.58179999999999998</v>
      </c>
    </row>
    <row r="1853" spans="1:9">
      <c r="A1853" t="s">
        <v>104</v>
      </c>
      <c r="B1853" t="s">
        <v>105</v>
      </c>
      <c r="C1853" t="s">
        <v>80</v>
      </c>
      <c r="D1853" t="s">
        <v>83</v>
      </c>
      <c r="E1853" t="s">
        <v>85</v>
      </c>
      <c r="F1853" t="s">
        <v>5</v>
      </c>
      <c r="G1853" t="s">
        <v>109</v>
      </c>
      <c r="H1853" s="62">
        <v>2040</v>
      </c>
      <c r="I1853">
        <v>0.52790000000000004</v>
      </c>
    </row>
    <row r="1854" spans="1:9">
      <c r="A1854" t="s">
        <v>104</v>
      </c>
      <c r="B1854" t="s">
        <v>105</v>
      </c>
      <c r="C1854" t="s">
        <v>80</v>
      </c>
      <c r="D1854" t="s">
        <v>86</v>
      </c>
      <c r="E1854" t="s">
        <v>106</v>
      </c>
      <c r="F1854" t="s">
        <v>5</v>
      </c>
      <c r="G1854" t="s">
        <v>109</v>
      </c>
      <c r="H1854" s="62">
        <v>2040</v>
      </c>
      <c r="I1854">
        <v>5.6800000000000003E-2</v>
      </c>
    </row>
    <row r="1855" spans="1:9">
      <c r="A1855" t="s">
        <v>104</v>
      </c>
      <c r="B1855" t="s">
        <v>105</v>
      </c>
      <c r="C1855" t="s">
        <v>80</v>
      </c>
      <c r="D1855" t="s">
        <v>86</v>
      </c>
      <c r="E1855" t="s">
        <v>87</v>
      </c>
      <c r="F1855" t="s">
        <v>5</v>
      </c>
      <c r="G1855" t="s">
        <v>109</v>
      </c>
      <c r="H1855" s="62">
        <v>2040</v>
      </c>
      <c r="I1855">
        <v>1.9681</v>
      </c>
    </row>
    <row r="1856" spans="1:9">
      <c r="A1856" t="s">
        <v>104</v>
      </c>
      <c r="B1856" t="s">
        <v>105</v>
      </c>
      <c r="C1856" t="s">
        <v>80</v>
      </c>
      <c r="D1856" t="s">
        <v>103</v>
      </c>
      <c r="E1856" t="s">
        <v>92</v>
      </c>
      <c r="F1856" t="s">
        <v>5</v>
      </c>
      <c r="G1856" t="s">
        <v>109</v>
      </c>
      <c r="H1856" s="62">
        <v>2040</v>
      </c>
      <c r="I1856">
        <v>1.1600999999999999</v>
      </c>
    </row>
    <row r="1857" spans="1:9">
      <c r="A1857" t="s">
        <v>104</v>
      </c>
      <c r="B1857" t="s">
        <v>105</v>
      </c>
      <c r="C1857" t="s">
        <v>80</v>
      </c>
      <c r="D1857" t="s">
        <v>103</v>
      </c>
      <c r="E1857" t="s">
        <v>89</v>
      </c>
      <c r="F1857" t="s">
        <v>5</v>
      </c>
      <c r="G1857" t="s">
        <v>109</v>
      </c>
      <c r="H1857" s="62">
        <v>2040</v>
      </c>
      <c r="I1857">
        <v>5.4101999999999997</v>
      </c>
    </row>
    <row r="1858" spans="1:9">
      <c r="A1858" t="s">
        <v>104</v>
      </c>
      <c r="B1858" t="s">
        <v>105</v>
      </c>
      <c r="C1858" t="s">
        <v>107</v>
      </c>
      <c r="D1858" t="s">
        <v>107</v>
      </c>
      <c r="E1858" t="s">
        <v>107</v>
      </c>
      <c r="F1858" t="s">
        <v>5</v>
      </c>
      <c r="G1858" t="s">
        <v>109</v>
      </c>
      <c r="H1858" s="62">
        <v>2041</v>
      </c>
      <c r="I1858">
        <v>16.4375</v>
      </c>
    </row>
    <row r="1859" spans="1:9">
      <c r="A1859" t="s">
        <v>104</v>
      </c>
      <c r="B1859" t="s">
        <v>105</v>
      </c>
      <c r="C1859" t="s">
        <v>107</v>
      </c>
      <c r="D1859" t="s">
        <v>108</v>
      </c>
      <c r="E1859" t="s">
        <v>108</v>
      </c>
      <c r="F1859" t="s">
        <v>5</v>
      </c>
      <c r="G1859" t="s">
        <v>109</v>
      </c>
      <c r="H1859" s="62">
        <v>2041</v>
      </c>
      <c r="I1859">
        <v>3.9600000000000003E-2</v>
      </c>
    </row>
    <row r="1860" spans="1:9">
      <c r="A1860" t="s">
        <v>104</v>
      </c>
      <c r="B1860" t="s">
        <v>105</v>
      </c>
      <c r="C1860" t="s">
        <v>80</v>
      </c>
      <c r="D1860" t="s">
        <v>80</v>
      </c>
      <c r="E1860" t="s">
        <v>80</v>
      </c>
      <c r="F1860" t="s">
        <v>5</v>
      </c>
      <c r="G1860" t="s">
        <v>109</v>
      </c>
      <c r="H1860" s="62">
        <v>2041</v>
      </c>
      <c r="I1860">
        <v>16.3979</v>
      </c>
    </row>
    <row r="1861" spans="1:9">
      <c r="A1861" t="s">
        <v>104</v>
      </c>
      <c r="B1861" t="s">
        <v>105</v>
      </c>
      <c r="C1861" t="s">
        <v>80</v>
      </c>
      <c r="D1861" t="s">
        <v>89</v>
      </c>
      <c r="E1861" t="s">
        <v>90</v>
      </c>
      <c r="F1861" t="s">
        <v>5</v>
      </c>
      <c r="G1861" t="s">
        <v>109</v>
      </c>
      <c r="H1861" s="62">
        <v>2041</v>
      </c>
      <c r="I1861">
        <v>-0.93659999999999999</v>
      </c>
    </row>
    <row r="1862" spans="1:9">
      <c r="A1862" t="s">
        <v>104</v>
      </c>
      <c r="B1862" t="s">
        <v>105</v>
      </c>
      <c r="C1862" t="s">
        <v>80</v>
      </c>
      <c r="D1862" t="s">
        <v>89</v>
      </c>
      <c r="E1862" t="s">
        <v>91</v>
      </c>
      <c r="F1862" t="s">
        <v>5</v>
      </c>
      <c r="G1862" t="s">
        <v>109</v>
      </c>
      <c r="H1862" s="62">
        <v>2041</v>
      </c>
      <c r="I1862">
        <v>0.2039</v>
      </c>
    </row>
    <row r="1863" spans="1:9">
      <c r="A1863" t="s">
        <v>104</v>
      </c>
      <c r="B1863" t="s">
        <v>105</v>
      </c>
      <c r="C1863" t="s">
        <v>80</v>
      </c>
      <c r="D1863" t="s">
        <v>92</v>
      </c>
      <c r="E1863" t="s">
        <v>93</v>
      </c>
      <c r="F1863" t="s">
        <v>5</v>
      </c>
      <c r="G1863" t="s">
        <v>109</v>
      </c>
      <c r="H1863" s="62">
        <v>2041</v>
      </c>
      <c r="I1863">
        <v>-2.3412000000000002</v>
      </c>
    </row>
    <row r="1864" spans="1:9">
      <c r="A1864" t="s">
        <v>104</v>
      </c>
      <c r="B1864" t="s">
        <v>105</v>
      </c>
      <c r="C1864" t="s">
        <v>80</v>
      </c>
      <c r="D1864" t="s">
        <v>92</v>
      </c>
      <c r="E1864" t="s">
        <v>94</v>
      </c>
      <c r="F1864" t="s">
        <v>5</v>
      </c>
      <c r="G1864" t="s">
        <v>109</v>
      </c>
      <c r="H1864" s="62">
        <v>2041</v>
      </c>
      <c r="I1864">
        <v>5.9755000000000003</v>
      </c>
    </row>
    <row r="1865" spans="1:9">
      <c r="A1865" t="s">
        <v>104</v>
      </c>
      <c r="B1865" t="s">
        <v>105</v>
      </c>
      <c r="C1865" t="s">
        <v>80</v>
      </c>
      <c r="D1865" t="s">
        <v>92</v>
      </c>
      <c r="E1865" t="s">
        <v>110</v>
      </c>
      <c r="F1865" t="s">
        <v>5</v>
      </c>
      <c r="G1865" t="s">
        <v>109</v>
      </c>
      <c r="H1865" s="62">
        <v>2041</v>
      </c>
      <c r="I1865">
        <v>0</v>
      </c>
    </row>
    <row r="1866" spans="1:9">
      <c r="A1866" t="s">
        <v>104</v>
      </c>
      <c r="B1866" t="s">
        <v>105</v>
      </c>
      <c r="C1866" t="s">
        <v>80</v>
      </c>
      <c r="D1866" t="s">
        <v>92</v>
      </c>
      <c r="E1866" t="s">
        <v>95</v>
      </c>
      <c r="F1866" t="s">
        <v>5</v>
      </c>
      <c r="G1866" t="s">
        <v>109</v>
      </c>
      <c r="H1866" s="62">
        <v>2041</v>
      </c>
      <c r="I1866">
        <v>4.7793999999999999</v>
      </c>
    </row>
    <row r="1867" spans="1:9">
      <c r="A1867" t="s">
        <v>104</v>
      </c>
      <c r="B1867" t="s">
        <v>105</v>
      </c>
      <c r="C1867" t="s">
        <v>80</v>
      </c>
      <c r="D1867" t="s">
        <v>96</v>
      </c>
      <c r="E1867" t="s">
        <v>92</v>
      </c>
      <c r="F1867" t="s">
        <v>5</v>
      </c>
      <c r="G1867" t="s">
        <v>109</v>
      </c>
      <c r="H1867" s="62">
        <v>2041</v>
      </c>
      <c r="I1867">
        <v>2.7524000000000002</v>
      </c>
    </row>
    <row r="1868" spans="1:9">
      <c r="A1868" t="s">
        <v>104</v>
      </c>
      <c r="B1868" t="s">
        <v>105</v>
      </c>
      <c r="C1868" t="s">
        <v>80</v>
      </c>
      <c r="D1868" t="s">
        <v>96</v>
      </c>
      <c r="E1868" t="s">
        <v>89</v>
      </c>
      <c r="F1868" t="s">
        <v>5</v>
      </c>
      <c r="G1868" t="s">
        <v>109</v>
      </c>
      <c r="H1868" s="62">
        <v>2041</v>
      </c>
      <c r="I1868">
        <v>0.46250000000000002</v>
      </c>
    </row>
    <row r="1869" spans="1:9">
      <c r="A1869" t="s">
        <v>104</v>
      </c>
      <c r="B1869" t="s">
        <v>105</v>
      </c>
      <c r="C1869" t="s">
        <v>80</v>
      </c>
      <c r="D1869" t="s">
        <v>97</v>
      </c>
      <c r="E1869" t="s">
        <v>98</v>
      </c>
      <c r="F1869" t="s">
        <v>5</v>
      </c>
      <c r="G1869" t="s">
        <v>109</v>
      </c>
      <c r="H1869" s="62">
        <v>2041</v>
      </c>
      <c r="I1869">
        <v>2.0326</v>
      </c>
    </row>
    <row r="1870" spans="1:9">
      <c r="A1870" t="s">
        <v>104</v>
      </c>
      <c r="B1870" t="s">
        <v>105</v>
      </c>
      <c r="C1870" t="s">
        <v>80</v>
      </c>
      <c r="D1870" t="s">
        <v>97</v>
      </c>
      <c r="E1870" t="s">
        <v>99</v>
      </c>
      <c r="F1870" t="s">
        <v>5</v>
      </c>
      <c r="G1870" t="s">
        <v>109</v>
      </c>
      <c r="H1870" s="62">
        <v>2041</v>
      </c>
      <c r="I1870">
        <v>2.1100000000000001E-2</v>
      </c>
    </row>
    <row r="1871" spans="1:9">
      <c r="A1871" t="s">
        <v>104</v>
      </c>
      <c r="B1871" t="s">
        <v>105</v>
      </c>
      <c r="C1871" t="s">
        <v>80</v>
      </c>
      <c r="D1871" t="s">
        <v>100</v>
      </c>
      <c r="E1871" t="s">
        <v>101</v>
      </c>
      <c r="F1871" t="s">
        <v>5</v>
      </c>
      <c r="G1871" t="s">
        <v>109</v>
      </c>
      <c r="H1871" s="62">
        <v>2041</v>
      </c>
      <c r="I1871">
        <v>1.9875</v>
      </c>
    </row>
    <row r="1872" spans="1:9">
      <c r="A1872" t="s">
        <v>104</v>
      </c>
      <c r="B1872" t="s">
        <v>105</v>
      </c>
      <c r="C1872" t="s">
        <v>80</v>
      </c>
      <c r="D1872" t="s">
        <v>100</v>
      </c>
      <c r="E1872" t="s">
        <v>102</v>
      </c>
      <c r="F1872" t="s">
        <v>5</v>
      </c>
      <c r="G1872" t="s">
        <v>109</v>
      </c>
      <c r="H1872" s="62">
        <v>2041</v>
      </c>
      <c r="I1872">
        <v>0.3286</v>
      </c>
    </row>
    <row r="1873" spans="1:9">
      <c r="A1873" t="s">
        <v>104</v>
      </c>
      <c r="B1873" t="s">
        <v>105</v>
      </c>
      <c r="C1873" t="s">
        <v>80</v>
      </c>
      <c r="D1873" t="s">
        <v>100</v>
      </c>
      <c r="E1873" t="s">
        <v>111</v>
      </c>
      <c r="F1873" t="s">
        <v>5</v>
      </c>
      <c r="G1873" t="s">
        <v>109</v>
      </c>
      <c r="H1873" s="62">
        <v>2041</v>
      </c>
      <c r="I1873">
        <v>0</v>
      </c>
    </row>
    <row r="1874" spans="1:9">
      <c r="A1874" t="s">
        <v>104</v>
      </c>
      <c r="B1874" t="s">
        <v>105</v>
      </c>
      <c r="C1874" t="s">
        <v>80</v>
      </c>
      <c r="D1874" t="s">
        <v>100</v>
      </c>
      <c r="E1874" t="s">
        <v>112</v>
      </c>
      <c r="F1874" t="s">
        <v>5</v>
      </c>
      <c r="G1874" t="s">
        <v>109</v>
      </c>
      <c r="H1874" s="62">
        <v>2041</v>
      </c>
      <c r="I1874">
        <v>0</v>
      </c>
    </row>
    <row r="1875" spans="1:9">
      <c r="A1875" t="s">
        <v>104</v>
      </c>
      <c r="B1875" t="s">
        <v>105</v>
      </c>
      <c r="C1875" t="s">
        <v>80</v>
      </c>
      <c r="D1875" t="s">
        <v>83</v>
      </c>
      <c r="E1875" t="s">
        <v>84</v>
      </c>
      <c r="F1875" t="s">
        <v>5</v>
      </c>
      <c r="G1875" t="s">
        <v>109</v>
      </c>
      <c r="H1875" s="62">
        <v>2041</v>
      </c>
      <c r="I1875">
        <v>0.59370000000000001</v>
      </c>
    </row>
    <row r="1876" spans="1:9">
      <c r="A1876" t="s">
        <v>104</v>
      </c>
      <c r="B1876" t="s">
        <v>105</v>
      </c>
      <c r="C1876" t="s">
        <v>80</v>
      </c>
      <c r="D1876" t="s">
        <v>83</v>
      </c>
      <c r="E1876" t="s">
        <v>85</v>
      </c>
      <c r="F1876" t="s">
        <v>5</v>
      </c>
      <c r="G1876" t="s">
        <v>109</v>
      </c>
      <c r="H1876" s="62">
        <v>2041</v>
      </c>
      <c r="I1876">
        <v>0.53859999999999997</v>
      </c>
    </row>
    <row r="1877" spans="1:9">
      <c r="A1877" t="s">
        <v>104</v>
      </c>
      <c r="B1877" t="s">
        <v>105</v>
      </c>
      <c r="C1877" t="s">
        <v>80</v>
      </c>
      <c r="D1877" t="s">
        <v>86</v>
      </c>
      <c r="E1877" t="s">
        <v>106</v>
      </c>
      <c r="F1877" t="s">
        <v>5</v>
      </c>
      <c r="G1877" t="s">
        <v>109</v>
      </c>
      <c r="H1877" s="62">
        <v>2041</v>
      </c>
      <c r="I1877">
        <v>5.7200000000000001E-2</v>
      </c>
    </row>
    <row r="1878" spans="1:9">
      <c r="A1878" t="s">
        <v>104</v>
      </c>
      <c r="B1878" t="s">
        <v>105</v>
      </c>
      <c r="C1878" t="s">
        <v>80</v>
      </c>
      <c r="D1878" t="s">
        <v>86</v>
      </c>
      <c r="E1878" t="s">
        <v>87</v>
      </c>
      <c r="F1878" t="s">
        <v>5</v>
      </c>
      <c r="G1878" t="s">
        <v>109</v>
      </c>
      <c r="H1878" s="62">
        <v>2041</v>
      </c>
      <c r="I1878">
        <v>2.0800999999999998</v>
      </c>
    </row>
    <row r="1879" spans="1:9">
      <c r="A1879" t="s">
        <v>104</v>
      </c>
      <c r="B1879" t="s">
        <v>105</v>
      </c>
      <c r="C1879" t="s">
        <v>80</v>
      </c>
      <c r="D1879" t="s">
        <v>103</v>
      </c>
      <c r="E1879" t="s">
        <v>92</v>
      </c>
      <c r="F1879" t="s">
        <v>5</v>
      </c>
      <c r="G1879" t="s">
        <v>109</v>
      </c>
      <c r="H1879" s="62">
        <v>2041</v>
      </c>
      <c r="I1879">
        <v>1.1976</v>
      </c>
    </row>
    <row r="1880" spans="1:9">
      <c r="A1880" t="s">
        <v>104</v>
      </c>
      <c r="B1880" t="s">
        <v>105</v>
      </c>
      <c r="C1880" t="s">
        <v>80</v>
      </c>
      <c r="D1880" t="s">
        <v>103</v>
      </c>
      <c r="E1880" t="s">
        <v>89</v>
      </c>
      <c r="F1880" t="s">
        <v>5</v>
      </c>
      <c r="G1880" t="s">
        <v>109</v>
      </c>
      <c r="H1880" s="62">
        <v>2041</v>
      </c>
      <c r="I1880">
        <v>5.5641999999999996</v>
      </c>
    </row>
    <row r="1881" spans="1:9">
      <c r="A1881" t="s">
        <v>104</v>
      </c>
      <c r="B1881" t="s">
        <v>105</v>
      </c>
      <c r="C1881" t="s">
        <v>107</v>
      </c>
      <c r="D1881" t="s">
        <v>107</v>
      </c>
      <c r="E1881" t="s">
        <v>107</v>
      </c>
      <c r="F1881" t="s">
        <v>5</v>
      </c>
      <c r="G1881" t="s">
        <v>109</v>
      </c>
      <c r="H1881" s="62">
        <v>2042</v>
      </c>
      <c r="I1881">
        <v>16.830100000000002</v>
      </c>
    </row>
    <row r="1882" spans="1:9">
      <c r="A1882" t="s">
        <v>104</v>
      </c>
      <c r="B1882" t="s">
        <v>105</v>
      </c>
      <c r="C1882" t="s">
        <v>107</v>
      </c>
      <c r="D1882" t="s">
        <v>108</v>
      </c>
      <c r="E1882" t="s">
        <v>108</v>
      </c>
      <c r="F1882" t="s">
        <v>5</v>
      </c>
      <c r="G1882" t="s">
        <v>109</v>
      </c>
      <c r="H1882" s="62">
        <v>2042</v>
      </c>
      <c r="I1882">
        <v>4.2599999999999999E-2</v>
      </c>
    </row>
    <row r="1883" spans="1:9">
      <c r="A1883" t="s">
        <v>104</v>
      </c>
      <c r="B1883" t="s">
        <v>105</v>
      </c>
      <c r="C1883" t="s">
        <v>80</v>
      </c>
      <c r="D1883" t="s">
        <v>80</v>
      </c>
      <c r="E1883" t="s">
        <v>80</v>
      </c>
      <c r="F1883" t="s">
        <v>5</v>
      </c>
      <c r="G1883" t="s">
        <v>109</v>
      </c>
      <c r="H1883" s="62">
        <v>2042</v>
      </c>
      <c r="I1883">
        <v>16.787600000000001</v>
      </c>
    </row>
    <row r="1884" spans="1:9">
      <c r="A1884" t="s">
        <v>104</v>
      </c>
      <c r="B1884" t="s">
        <v>105</v>
      </c>
      <c r="C1884" t="s">
        <v>80</v>
      </c>
      <c r="D1884" t="s">
        <v>89</v>
      </c>
      <c r="E1884" t="s">
        <v>90</v>
      </c>
      <c r="F1884" t="s">
        <v>5</v>
      </c>
      <c r="G1884" t="s">
        <v>109</v>
      </c>
      <c r="H1884" s="62">
        <v>2042</v>
      </c>
      <c r="I1884">
        <v>-1.0686</v>
      </c>
    </row>
    <row r="1885" spans="1:9">
      <c r="A1885" t="s">
        <v>104</v>
      </c>
      <c r="B1885" t="s">
        <v>105</v>
      </c>
      <c r="C1885" t="s">
        <v>80</v>
      </c>
      <c r="D1885" t="s">
        <v>89</v>
      </c>
      <c r="E1885" t="s">
        <v>91</v>
      </c>
      <c r="F1885" t="s">
        <v>5</v>
      </c>
      <c r="G1885" t="s">
        <v>109</v>
      </c>
      <c r="H1885" s="62">
        <v>2042</v>
      </c>
      <c r="I1885">
        <v>0.2475</v>
      </c>
    </row>
    <row r="1886" spans="1:9">
      <c r="A1886" t="s">
        <v>104</v>
      </c>
      <c r="B1886" t="s">
        <v>105</v>
      </c>
      <c r="C1886" t="s">
        <v>80</v>
      </c>
      <c r="D1886" t="s">
        <v>92</v>
      </c>
      <c r="E1886" t="s">
        <v>93</v>
      </c>
      <c r="F1886" t="s">
        <v>5</v>
      </c>
      <c r="G1886" t="s">
        <v>109</v>
      </c>
      <c r="H1886" s="62">
        <v>2042</v>
      </c>
      <c r="I1886">
        <v>-2.5051999999999999</v>
      </c>
    </row>
    <row r="1887" spans="1:9">
      <c r="A1887" t="s">
        <v>104</v>
      </c>
      <c r="B1887" t="s">
        <v>105</v>
      </c>
      <c r="C1887" t="s">
        <v>80</v>
      </c>
      <c r="D1887" t="s">
        <v>92</v>
      </c>
      <c r="E1887" t="s">
        <v>94</v>
      </c>
      <c r="F1887" t="s">
        <v>5</v>
      </c>
      <c r="G1887" t="s">
        <v>109</v>
      </c>
      <c r="H1887" s="62">
        <v>2042</v>
      </c>
      <c r="I1887">
        <v>5.9413999999999998</v>
      </c>
    </row>
    <row r="1888" spans="1:9">
      <c r="A1888" t="s">
        <v>104</v>
      </c>
      <c r="B1888" t="s">
        <v>105</v>
      </c>
      <c r="C1888" t="s">
        <v>80</v>
      </c>
      <c r="D1888" t="s">
        <v>92</v>
      </c>
      <c r="E1888" t="s">
        <v>110</v>
      </c>
      <c r="F1888" t="s">
        <v>5</v>
      </c>
      <c r="G1888" t="s">
        <v>109</v>
      </c>
      <c r="H1888" s="62">
        <v>2042</v>
      </c>
      <c r="I1888">
        <v>0</v>
      </c>
    </row>
    <row r="1889" spans="1:9">
      <c r="A1889" t="s">
        <v>104</v>
      </c>
      <c r="B1889" t="s">
        <v>105</v>
      </c>
      <c r="C1889" t="s">
        <v>80</v>
      </c>
      <c r="D1889" t="s">
        <v>92</v>
      </c>
      <c r="E1889" t="s">
        <v>95</v>
      </c>
      <c r="F1889" t="s">
        <v>5</v>
      </c>
      <c r="G1889" t="s">
        <v>109</v>
      </c>
      <c r="H1889" s="62">
        <v>2042</v>
      </c>
      <c r="I1889">
        <v>4.8743999999999996</v>
      </c>
    </row>
    <row r="1890" spans="1:9">
      <c r="A1890" t="s">
        <v>104</v>
      </c>
      <c r="B1890" t="s">
        <v>105</v>
      </c>
      <c r="C1890" t="s">
        <v>80</v>
      </c>
      <c r="D1890" t="s">
        <v>96</v>
      </c>
      <c r="E1890" t="s">
        <v>92</v>
      </c>
      <c r="F1890" t="s">
        <v>5</v>
      </c>
      <c r="G1890" t="s">
        <v>109</v>
      </c>
      <c r="H1890" s="62">
        <v>2042</v>
      </c>
      <c r="I1890">
        <v>2.8900999999999999</v>
      </c>
    </row>
    <row r="1891" spans="1:9">
      <c r="A1891" t="s">
        <v>104</v>
      </c>
      <c r="B1891" t="s">
        <v>105</v>
      </c>
      <c r="C1891" t="s">
        <v>80</v>
      </c>
      <c r="D1891" t="s">
        <v>96</v>
      </c>
      <c r="E1891" t="s">
        <v>89</v>
      </c>
      <c r="F1891" t="s">
        <v>5</v>
      </c>
      <c r="G1891" t="s">
        <v>109</v>
      </c>
      <c r="H1891" s="62">
        <v>2042</v>
      </c>
      <c r="I1891">
        <v>0.4904</v>
      </c>
    </row>
    <row r="1892" spans="1:9">
      <c r="A1892" t="s">
        <v>104</v>
      </c>
      <c r="B1892" t="s">
        <v>105</v>
      </c>
      <c r="C1892" t="s">
        <v>80</v>
      </c>
      <c r="D1892" t="s">
        <v>97</v>
      </c>
      <c r="E1892" t="s">
        <v>98</v>
      </c>
      <c r="F1892" t="s">
        <v>5</v>
      </c>
      <c r="G1892" t="s">
        <v>109</v>
      </c>
      <c r="H1892" s="62">
        <v>2042</v>
      </c>
      <c r="I1892">
        <v>2.2612999999999999</v>
      </c>
    </row>
    <row r="1893" spans="1:9">
      <c r="A1893" t="s">
        <v>104</v>
      </c>
      <c r="B1893" t="s">
        <v>105</v>
      </c>
      <c r="C1893" t="s">
        <v>80</v>
      </c>
      <c r="D1893" t="s">
        <v>97</v>
      </c>
      <c r="E1893" t="s">
        <v>99</v>
      </c>
      <c r="F1893" t="s">
        <v>5</v>
      </c>
      <c r="G1893" t="s">
        <v>109</v>
      </c>
      <c r="H1893" s="62">
        <v>2042</v>
      </c>
      <c r="I1893">
        <v>2.5000000000000001E-2</v>
      </c>
    </row>
    <row r="1894" spans="1:9">
      <c r="A1894" t="s">
        <v>104</v>
      </c>
      <c r="B1894" t="s">
        <v>105</v>
      </c>
      <c r="C1894" t="s">
        <v>80</v>
      </c>
      <c r="D1894" t="s">
        <v>100</v>
      </c>
      <c r="E1894" t="s">
        <v>101</v>
      </c>
      <c r="F1894" t="s">
        <v>5</v>
      </c>
      <c r="G1894" t="s">
        <v>109</v>
      </c>
      <c r="H1894" s="62">
        <v>2042</v>
      </c>
      <c r="I1894">
        <v>2.1535000000000002</v>
      </c>
    </row>
    <row r="1895" spans="1:9">
      <c r="A1895" t="s">
        <v>104</v>
      </c>
      <c r="B1895" t="s">
        <v>105</v>
      </c>
      <c r="C1895" t="s">
        <v>80</v>
      </c>
      <c r="D1895" t="s">
        <v>100</v>
      </c>
      <c r="E1895" t="s">
        <v>102</v>
      </c>
      <c r="F1895" t="s">
        <v>5</v>
      </c>
      <c r="G1895" t="s">
        <v>109</v>
      </c>
      <c r="H1895" s="62">
        <v>2042</v>
      </c>
      <c r="I1895">
        <v>0.32029999999999997</v>
      </c>
    </row>
    <row r="1896" spans="1:9">
      <c r="A1896" t="s">
        <v>104</v>
      </c>
      <c r="B1896" t="s">
        <v>105</v>
      </c>
      <c r="C1896" t="s">
        <v>80</v>
      </c>
      <c r="D1896" t="s">
        <v>100</v>
      </c>
      <c r="E1896" t="s">
        <v>111</v>
      </c>
      <c r="F1896" t="s">
        <v>5</v>
      </c>
      <c r="G1896" t="s">
        <v>109</v>
      </c>
      <c r="H1896" s="62">
        <v>2042</v>
      </c>
      <c r="I1896">
        <v>0</v>
      </c>
    </row>
    <row r="1897" spans="1:9">
      <c r="A1897" t="s">
        <v>104</v>
      </c>
      <c r="B1897" t="s">
        <v>105</v>
      </c>
      <c r="C1897" t="s">
        <v>80</v>
      </c>
      <c r="D1897" t="s">
        <v>100</v>
      </c>
      <c r="E1897" t="s">
        <v>112</v>
      </c>
      <c r="F1897" t="s">
        <v>5</v>
      </c>
      <c r="G1897" t="s">
        <v>109</v>
      </c>
      <c r="H1897" s="62">
        <v>2042</v>
      </c>
      <c r="I1897">
        <v>0</v>
      </c>
    </row>
    <row r="1898" spans="1:9">
      <c r="A1898" t="s">
        <v>104</v>
      </c>
      <c r="B1898" t="s">
        <v>105</v>
      </c>
      <c r="C1898" t="s">
        <v>80</v>
      </c>
      <c r="D1898" t="s">
        <v>83</v>
      </c>
      <c r="E1898" t="s">
        <v>84</v>
      </c>
      <c r="F1898" t="s">
        <v>5</v>
      </c>
      <c r="G1898" t="s">
        <v>109</v>
      </c>
      <c r="H1898" s="62">
        <v>2042</v>
      </c>
      <c r="I1898">
        <v>0.60709999999999997</v>
      </c>
    </row>
    <row r="1899" spans="1:9">
      <c r="A1899" t="s">
        <v>104</v>
      </c>
      <c r="B1899" t="s">
        <v>105</v>
      </c>
      <c r="C1899" t="s">
        <v>80</v>
      </c>
      <c r="D1899" t="s">
        <v>83</v>
      </c>
      <c r="E1899" t="s">
        <v>85</v>
      </c>
      <c r="F1899" t="s">
        <v>5</v>
      </c>
      <c r="G1899" t="s">
        <v>109</v>
      </c>
      <c r="H1899" s="62">
        <v>2042</v>
      </c>
      <c r="I1899">
        <v>0.55030000000000001</v>
      </c>
    </row>
    <row r="1900" spans="1:9">
      <c r="A1900" t="s">
        <v>104</v>
      </c>
      <c r="B1900" t="s">
        <v>105</v>
      </c>
      <c r="C1900" t="s">
        <v>80</v>
      </c>
      <c r="D1900" t="s">
        <v>86</v>
      </c>
      <c r="E1900" t="s">
        <v>106</v>
      </c>
      <c r="F1900" t="s">
        <v>5</v>
      </c>
      <c r="G1900" t="s">
        <v>109</v>
      </c>
      <c r="H1900" s="62">
        <v>2042</v>
      </c>
      <c r="I1900">
        <v>5.7700000000000001E-2</v>
      </c>
    </row>
    <row r="1901" spans="1:9">
      <c r="A1901" t="s">
        <v>104</v>
      </c>
      <c r="B1901" t="s">
        <v>105</v>
      </c>
      <c r="C1901" t="s">
        <v>80</v>
      </c>
      <c r="D1901" t="s">
        <v>86</v>
      </c>
      <c r="E1901" t="s">
        <v>87</v>
      </c>
      <c r="F1901" t="s">
        <v>5</v>
      </c>
      <c r="G1901" t="s">
        <v>109</v>
      </c>
      <c r="H1901" s="62">
        <v>2042</v>
      </c>
      <c r="I1901">
        <v>2.2000000000000002</v>
      </c>
    </row>
    <row r="1902" spans="1:9">
      <c r="A1902" t="s">
        <v>104</v>
      </c>
      <c r="B1902" t="s">
        <v>105</v>
      </c>
      <c r="C1902" t="s">
        <v>80</v>
      </c>
      <c r="D1902" t="s">
        <v>103</v>
      </c>
      <c r="E1902" t="s">
        <v>92</v>
      </c>
      <c r="F1902" t="s">
        <v>5</v>
      </c>
      <c r="G1902" t="s">
        <v>109</v>
      </c>
      <c r="H1902" s="62">
        <v>2042</v>
      </c>
      <c r="I1902">
        <v>1.2295</v>
      </c>
    </row>
    <row r="1903" spans="1:9">
      <c r="A1903" t="s">
        <v>104</v>
      </c>
      <c r="B1903" t="s">
        <v>105</v>
      </c>
      <c r="C1903" t="s">
        <v>80</v>
      </c>
      <c r="D1903" t="s">
        <v>103</v>
      </c>
      <c r="E1903" t="s">
        <v>89</v>
      </c>
      <c r="F1903" t="s">
        <v>5</v>
      </c>
      <c r="G1903" t="s">
        <v>109</v>
      </c>
      <c r="H1903" s="62">
        <v>2042</v>
      </c>
      <c r="I1903">
        <v>5.7003000000000004</v>
      </c>
    </row>
    <row r="1904" spans="1:9">
      <c r="A1904" t="s">
        <v>104</v>
      </c>
      <c r="B1904" t="s">
        <v>105</v>
      </c>
      <c r="C1904" t="s">
        <v>107</v>
      </c>
      <c r="D1904" t="s">
        <v>107</v>
      </c>
      <c r="E1904" t="s">
        <v>107</v>
      </c>
      <c r="F1904" t="s">
        <v>5</v>
      </c>
      <c r="G1904" t="s">
        <v>109</v>
      </c>
      <c r="H1904" s="62">
        <v>2043</v>
      </c>
      <c r="I1904">
        <v>17.244</v>
      </c>
    </row>
    <row r="1905" spans="1:9">
      <c r="A1905" t="s">
        <v>104</v>
      </c>
      <c r="B1905" t="s">
        <v>105</v>
      </c>
      <c r="C1905" t="s">
        <v>107</v>
      </c>
      <c r="D1905" t="s">
        <v>108</v>
      </c>
      <c r="E1905" t="s">
        <v>108</v>
      </c>
      <c r="F1905" t="s">
        <v>5</v>
      </c>
      <c r="G1905" t="s">
        <v>109</v>
      </c>
      <c r="H1905" s="62">
        <v>2043</v>
      </c>
      <c r="I1905">
        <v>4.3400000000000001E-2</v>
      </c>
    </row>
    <row r="1906" spans="1:9">
      <c r="A1906" t="s">
        <v>104</v>
      </c>
      <c r="B1906" t="s">
        <v>105</v>
      </c>
      <c r="C1906" t="s">
        <v>80</v>
      </c>
      <c r="D1906" t="s">
        <v>80</v>
      </c>
      <c r="E1906" t="s">
        <v>80</v>
      </c>
      <c r="F1906" t="s">
        <v>5</v>
      </c>
      <c r="G1906" t="s">
        <v>109</v>
      </c>
      <c r="H1906" s="62">
        <v>2043</v>
      </c>
      <c r="I1906">
        <v>17.200600000000001</v>
      </c>
    </row>
    <row r="1907" spans="1:9">
      <c r="A1907" t="s">
        <v>104</v>
      </c>
      <c r="B1907" t="s">
        <v>105</v>
      </c>
      <c r="C1907" t="s">
        <v>80</v>
      </c>
      <c r="D1907" t="s">
        <v>89</v>
      </c>
      <c r="E1907" t="s">
        <v>90</v>
      </c>
      <c r="F1907" t="s">
        <v>5</v>
      </c>
      <c r="G1907" t="s">
        <v>109</v>
      </c>
      <c r="H1907" s="62">
        <v>2043</v>
      </c>
      <c r="I1907">
        <v>-1.2087000000000001</v>
      </c>
    </row>
    <row r="1908" spans="1:9">
      <c r="A1908" t="s">
        <v>104</v>
      </c>
      <c r="B1908" t="s">
        <v>105</v>
      </c>
      <c r="C1908" t="s">
        <v>80</v>
      </c>
      <c r="D1908" t="s">
        <v>89</v>
      </c>
      <c r="E1908" t="s">
        <v>91</v>
      </c>
      <c r="F1908" t="s">
        <v>5</v>
      </c>
      <c r="G1908" t="s">
        <v>109</v>
      </c>
      <c r="H1908" s="62">
        <v>2043</v>
      </c>
      <c r="I1908">
        <v>0.29920000000000002</v>
      </c>
    </row>
    <row r="1909" spans="1:9">
      <c r="A1909" t="s">
        <v>104</v>
      </c>
      <c r="B1909" t="s">
        <v>105</v>
      </c>
      <c r="C1909" t="s">
        <v>80</v>
      </c>
      <c r="D1909" t="s">
        <v>92</v>
      </c>
      <c r="E1909" t="s">
        <v>93</v>
      </c>
      <c r="F1909" t="s">
        <v>5</v>
      </c>
      <c r="G1909" t="s">
        <v>109</v>
      </c>
      <c r="H1909" s="62">
        <v>2043</v>
      </c>
      <c r="I1909">
        <v>-2.6932</v>
      </c>
    </row>
    <row r="1910" spans="1:9">
      <c r="A1910" t="s">
        <v>104</v>
      </c>
      <c r="B1910" t="s">
        <v>105</v>
      </c>
      <c r="C1910" t="s">
        <v>80</v>
      </c>
      <c r="D1910" t="s">
        <v>92</v>
      </c>
      <c r="E1910" t="s">
        <v>94</v>
      </c>
      <c r="F1910" t="s">
        <v>5</v>
      </c>
      <c r="G1910" t="s">
        <v>109</v>
      </c>
      <c r="H1910" s="62">
        <v>2043</v>
      </c>
      <c r="I1910">
        <v>5.9084000000000003</v>
      </c>
    </row>
    <row r="1911" spans="1:9">
      <c r="A1911" t="s">
        <v>104</v>
      </c>
      <c r="B1911" t="s">
        <v>105</v>
      </c>
      <c r="C1911" t="s">
        <v>80</v>
      </c>
      <c r="D1911" t="s">
        <v>92</v>
      </c>
      <c r="E1911" t="s">
        <v>110</v>
      </c>
      <c r="F1911" t="s">
        <v>5</v>
      </c>
      <c r="G1911" t="s">
        <v>109</v>
      </c>
      <c r="H1911" s="62">
        <v>2043</v>
      </c>
      <c r="I1911">
        <v>0</v>
      </c>
    </row>
    <row r="1912" spans="1:9">
      <c r="A1912" t="s">
        <v>104</v>
      </c>
      <c r="B1912" t="s">
        <v>105</v>
      </c>
      <c r="C1912" t="s">
        <v>80</v>
      </c>
      <c r="D1912" t="s">
        <v>92</v>
      </c>
      <c r="E1912" t="s">
        <v>95</v>
      </c>
      <c r="F1912" t="s">
        <v>5</v>
      </c>
      <c r="G1912" t="s">
        <v>109</v>
      </c>
      <c r="H1912" s="62">
        <v>2043</v>
      </c>
      <c r="I1912">
        <v>4.9724000000000004</v>
      </c>
    </row>
    <row r="1913" spans="1:9">
      <c r="A1913" t="s">
        <v>104</v>
      </c>
      <c r="B1913" t="s">
        <v>105</v>
      </c>
      <c r="C1913" t="s">
        <v>80</v>
      </c>
      <c r="D1913" t="s">
        <v>96</v>
      </c>
      <c r="E1913" t="s">
        <v>92</v>
      </c>
      <c r="F1913" t="s">
        <v>5</v>
      </c>
      <c r="G1913" t="s">
        <v>109</v>
      </c>
      <c r="H1913" s="62">
        <v>2043</v>
      </c>
      <c r="I1913">
        <v>3.0131000000000001</v>
      </c>
    </row>
    <row r="1914" spans="1:9">
      <c r="A1914" t="s">
        <v>104</v>
      </c>
      <c r="B1914" t="s">
        <v>105</v>
      </c>
      <c r="C1914" t="s">
        <v>80</v>
      </c>
      <c r="D1914" t="s">
        <v>96</v>
      </c>
      <c r="E1914" t="s">
        <v>89</v>
      </c>
      <c r="F1914" t="s">
        <v>5</v>
      </c>
      <c r="G1914" t="s">
        <v>109</v>
      </c>
      <c r="H1914" s="62">
        <v>2043</v>
      </c>
      <c r="I1914">
        <v>0.51780000000000004</v>
      </c>
    </row>
    <row r="1915" spans="1:9">
      <c r="A1915" t="s">
        <v>104</v>
      </c>
      <c r="B1915" t="s">
        <v>105</v>
      </c>
      <c r="C1915" t="s">
        <v>80</v>
      </c>
      <c r="D1915" t="s">
        <v>97</v>
      </c>
      <c r="E1915" t="s">
        <v>98</v>
      </c>
      <c r="F1915" t="s">
        <v>5</v>
      </c>
      <c r="G1915" t="s">
        <v>109</v>
      </c>
      <c r="H1915" s="62">
        <v>2043</v>
      </c>
      <c r="I1915">
        <v>2.4906999999999999</v>
      </c>
    </row>
    <row r="1916" spans="1:9">
      <c r="A1916" t="s">
        <v>104</v>
      </c>
      <c r="B1916" t="s">
        <v>105</v>
      </c>
      <c r="C1916" t="s">
        <v>80</v>
      </c>
      <c r="D1916" t="s">
        <v>97</v>
      </c>
      <c r="E1916" t="s">
        <v>99</v>
      </c>
      <c r="F1916" t="s">
        <v>5</v>
      </c>
      <c r="G1916" t="s">
        <v>109</v>
      </c>
      <c r="H1916" s="62">
        <v>2043</v>
      </c>
      <c r="I1916">
        <v>2.93E-2</v>
      </c>
    </row>
    <row r="1917" spans="1:9">
      <c r="A1917" t="s">
        <v>104</v>
      </c>
      <c r="B1917" t="s">
        <v>105</v>
      </c>
      <c r="C1917" t="s">
        <v>80</v>
      </c>
      <c r="D1917" t="s">
        <v>100</v>
      </c>
      <c r="E1917" t="s">
        <v>101</v>
      </c>
      <c r="F1917" t="s">
        <v>5</v>
      </c>
      <c r="G1917" t="s">
        <v>109</v>
      </c>
      <c r="H1917" s="62">
        <v>2043</v>
      </c>
      <c r="I1917">
        <v>2.3195000000000001</v>
      </c>
    </row>
    <row r="1918" spans="1:9">
      <c r="A1918" t="s">
        <v>104</v>
      </c>
      <c r="B1918" t="s">
        <v>105</v>
      </c>
      <c r="C1918" t="s">
        <v>80</v>
      </c>
      <c r="D1918" t="s">
        <v>100</v>
      </c>
      <c r="E1918" t="s">
        <v>102</v>
      </c>
      <c r="F1918" t="s">
        <v>5</v>
      </c>
      <c r="G1918" t="s">
        <v>109</v>
      </c>
      <c r="H1918" s="62">
        <v>2043</v>
      </c>
      <c r="I1918">
        <v>0.37159999999999999</v>
      </c>
    </row>
    <row r="1919" spans="1:9">
      <c r="A1919" t="s">
        <v>104</v>
      </c>
      <c r="B1919" t="s">
        <v>105</v>
      </c>
      <c r="C1919" t="s">
        <v>80</v>
      </c>
      <c r="D1919" t="s">
        <v>100</v>
      </c>
      <c r="E1919" t="s">
        <v>111</v>
      </c>
      <c r="F1919" t="s">
        <v>5</v>
      </c>
      <c r="G1919" t="s">
        <v>109</v>
      </c>
      <c r="H1919" s="62">
        <v>2043</v>
      </c>
      <c r="I1919">
        <v>0</v>
      </c>
    </row>
    <row r="1920" spans="1:9">
      <c r="A1920" t="s">
        <v>104</v>
      </c>
      <c r="B1920" t="s">
        <v>105</v>
      </c>
      <c r="C1920" t="s">
        <v>80</v>
      </c>
      <c r="D1920" t="s">
        <v>100</v>
      </c>
      <c r="E1920" t="s">
        <v>112</v>
      </c>
      <c r="F1920" t="s">
        <v>5</v>
      </c>
      <c r="G1920" t="s">
        <v>109</v>
      </c>
      <c r="H1920" s="62">
        <v>2043</v>
      </c>
      <c r="I1920">
        <v>0</v>
      </c>
    </row>
    <row r="1921" spans="1:9">
      <c r="A1921" t="s">
        <v>104</v>
      </c>
      <c r="B1921" t="s">
        <v>105</v>
      </c>
      <c r="C1921" t="s">
        <v>80</v>
      </c>
      <c r="D1921" t="s">
        <v>83</v>
      </c>
      <c r="E1921" t="s">
        <v>84</v>
      </c>
      <c r="F1921" t="s">
        <v>5</v>
      </c>
      <c r="G1921" t="s">
        <v>109</v>
      </c>
      <c r="H1921" s="62">
        <v>2043</v>
      </c>
      <c r="I1921">
        <v>0.61919999999999997</v>
      </c>
    </row>
    <row r="1922" spans="1:9">
      <c r="A1922" t="s">
        <v>104</v>
      </c>
      <c r="B1922" t="s">
        <v>105</v>
      </c>
      <c r="C1922" t="s">
        <v>80</v>
      </c>
      <c r="D1922" t="s">
        <v>83</v>
      </c>
      <c r="E1922" t="s">
        <v>85</v>
      </c>
      <c r="F1922" t="s">
        <v>5</v>
      </c>
      <c r="G1922" t="s">
        <v>109</v>
      </c>
      <c r="H1922" s="62">
        <v>2043</v>
      </c>
      <c r="I1922">
        <v>0.56130000000000002</v>
      </c>
    </row>
    <row r="1923" spans="1:9">
      <c r="A1923" t="s">
        <v>104</v>
      </c>
      <c r="B1923" t="s">
        <v>105</v>
      </c>
      <c r="C1923" t="s">
        <v>80</v>
      </c>
      <c r="D1923" t="s">
        <v>86</v>
      </c>
      <c r="E1923" t="s">
        <v>106</v>
      </c>
      <c r="F1923" t="s">
        <v>5</v>
      </c>
      <c r="G1923" t="s">
        <v>109</v>
      </c>
      <c r="H1923" s="62">
        <v>2043</v>
      </c>
      <c r="I1923">
        <v>5.8200000000000002E-2</v>
      </c>
    </row>
    <row r="1924" spans="1:9">
      <c r="A1924" t="s">
        <v>104</v>
      </c>
      <c r="B1924" t="s">
        <v>105</v>
      </c>
      <c r="C1924" t="s">
        <v>80</v>
      </c>
      <c r="D1924" t="s">
        <v>86</v>
      </c>
      <c r="E1924" t="s">
        <v>87</v>
      </c>
      <c r="F1924" t="s">
        <v>5</v>
      </c>
      <c r="G1924" t="s">
        <v>109</v>
      </c>
      <c r="H1924" s="62">
        <v>2043</v>
      </c>
      <c r="I1924">
        <v>2.3357999999999999</v>
      </c>
    </row>
    <row r="1925" spans="1:9">
      <c r="A1925" t="s">
        <v>104</v>
      </c>
      <c r="B1925" t="s">
        <v>105</v>
      </c>
      <c r="C1925" t="s">
        <v>80</v>
      </c>
      <c r="D1925" t="s">
        <v>103</v>
      </c>
      <c r="E1925" t="s">
        <v>92</v>
      </c>
      <c r="F1925" t="s">
        <v>5</v>
      </c>
      <c r="G1925" t="s">
        <v>109</v>
      </c>
      <c r="H1925" s="62">
        <v>2043</v>
      </c>
      <c r="I1925">
        <v>1.2615000000000001</v>
      </c>
    </row>
    <row r="1926" spans="1:9">
      <c r="A1926" t="s">
        <v>104</v>
      </c>
      <c r="B1926" t="s">
        <v>105</v>
      </c>
      <c r="C1926" t="s">
        <v>80</v>
      </c>
      <c r="D1926" t="s">
        <v>103</v>
      </c>
      <c r="E1926" t="s">
        <v>89</v>
      </c>
      <c r="F1926" t="s">
        <v>5</v>
      </c>
      <c r="G1926" t="s">
        <v>109</v>
      </c>
      <c r="H1926" s="62">
        <v>2043</v>
      </c>
      <c r="I1926">
        <v>5.8440000000000003</v>
      </c>
    </row>
    <row r="1927" spans="1:9">
      <c r="A1927" t="s">
        <v>104</v>
      </c>
      <c r="B1927" t="s">
        <v>105</v>
      </c>
      <c r="C1927" t="s">
        <v>107</v>
      </c>
      <c r="D1927" t="s">
        <v>107</v>
      </c>
      <c r="E1927" t="s">
        <v>107</v>
      </c>
      <c r="F1927" t="s">
        <v>5</v>
      </c>
      <c r="G1927" t="s">
        <v>109</v>
      </c>
      <c r="H1927" s="62">
        <v>2044</v>
      </c>
      <c r="I1927">
        <v>17.902000000000001</v>
      </c>
    </row>
    <row r="1928" spans="1:9">
      <c r="A1928" t="s">
        <v>104</v>
      </c>
      <c r="B1928" t="s">
        <v>105</v>
      </c>
      <c r="C1928" t="s">
        <v>107</v>
      </c>
      <c r="D1928" t="s">
        <v>108</v>
      </c>
      <c r="E1928" t="s">
        <v>108</v>
      </c>
      <c r="F1928" t="s">
        <v>5</v>
      </c>
      <c r="G1928" t="s">
        <v>109</v>
      </c>
      <c r="H1928" s="62">
        <v>2044</v>
      </c>
      <c r="I1928">
        <v>4.5100000000000001E-2</v>
      </c>
    </row>
    <row r="1929" spans="1:9">
      <c r="A1929" t="s">
        <v>104</v>
      </c>
      <c r="B1929" t="s">
        <v>105</v>
      </c>
      <c r="C1929" t="s">
        <v>80</v>
      </c>
      <c r="D1929" t="s">
        <v>80</v>
      </c>
      <c r="E1929" t="s">
        <v>80</v>
      </c>
      <c r="F1929" t="s">
        <v>5</v>
      </c>
      <c r="G1929" t="s">
        <v>109</v>
      </c>
      <c r="H1929" s="62">
        <v>2044</v>
      </c>
      <c r="I1929">
        <v>17.856999999999999</v>
      </c>
    </row>
    <row r="1930" spans="1:9">
      <c r="A1930" t="s">
        <v>104</v>
      </c>
      <c r="B1930" t="s">
        <v>105</v>
      </c>
      <c r="C1930" t="s">
        <v>80</v>
      </c>
      <c r="D1930" t="s">
        <v>89</v>
      </c>
      <c r="E1930" t="s">
        <v>90</v>
      </c>
      <c r="F1930" t="s">
        <v>5</v>
      </c>
      <c r="G1930" t="s">
        <v>109</v>
      </c>
      <c r="H1930" s="62">
        <v>2044</v>
      </c>
      <c r="I1930">
        <v>-1.3491</v>
      </c>
    </row>
    <row r="1931" spans="1:9">
      <c r="A1931" t="s">
        <v>104</v>
      </c>
      <c r="B1931" t="s">
        <v>105</v>
      </c>
      <c r="C1931" t="s">
        <v>80</v>
      </c>
      <c r="D1931" t="s">
        <v>89</v>
      </c>
      <c r="E1931" t="s">
        <v>91</v>
      </c>
      <c r="F1931" t="s">
        <v>5</v>
      </c>
      <c r="G1931" t="s">
        <v>109</v>
      </c>
      <c r="H1931" s="62">
        <v>2044</v>
      </c>
      <c r="I1931">
        <v>0.35589999999999999</v>
      </c>
    </row>
    <row r="1932" spans="1:9">
      <c r="A1932" t="s">
        <v>104</v>
      </c>
      <c r="B1932" t="s">
        <v>105</v>
      </c>
      <c r="C1932" t="s">
        <v>80</v>
      </c>
      <c r="D1932" t="s">
        <v>92</v>
      </c>
      <c r="E1932" t="s">
        <v>93</v>
      </c>
      <c r="F1932" t="s">
        <v>5</v>
      </c>
      <c r="G1932" t="s">
        <v>109</v>
      </c>
      <c r="H1932" s="62">
        <v>2044</v>
      </c>
      <c r="I1932">
        <v>-2.8940999999999999</v>
      </c>
    </row>
    <row r="1933" spans="1:9">
      <c r="A1933" t="s">
        <v>104</v>
      </c>
      <c r="B1933" t="s">
        <v>105</v>
      </c>
      <c r="C1933" t="s">
        <v>80</v>
      </c>
      <c r="D1933" t="s">
        <v>92</v>
      </c>
      <c r="E1933" t="s">
        <v>94</v>
      </c>
      <c r="F1933" t="s">
        <v>5</v>
      </c>
      <c r="G1933" t="s">
        <v>109</v>
      </c>
      <c r="H1933" s="62">
        <v>2044</v>
      </c>
      <c r="I1933">
        <v>5.8982999999999999</v>
      </c>
    </row>
    <row r="1934" spans="1:9">
      <c r="A1934" t="s">
        <v>104</v>
      </c>
      <c r="B1934" t="s">
        <v>105</v>
      </c>
      <c r="C1934" t="s">
        <v>80</v>
      </c>
      <c r="D1934" t="s">
        <v>92</v>
      </c>
      <c r="E1934" t="s">
        <v>110</v>
      </c>
      <c r="F1934" t="s">
        <v>5</v>
      </c>
      <c r="G1934" t="s">
        <v>109</v>
      </c>
      <c r="H1934" s="62">
        <v>2044</v>
      </c>
      <c r="I1934">
        <v>0</v>
      </c>
    </row>
    <row r="1935" spans="1:9">
      <c r="A1935" t="s">
        <v>104</v>
      </c>
      <c r="B1935" t="s">
        <v>105</v>
      </c>
      <c r="C1935" t="s">
        <v>80</v>
      </c>
      <c r="D1935" t="s">
        <v>92</v>
      </c>
      <c r="E1935" t="s">
        <v>95</v>
      </c>
      <c r="F1935" t="s">
        <v>5</v>
      </c>
      <c r="G1935" t="s">
        <v>109</v>
      </c>
      <c r="H1935" s="62">
        <v>2044</v>
      </c>
      <c r="I1935">
        <v>5.0738000000000003</v>
      </c>
    </row>
    <row r="1936" spans="1:9">
      <c r="A1936" t="s">
        <v>104</v>
      </c>
      <c r="B1936" t="s">
        <v>105</v>
      </c>
      <c r="C1936" t="s">
        <v>80</v>
      </c>
      <c r="D1936" t="s">
        <v>96</v>
      </c>
      <c r="E1936" t="s">
        <v>92</v>
      </c>
      <c r="F1936" t="s">
        <v>5</v>
      </c>
      <c r="G1936" t="s">
        <v>109</v>
      </c>
      <c r="H1936" s="62">
        <v>2044</v>
      </c>
      <c r="I1936">
        <v>3.0651999999999999</v>
      </c>
    </row>
    <row r="1937" spans="1:9">
      <c r="A1937" t="s">
        <v>104</v>
      </c>
      <c r="B1937" t="s">
        <v>105</v>
      </c>
      <c r="C1937" t="s">
        <v>80</v>
      </c>
      <c r="D1937" t="s">
        <v>96</v>
      </c>
      <c r="E1937" t="s">
        <v>89</v>
      </c>
      <c r="F1937" t="s">
        <v>5</v>
      </c>
      <c r="G1937" t="s">
        <v>109</v>
      </c>
      <c r="H1937" s="62">
        <v>2044</v>
      </c>
      <c r="I1937">
        <v>0.54600000000000004</v>
      </c>
    </row>
    <row r="1938" spans="1:9">
      <c r="A1938" t="s">
        <v>104</v>
      </c>
      <c r="B1938" t="s">
        <v>105</v>
      </c>
      <c r="C1938" t="s">
        <v>80</v>
      </c>
      <c r="D1938" t="s">
        <v>97</v>
      </c>
      <c r="E1938" t="s">
        <v>98</v>
      </c>
      <c r="F1938" t="s">
        <v>5</v>
      </c>
      <c r="G1938" t="s">
        <v>109</v>
      </c>
      <c r="H1938" s="62">
        <v>2044</v>
      </c>
      <c r="I1938">
        <v>2.7269999999999999</v>
      </c>
    </row>
    <row r="1939" spans="1:9">
      <c r="A1939" t="s">
        <v>104</v>
      </c>
      <c r="B1939" t="s">
        <v>105</v>
      </c>
      <c r="C1939" t="s">
        <v>80</v>
      </c>
      <c r="D1939" t="s">
        <v>97</v>
      </c>
      <c r="E1939" t="s">
        <v>99</v>
      </c>
      <c r="F1939" t="s">
        <v>5</v>
      </c>
      <c r="G1939" t="s">
        <v>109</v>
      </c>
      <c r="H1939" s="62">
        <v>2044</v>
      </c>
      <c r="I1939">
        <v>3.39E-2</v>
      </c>
    </row>
    <row r="1940" spans="1:9">
      <c r="A1940" t="s">
        <v>104</v>
      </c>
      <c r="B1940" t="s">
        <v>105</v>
      </c>
      <c r="C1940" t="s">
        <v>80</v>
      </c>
      <c r="D1940" t="s">
        <v>100</v>
      </c>
      <c r="E1940" t="s">
        <v>101</v>
      </c>
      <c r="F1940" t="s">
        <v>5</v>
      </c>
      <c r="G1940" t="s">
        <v>109</v>
      </c>
      <c r="H1940" s="62">
        <v>2044</v>
      </c>
      <c r="I1940">
        <v>2.4241999999999999</v>
      </c>
    </row>
    <row r="1941" spans="1:9">
      <c r="A1941" t="s">
        <v>104</v>
      </c>
      <c r="B1941" t="s">
        <v>105</v>
      </c>
      <c r="C1941" t="s">
        <v>80</v>
      </c>
      <c r="D1941" t="s">
        <v>100</v>
      </c>
      <c r="E1941" t="s">
        <v>102</v>
      </c>
      <c r="F1941" t="s">
        <v>5</v>
      </c>
      <c r="G1941" t="s">
        <v>109</v>
      </c>
      <c r="H1941" s="62">
        <v>2044</v>
      </c>
      <c r="I1941">
        <v>0.77600000000000002</v>
      </c>
    </row>
    <row r="1942" spans="1:9">
      <c r="A1942" t="s">
        <v>104</v>
      </c>
      <c r="B1942" t="s">
        <v>105</v>
      </c>
      <c r="C1942" t="s">
        <v>80</v>
      </c>
      <c r="D1942" t="s">
        <v>100</v>
      </c>
      <c r="E1942" t="s">
        <v>111</v>
      </c>
      <c r="F1942" t="s">
        <v>5</v>
      </c>
      <c r="G1942" t="s">
        <v>109</v>
      </c>
      <c r="H1942" s="62">
        <v>2044</v>
      </c>
      <c r="I1942">
        <v>0</v>
      </c>
    </row>
    <row r="1943" spans="1:9">
      <c r="A1943" t="s">
        <v>104</v>
      </c>
      <c r="B1943" t="s">
        <v>105</v>
      </c>
      <c r="C1943" t="s">
        <v>80</v>
      </c>
      <c r="D1943" t="s">
        <v>100</v>
      </c>
      <c r="E1943" t="s">
        <v>112</v>
      </c>
      <c r="F1943" t="s">
        <v>5</v>
      </c>
      <c r="G1943" t="s">
        <v>109</v>
      </c>
      <c r="H1943" s="62">
        <v>2044</v>
      </c>
      <c r="I1943">
        <v>0</v>
      </c>
    </row>
    <row r="1944" spans="1:9">
      <c r="A1944" t="s">
        <v>104</v>
      </c>
      <c r="B1944" t="s">
        <v>105</v>
      </c>
      <c r="C1944" t="s">
        <v>80</v>
      </c>
      <c r="D1944" t="s">
        <v>83</v>
      </c>
      <c r="E1944" t="s">
        <v>84</v>
      </c>
      <c r="F1944" t="s">
        <v>5</v>
      </c>
      <c r="G1944" t="s">
        <v>109</v>
      </c>
      <c r="H1944" s="62">
        <v>2044</v>
      </c>
      <c r="I1944">
        <v>0.62909999999999999</v>
      </c>
    </row>
    <row r="1945" spans="1:9">
      <c r="A1945" t="s">
        <v>104</v>
      </c>
      <c r="B1945" t="s">
        <v>105</v>
      </c>
      <c r="C1945" t="s">
        <v>80</v>
      </c>
      <c r="D1945" t="s">
        <v>83</v>
      </c>
      <c r="E1945" t="s">
        <v>85</v>
      </c>
      <c r="F1945" t="s">
        <v>5</v>
      </c>
      <c r="G1945" t="s">
        <v>109</v>
      </c>
      <c r="H1945" s="62">
        <v>2044</v>
      </c>
      <c r="I1945">
        <v>0.57099999999999995</v>
      </c>
    </row>
    <row r="1946" spans="1:9">
      <c r="A1946" t="s">
        <v>104</v>
      </c>
      <c r="B1946" t="s">
        <v>105</v>
      </c>
      <c r="C1946" t="s">
        <v>80</v>
      </c>
      <c r="D1946" t="s">
        <v>86</v>
      </c>
      <c r="E1946" t="s">
        <v>106</v>
      </c>
      <c r="F1946" t="s">
        <v>5</v>
      </c>
      <c r="G1946" t="s">
        <v>109</v>
      </c>
      <c r="H1946" s="62">
        <v>2044</v>
      </c>
      <c r="I1946">
        <v>5.8799999999999998E-2</v>
      </c>
    </row>
    <row r="1947" spans="1:9">
      <c r="A1947" t="s">
        <v>104</v>
      </c>
      <c r="B1947" t="s">
        <v>105</v>
      </c>
      <c r="C1947" t="s">
        <v>80</v>
      </c>
      <c r="D1947" t="s">
        <v>86</v>
      </c>
      <c r="E1947" t="s">
        <v>87</v>
      </c>
      <c r="F1947" t="s">
        <v>5</v>
      </c>
      <c r="G1947" t="s">
        <v>109</v>
      </c>
      <c r="H1947" s="62">
        <v>2044</v>
      </c>
      <c r="I1947">
        <v>2.4794</v>
      </c>
    </row>
    <row r="1948" spans="1:9">
      <c r="A1948" t="s">
        <v>104</v>
      </c>
      <c r="B1948" t="s">
        <v>105</v>
      </c>
      <c r="C1948" t="s">
        <v>80</v>
      </c>
      <c r="D1948" t="s">
        <v>103</v>
      </c>
      <c r="E1948" t="s">
        <v>92</v>
      </c>
      <c r="F1948" t="s">
        <v>5</v>
      </c>
      <c r="G1948" t="s">
        <v>109</v>
      </c>
      <c r="H1948" s="62">
        <v>2044</v>
      </c>
      <c r="I1948">
        <v>1.2932999999999999</v>
      </c>
    </row>
    <row r="1949" spans="1:9">
      <c r="A1949" t="s">
        <v>104</v>
      </c>
      <c r="B1949" t="s">
        <v>105</v>
      </c>
      <c r="C1949" t="s">
        <v>80</v>
      </c>
      <c r="D1949" t="s">
        <v>103</v>
      </c>
      <c r="E1949" t="s">
        <v>89</v>
      </c>
      <c r="F1949" t="s">
        <v>5</v>
      </c>
      <c r="G1949" t="s">
        <v>109</v>
      </c>
      <c r="H1949" s="62">
        <v>2044</v>
      </c>
      <c r="I1949">
        <v>5.9898999999999996</v>
      </c>
    </row>
    <row r="1950" spans="1:9">
      <c r="A1950" t="s">
        <v>104</v>
      </c>
      <c r="B1950" t="s">
        <v>105</v>
      </c>
      <c r="C1950" t="s">
        <v>107</v>
      </c>
      <c r="D1950" t="s">
        <v>107</v>
      </c>
      <c r="E1950" t="s">
        <v>107</v>
      </c>
      <c r="F1950" t="s">
        <v>5</v>
      </c>
      <c r="G1950" t="s">
        <v>109</v>
      </c>
      <c r="H1950" s="62">
        <v>2045</v>
      </c>
      <c r="I1950">
        <v>18.346399999999999</v>
      </c>
    </row>
    <row r="1951" spans="1:9">
      <c r="A1951" t="s">
        <v>104</v>
      </c>
      <c r="B1951" t="s">
        <v>105</v>
      </c>
      <c r="C1951" t="s">
        <v>107</v>
      </c>
      <c r="D1951" t="s">
        <v>108</v>
      </c>
      <c r="E1951" t="s">
        <v>108</v>
      </c>
      <c r="F1951" t="s">
        <v>5</v>
      </c>
      <c r="G1951" t="s">
        <v>109</v>
      </c>
      <c r="H1951" s="62">
        <v>2045</v>
      </c>
      <c r="I1951">
        <v>4.5600000000000002E-2</v>
      </c>
    </row>
    <row r="1952" spans="1:9">
      <c r="A1952" t="s">
        <v>104</v>
      </c>
      <c r="B1952" t="s">
        <v>105</v>
      </c>
      <c r="C1952" t="s">
        <v>80</v>
      </c>
      <c r="D1952" t="s">
        <v>80</v>
      </c>
      <c r="E1952" t="s">
        <v>80</v>
      </c>
      <c r="F1952" t="s">
        <v>5</v>
      </c>
      <c r="G1952" t="s">
        <v>109</v>
      </c>
      <c r="H1952" s="62">
        <v>2045</v>
      </c>
      <c r="I1952">
        <v>18.300899999999999</v>
      </c>
    </row>
    <row r="1953" spans="1:9">
      <c r="A1953" t="s">
        <v>104</v>
      </c>
      <c r="B1953" t="s">
        <v>105</v>
      </c>
      <c r="C1953" t="s">
        <v>80</v>
      </c>
      <c r="D1953" t="s">
        <v>89</v>
      </c>
      <c r="E1953" t="s">
        <v>90</v>
      </c>
      <c r="F1953" t="s">
        <v>5</v>
      </c>
      <c r="G1953" t="s">
        <v>109</v>
      </c>
      <c r="H1953" s="62">
        <v>2045</v>
      </c>
      <c r="I1953">
        <v>-1.488</v>
      </c>
    </row>
    <row r="1954" spans="1:9">
      <c r="A1954" t="s">
        <v>104</v>
      </c>
      <c r="B1954" t="s">
        <v>105</v>
      </c>
      <c r="C1954" t="s">
        <v>80</v>
      </c>
      <c r="D1954" t="s">
        <v>89</v>
      </c>
      <c r="E1954" t="s">
        <v>91</v>
      </c>
      <c r="F1954" t="s">
        <v>5</v>
      </c>
      <c r="G1954" t="s">
        <v>109</v>
      </c>
      <c r="H1954" s="62">
        <v>2045</v>
      </c>
      <c r="I1954">
        <v>0.40939999999999999</v>
      </c>
    </row>
    <row r="1955" spans="1:9">
      <c r="A1955" t="s">
        <v>104</v>
      </c>
      <c r="B1955" t="s">
        <v>105</v>
      </c>
      <c r="C1955" t="s">
        <v>80</v>
      </c>
      <c r="D1955" t="s">
        <v>92</v>
      </c>
      <c r="E1955" t="s">
        <v>93</v>
      </c>
      <c r="F1955" t="s">
        <v>5</v>
      </c>
      <c r="G1955" t="s">
        <v>109</v>
      </c>
      <c r="H1955" s="62">
        <v>2045</v>
      </c>
      <c r="I1955">
        <v>-3.0444</v>
      </c>
    </row>
    <row r="1956" spans="1:9">
      <c r="A1956" t="s">
        <v>104</v>
      </c>
      <c r="B1956" t="s">
        <v>105</v>
      </c>
      <c r="C1956" t="s">
        <v>80</v>
      </c>
      <c r="D1956" t="s">
        <v>92</v>
      </c>
      <c r="E1956" t="s">
        <v>94</v>
      </c>
      <c r="F1956" t="s">
        <v>5</v>
      </c>
      <c r="G1956" t="s">
        <v>109</v>
      </c>
      <c r="H1956" s="62">
        <v>2045</v>
      </c>
      <c r="I1956">
        <v>5.8864999999999998</v>
      </c>
    </row>
    <row r="1957" spans="1:9">
      <c r="A1957" t="s">
        <v>104</v>
      </c>
      <c r="B1957" t="s">
        <v>105</v>
      </c>
      <c r="C1957" t="s">
        <v>80</v>
      </c>
      <c r="D1957" t="s">
        <v>92</v>
      </c>
      <c r="E1957" t="s">
        <v>110</v>
      </c>
      <c r="F1957" t="s">
        <v>5</v>
      </c>
      <c r="G1957" t="s">
        <v>109</v>
      </c>
      <c r="H1957" s="62">
        <v>2045</v>
      </c>
      <c r="I1957">
        <v>0</v>
      </c>
    </row>
    <row r="1958" spans="1:9">
      <c r="A1958" t="s">
        <v>104</v>
      </c>
      <c r="B1958" t="s">
        <v>105</v>
      </c>
      <c r="C1958" t="s">
        <v>80</v>
      </c>
      <c r="D1958" t="s">
        <v>92</v>
      </c>
      <c r="E1958" t="s">
        <v>95</v>
      </c>
      <c r="F1958" t="s">
        <v>5</v>
      </c>
      <c r="G1958" t="s">
        <v>109</v>
      </c>
      <c r="H1958" s="62">
        <v>2045</v>
      </c>
      <c r="I1958">
        <v>5.1779999999999999</v>
      </c>
    </row>
    <row r="1959" spans="1:9">
      <c r="A1959" t="s">
        <v>104</v>
      </c>
      <c r="B1959" t="s">
        <v>105</v>
      </c>
      <c r="C1959" t="s">
        <v>80</v>
      </c>
      <c r="D1959" t="s">
        <v>96</v>
      </c>
      <c r="E1959" t="s">
        <v>92</v>
      </c>
      <c r="F1959" t="s">
        <v>5</v>
      </c>
      <c r="G1959" t="s">
        <v>109</v>
      </c>
      <c r="H1959" s="62">
        <v>2045</v>
      </c>
      <c r="I1959">
        <v>3.0990000000000002</v>
      </c>
    </row>
    <row r="1960" spans="1:9">
      <c r="A1960" t="s">
        <v>104</v>
      </c>
      <c r="B1960" t="s">
        <v>105</v>
      </c>
      <c r="C1960" t="s">
        <v>80</v>
      </c>
      <c r="D1960" t="s">
        <v>96</v>
      </c>
      <c r="E1960" t="s">
        <v>89</v>
      </c>
      <c r="F1960" t="s">
        <v>5</v>
      </c>
      <c r="G1960" t="s">
        <v>109</v>
      </c>
      <c r="H1960" s="62">
        <v>2045</v>
      </c>
      <c r="I1960">
        <v>0.57499999999999996</v>
      </c>
    </row>
    <row r="1961" spans="1:9">
      <c r="A1961" t="s">
        <v>104</v>
      </c>
      <c r="B1961" t="s">
        <v>105</v>
      </c>
      <c r="C1961" t="s">
        <v>80</v>
      </c>
      <c r="D1961" t="s">
        <v>97</v>
      </c>
      <c r="E1961" t="s">
        <v>98</v>
      </c>
      <c r="F1961" t="s">
        <v>5</v>
      </c>
      <c r="G1961" t="s">
        <v>109</v>
      </c>
      <c r="H1961" s="62">
        <v>2045</v>
      </c>
      <c r="I1961">
        <v>2.9489999999999998</v>
      </c>
    </row>
    <row r="1962" spans="1:9">
      <c r="A1962" t="s">
        <v>104</v>
      </c>
      <c r="B1962" t="s">
        <v>105</v>
      </c>
      <c r="C1962" t="s">
        <v>80</v>
      </c>
      <c r="D1962" t="s">
        <v>97</v>
      </c>
      <c r="E1962" t="s">
        <v>99</v>
      </c>
      <c r="F1962" t="s">
        <v>5</v>
      </c>
      <c r="G1962" t="s">
        <v>109</v>
      </c>
      <c r="H1962" s="62">
        <v>2045</v>
      </c>
      <c r="I1962">
        <v>3.8699999999999998E-2</v>
      </c>
    </row>
    <row r="1963" spans="1:9">
      <c r="A1963" t="s">
        <v>104</v>
      </c>
      <c r="B1963" t="s">
        <v>105</v>
      </c>
      <c r="C1963" t="s">
        <v>80</v>
      </c>
      <c r="D1963" t="s">
        <v>100</v>
      </c>
      <c r="E1963" t="s">
        <v>101</v>
      </c>
      <c r="F1963" t="s">
        <v>5</v>
      </c>
      <c r="G1963" t="s">
        <v>109</v>
      </c>
      <c r="H1963" s="62">
        <v>2045</v>
      </c>
      <c r="I1963">
        <v>2.6232000000000002</v>
      </c>
    </row>
    <row r="1964" spans="1:9">
      <c r="A1964" t="s">
        <v>104</v>
      </c>
      <c r="B1964" t="s">
        <v>105</v>
      </c>
      <c r="C1964" t="s">
        <v>80</v>
      </c>
      <c r="D1964" t="s">
        <v>100</v>
      </c>
      <c r="E1964" t="s">
        <v>102</v>
      </c>
      <c r="F1964" t="s">
        <v>5</v>
      </c>
      <c r="G1964" t="s">
        <v>109</v>
      </c>
      <c r="H1964" s="62">
        <v>2045</v>
      </c>
      <c r="I1964">
        <v>0.85770000000000002</v>
      </c>
    </row>
    <row r="1965" spans="1:9">
      <c r="A1965" t="s">
        <v>104</v>
      </c>
      <c r="B1965" t="s">
        <v>105</v>
      </c>
      <c r="C1965" t="s">
        <v>80</v>
      </c>
      <c r="D1965" t="s">
        <v>100</v>
      </c>
      <c r="E1965" t="s">
        <v>111</v>
      </c>
      <c r="F1965" t="s">
        <v>5</v>
      </c>
      <c r="G1965" t="s">
        <v>109</v>
      </c>
      <c r="H1965" s="62">
        <v>2045</v>
      </c>
      <c r="I1965">
        <v>0</v>
      </c>
    </row>
    <row r="1966" spans="1:9">
      <c r="A1966" t="s">
        <v>104</v>
      </c>
      <c r="B1966" t="s">
        <v>105</v>
      </c>
      <c r="C1966" t="s">
        <v>80</v>
      </c>
      <c r="D1966" t="s">
        <v>100</v>
      </c>
      <c r="E1966" t="s">
        <v>112</v>
      </c>
      <c r="F1966" t="s">
        <v>5</v>
      </c>
      <c r="G1966" t="s">
        <v>109</v>
      </c>
      <c r="H1966" s="62">
        <v>2045</v>
      </c>
      <c r="I1966">
        <v>0</v>
      </c>
    </row>
    <row r="1967" spans="1:9">
      <c r="A1967" t="s">
        <v>104</v>
      </c>
      <c r="B1967" t="s">
        <v>105</v>
      </c>
      <c r="C1967" t="s">
        <v>80</v>
      </c>
      <c r="D1967" t="s">
        <v>83</v>
      </c>
      <c r="E1967" t="s">
        <v>84</v>
      </c>
      <c r="F1967" t="s">
        <v>5</v>
      </c>
      <c r="G1967" t="s">
        <v>109</v>
      </c>
      <c r="H1967" s="62">
        <v>2045</v>
      </c>
      <c r="I1967">
        <v>0.6371</v>
      </c>
    </row>
    <row r="1968" spans="1:9">
      <c r="A1968" t="s">
        <v>104</v>
      </c>
      <c r="B1968" t="s">
        <v>105</v>
      </c>
      <c r="C1968" t="s">
        <v>80</v>
      </c>
      <c r="D1968" t="s">
        <v>83</v>
      </c>
      <c r="E1968" t="s">
        <v>85</v>
      </c>
      <c r="F1968" t="s">
        <v>5</v>
      </c>
      <c r="G1968" t="s">
        <v>109</v>
      </c>
      <c r="H1968" s="62">
        <v>2045</v>
      </c>
      <c r="I1968">
        <v>0.57969999999999999</v>
      </c>
    </row>
    <row r="1969" spans="1:9">
      <c r="A1969" t="s">
        <v>104</v>
      </c>
      <c r="B1969" t="s">
        <v>105</v>
      </c>
      <c r="C1969" t="s">
        <v>80</v>
      </c>
      <c r="D1969" t="s">
        <v>86</v>
      </c>
      <c r="E1969" t="s">
        <v>106</v>
      </c>
      <c r="F1969" t="s">
        <v>5</v>
      </c>
      <c r="G1969" t="s">
        <v>109</v>
      </c>
      <c r="H1969" s="62">
        <v>2045</v>
      </c>
      <c r="I1969">
        <v>4.2200000000000001E-2</v>
      </c>
    </row>
    <row r="1970" spans="1:9">
      <c r="A1970" t="s">
        <v>104</v>
      </c>
      <c r="B1970" t="s">
        <v>105</v>
      </c>
      <c r="C1970" t="s">
        <v>80</v>
      </c>
      <c r="D1970" t="s">
        <v>86</v>
      </c>
      <c r="E1970" t="s">
        <v>87</v>
      </c>
      <c r="F1970" t="s">
        <v>5</v>
      </c>
      <c r="G1970" t="s">
        <v>109</v>
      </c>
      <c r="H1970" s="62">
        <v>2045</v>
      </c>
      <c r="I1970">
        <v>2.5926999999999998</v>
      </c>
    </row>
    <row r="1971" spans="1:9">
      <c r="A1971" t="s">
        <v>104</v>
      </c>
      <c r="B1971" t="s">
        <v>105</v>
      </c>
      <c r="C1971" t="s">
        <v>80</v>
      </c>
      <c r="D1971" t="s">
        <v>103</v>
      </c>
      <c r="E1971" t="s">
        <v>92</v>
      </c>
      <c r="F1971" t="s">
        <v>5</v>
      </c>
      <c r="G1971" t="s">
        <v>109</v>
      </c>
      <c r="H1971" s="62">
        <v>2045</v>
      </c>
      <c r="I1971">
        <v>1.3266</v>
      </c>
    </row>
    <row r="1972" spans="1:9">
      <c r="A1972" t="s">
        <v>104</v>
      </c>
      <c r="B1972" t="s">
        <v>105</v>
      </c>
      <c r="C1972" t="s">
        <v>80</v>
      </c>
      <c r="D1972" t="s">
        <v>103</v>
      </c>
      <c r="E1972" t="s">
        <v>89</v>
      </c>
      <c r="F1972" t="s">
        <v>5</v>
      </c>
      <c r="G1972" t="s">
        <v>109</v>
      </c>
      <c r="H1972" s="62">
        <v>2045</v>
      </c>
      <c r="I1972">
        <v>6.1308999999999996</v>
      </c>
    </row>
    <row r="1973" spans="1:9">
      <c r="A1973" t="s">
        <v>104</v>
      </c>
      <c r="B1973" t="s">
        <v>105</v>
      </c>
      <c r="C1973" t="s">
        <v>107</v>
      </c>
      <c r="D1973" t="s">
        <v>107</v>
      </c>
      <c r="E1973" t="s">
        <v>107</v>
      </c>
      <c r="F1973" t="s">
        <v>5</v>
      </c>
      <c r="G1973" t="s">
        <v>109</v>
      </c>
      <c r="H1973" s="62">
        <v>2046</v>
      </c>
      <c r="I1973">
        <v>18.292899999999999</v>
      </c>
    </row>
    <row r="1974" spans="1:9">
      <c r="A1974" t="s">
        <v>104</v>
      </c>
      <c r="B1974" t="s">
        <v>105</v>
      </c>
      <c r="C1974" t="s">
        <v>107</v>
      </c>
      <c r="D1974" t="s">
        <v>108</v>
      </c>
      <c r="E1974" t="s">
        <v>108</v>
      </c>
      <c r="F1974" t="s">
        <v>5</v>
      </c>
      <c r="G1974" t="s">
        <v>109</v>
      </c>
      <c r="H1974" s="62">
        <v>2046</v>
      </c>
      <c r="I1974">
        <v>4.5400000000000003E-2</v>
      </c>
    </row>
    <row r="1975" spans="1:9">
      <c r="A1975" t="s">
        <v>104</v>
      </c>
      <c r="B1975" t="s">
        <v>105</v>
      </c>
      <c r="C1975" t="s">
        <v>80</v>
      </c>
      <c r="D1975" t="s">
        <v>80</v>
      </c>
      <c r="E1975" t="s">
        <v>80</v>
      </c>
      <c r="F1975" t="s">
        <v>5</v>
      </c>
      <c r="G1975" t="s">
        <v>109</v>
      </c>
      <c r="H1975" s="62">
        <v>2046</v>
      </c>
      <c r="I1975">
        <v>18.247399999999999</v>
      </c>
    </row>
    <row r="1976" spans="1:9">
      <c r="A1976" t="s">
        <v>104</v>
      </c>
      <c r="B1976" t="s">
        <v>105</v>
      </c>
      <c r="C1976" t="s">
        <v>80</v>
      </c>
      <c r="D1976" t="s">
        <v>89</v>
      </c>
      <c r="E1976" t="s">
        <v>90</v>
      </c>
      <c r="F1976" t="s">
        <v>5</v>
      </c>
      <c r="G1976" t="s">
        <v>109</v>
      </c>
      <c r="H1976" s="62">
        <v>2046</v>
      </c>
      <c r="I1976">
        <v>-1.6614</v>
      </c>
    </row>
    <row r="1977" spans="1:9">
      <c r="A1977" t="s">
        <v>104</v>
      </c>
      <c r="B1977" t="s">
        <v>105</v>
      </c>
      <c r="C1977" t="s">
        <v>80</v>
      </c>
      <c r="D1977" t="s">
        <v>89</v>
      </c>
      <c r="E1977" t="s">
        <v>91</v>
      </c>
      <c r="F1977" t="s">
        <v>5</v>
      </c>
      <c r="G1977" t="s">
        <v>109</v>
      </c>
      <c r="H1977" s="62">
        <v>2046</v>
      </c>
      <c r="I1977">
        <v>0.48630000000000001</v>
      </c>
    </row>
    <row r="1978" spans="1:9">
      <c r="A1978" t="s">
        <v>104</v>
      </c>
      <c r="B1978" t="s">
        <v>105</v>
      </c>
      <c r="C1978" t="s">
        <v>80</v>
      </c>
      <c r="D1978" t="s">
        <v>92</v>
      </c>
      <c r="E1978" t="s">
        <v>93</v>
      </c>
      <c r="F1978" t="s">
        <v>5</v>
      </c>
      <c r="G1978" t="s">
        <v>109</v>
      </c>
      <c r="H1978" s="62">
        <v>2046</v>
      </c>
      <c r="I1978">
        <v>-3.2484999999999999</v>
      </c>
    </row>
    <row r="1979" spans="1:9">
      <c r="A1979" t="s">
        <v>104</v>
      </c>
      <c r="B1979" t="s">
        <v>105</v>
      </c>
      <c r="C1979" t="s">
        <v>80</v>
      </c>
      <c r="D1979" t="s">
        <v>92</v>
      </c>
      <c r="E1979" t="s">
        <v>94</v>
      </c>
      <c r="F1979" t="s">
        <v>5</v>
      </c>
      <c r="G1979" t="s">
        <v>109</v>
      </c>
      <c r="H1979" s="62">
        <v>2046</v>
      </c>
      <c r="I1979">
        <v>5.8131000000000004</v>
      </c>
    </row>
    <row r="1980" spans="1:9">
      <c r="A1980" t="s">
        <v>104</v>
      </c>
      <c r="B1980" t="s">
        <v>105</v>
      </c>
      <c r="C1980" t="s">
        <v>80</v>
      </c>
      <c r="D1980" t="s">
        <v>92</v>
      </c>
      <c r="E1980" t="s">
        <v>110</v>
      </c>
      <c r="F1980" t="s">
        <v>5</v>
      </c>
      <c r="G1980" t="s">
        <v>109</v>
      </c>
      <c r="H1980" s="62">
        <v>2046</v>
      </c>
      <c r="I1980">
        <v>0</v>
      </c>
    </row>
    <row r="1981" spans="1:9">
      <c r="A1981" t="s">
        <v>104</v>
      </c>
      <c r="B1981" t="s">
        <v>105</v>
      </c>
      <c r="C1981" t="s">
        <v>80</v>
      </c>
      <c r="D1981" t="s">
        <v>92</v>
      </c>
      <c r="E1981" t="s">
        <v>95</v>
      </c>
      <c r="F1981" t="s">
        <v>5</v>
      </c>
      <c r="G1981" t="s">
        <v>109</v>
      </c>
      <c r="H1981" s="62">
        <v>2046</v>
      </c>
      <c r="I1981">
        <v>5.2857000000000003</v>
      </c>
    </row>
    <row r="1982" spans="1:9">
      <c r="A1982" t="s">
        <v>104</v>
      </c>
      <c r="B1982" t="s">
        <v>105</v>
      </c>
      <c r="C1982" t="s">
        <v>80</v>
      </c>
      <c r="D1982" t="s">
        <v>96</v>
      </c>
      <c r="E1982" t="s">
        <v>92</v>
      </c>
      <c r="F1982" t="s">
        <v>5</v>
      </c>
      <c r="G1982" t="s">
        <v>109</v>
      </c>
      <c r="H1982" s="62">
        <v>2046</v>
      </c>
      <c r="I1982">
        <v>3.0668000000000002</v>
      </c>
    </row>
    <row r="1983" spans="1:9">
      <c r="A1983" t="s">
        <v>104</v>
      </c>
      <c r="B1983" t="s">
        <v>105</v>
      </c>
      <c r="C1983" t="s">
        <v>80</v>
      </c>
      <c r="D1983" t="s">
        <v>96</v>
      </c>
      <c r="E1983" t="s">
        <v>89</v>
      </c>
      <c r="F1983" t="s">
        <v>5</v>
      </c>
      <c r="G1983" t="s">
        <v>109</v>
      </c>
      <c r="H1983" s="62">
        <v>2046</v>
      </c>
      <c r="I1983">
        <v>0.60050000000000003</v>
      </c>
    </row>
    <row r="1984" spans="1:9">
      <c r="A1984" t="s">
        <v>104</v>
      </c>
      <c r="B1984" t="s">
        <v>105</v>
      </c>
      <c r="C1984" t="s">
        <v>80</v>
      </c>
      <c r="D1984" t="s">
        <v>97</v>
      </c>
      <c r="E1984" t="s">
        <v>98</v>
      </c>
      <c r="F1984" t="s">
        <v>5</v>
      </c>
      <c r="G1984" t="s">
        <v>109</v>
      </c>
      <c r="H1984" s="62">
        <v>2046</v>
      </c>
      <c r="I1984">
        <v>3.1796000000000002</v>
      </c>
    </row>
    <row r="1985" spans="1:9">
      <c r="A1985" t="s">
        <v>104</v>
      </c>
      <c r="B1985" t="s">
        <v>105</v>
      </c>
      <c r="C1985" t="s">
        <v>80</v>
      </c>
      <c r="D1985" t="s">
        <v>97</v>
      </c>
      <c r="E1985" t="s">
        <v>99</v>
      </c>
      <c r="F1985" t="s">
        <v>5</v>
      </c>
      <c r="G1985" t="s">
        <v>109</v>
      </c>
      <c r="H1985" s="62">
        <v>2046</v>
      </c>
      <c r="I1985">
        <v>4.3900000000000002E-2</v>
      </c>
    </row>
    <row r="1986" spans="1:9">
      <c r="A1986" t="s">
        <v>104</v>
      </c>
      <c r="B1986" t="s">
        <v>105</v>
      </c>
      <c r="C1986" t="s">
        <v>80</v>
      </c>
      <c r="D1986" t="s">
        <v>100</v>
      </c>
      <c r="E1986" t="s">
        <v>101</v>
      </c>
      <c r="F1986" t="s">
        <v>5</v>
      </c>
      <c r="G1986" t="s">
        <v>109</v>
      </c>
      <c r="H1986" s="62">
        <v>2046</v>
      </c>
      <c r="I1986">
        <v>2.6232000000000002</v>
      </c>
    </row>
    <row r="1987" spans="1:9">
      <c r="A1987" t="s">
        <v>104</v>
      </c>
      <c r="B1987" t="s">
        <v>105</v>
      </c>
      <c r="C1987" t="s">
        <v>80</v>
      </c>
      <c r="D1987" t="s">
        <v>100</v>
      </c>
      <c r="E1987" t="s">
        <v>102</v>
      </c>
      <c r="F1987" t="s">
        <v>5</v>
      </c>
      <c r="G1987" t="s">
        <v>109</v>
      </c>
      <c r="H1987" s="62">
        <v>2046</v>
      </c>
      <c r="I1987">
        <v>0.83940000000000003</v>
      </c>
    </row>
    <row r="1988" spans="1:9">
      <c r="A1988" t="s">
        <v>104</v>
      </c>
      <c r="B1988" t="s">
        <v>105</v>
      </c>
      <c r="C1988" t="s">
        <v>80</v>
      </c>
      <c r="D1988" t="s">
        <v>100</v>
      </c>
      <c r="E1988" t="s">
        <v>111</v>
      </c>
      <c r="F1988" t="s">
        <v>5</v>
      </c>
      <c r="G1988" t="s">
        <v>109</v>
      </c>
      <c r="H1988" s="62">
        <v>2046</v>
      </c>
      <c r="I1988">
        <v>0</v>
      </c>
    </row>
    <row r="1989" spans="1:9">
      <c r="A1989" t="s">
        <v>104</v>
      </c>
      <c r="B1989" t="s">
        <v>105</v>
      </c>
      <c r="C1989" t="s">
        <v>80</v>
      </c>
      <c r="D1989" t="s">
        <v>100</v>
      </c>
      <c r="E1989" t="s">
        <v>112</v>
      </c>
      <c r="F1989" t="s">
        <v>5</v>
      </c>
      <c r="G1989" t="s">
        <v>109</v>
      </c>
      <c r="H1989" s="62">
        <v>2046</v>
      </c>
      <c r="I1989">
        <v>0</v>
      </c>
    </row>
    <row r="1990" spans="1:9">
      <c r="A1990" t="s">
        <v>104</v>
      </c>
      <c r="B1990" t="s">
        <v>105</v>
      </c>
      <c r="C1990" t="s">
        <v>80</v>
      </c>
      <c r="D1990" t="s">
        <v>83</v>
      </c>
      <c r="E1990" t="s">
        <v>84</v>
      </c>
      <c r="F1990" t="s">
        <v>5</v>
      </c>
      <c r="G1990" t="s">
        <v>109</v>
      </c>
      <c r="H1990" s="62">
        <v>2046</v>
      </c>
      <c r="I1990">
        <v>0.63600000000000001</v>
      </c>
    </row>
    <row r="1991" spans="1:9">
      <c r="A1991" t="s">
        <v>104</v>
      </c>
      <c r="B1991" t="s">
        <v>105</v>
      </c>
      <c r="C1991" t="s">
        <v>80</v>
      </c>
      <c r="D1991" t="s">
        <v>83</v>
      </c>
      <c r="E1991" t="s">
        <v>85</v>
      </c>
      <c r="F1991" t="s">
        <v>5</v>
      </c>
      <c r="G1991" t="s">
        <v>109</v>
      </c>
      <c r="H1991" s="62">
        <v>2046</v>
      </c>
      <c r="I1991">
        <v>0.58289999999999997</v>
      </c>
    </row>
    <row r="1992" spans="1:9">
      <c r="A1992" t="s">
        <v>104</v>
      </c>
      <c r="B1992" t="s">
        <v>105</v>
      </c>
      <c r="C1992" t="s">
        <v>80</v>
      </c>
      <c r="D1992" t="s">
        <v>86</v>
      </c>
      <c r="E1992" t="s">
        <v>106</v>
      </c>
      <c r="F1992" t="s">
        <v>5</v>
      </c>
      <c r="G1992" t="s">
        <v>109</v>
      </c>
      <c r="H1992" s="62">
        <v>2046</v>
      </c>
      <c r="I1992">
        <v>4.2700000000000002E-2</v>
      </c>
    </row>
    <row r="1993" spans="1:9">
      <c r="A1993" t="s">
        <v>104</v>
      </c>
      <c r="B1993" t="s">
        <v>105</v>
      </c>
      <c r="C1993" t="s">
        <v>80</v>
      </c>
      <c r="D1993" t="s">
        <v>86</v>
      </c>
      <c r="E1993" t="s">
        <v>87</v>
      </c>
      <c r="F1993" t="s">
        <v>5</v>
      </c>
      <c r="G1993" t="s">
        <v>109</v>
      </c>
      <c r="H1993" s="62">
        <v>2046</v>
      </c>
      <c r="I1993">
        <v>2.7195</v>
      </c>
    </row>
    <row r="1994" spans="1:9">
      <c r="A1994" t="s">
        <v>104</v>
      </c>
      <c r="B1994" t="s">
        <v>105</v>
      </c>
      <c r="C1994" t="s">
        <v>80</v>
      </c>
      <c r="D1994" t="s">
        <v>103</v>
      </c>
      <c r="E1994" t="s">
        <v>92</v>
      </c>
      <c r="F1994" t="s">
        <v>5</v>
      </c>
      <c r="G1994" t="s">
        <v>109</v>
      </c>
      <c r="H1994" s="62">
        <v>2046</v>
      </c>
      <c r="I1994">
        <v>1.3633999999999999</v>
      </c>
    </row>
    <row r="1995" spans="1:9">
      <c r="A1995" t="s">
        <v>104</v>
      </c>
      <c r="B1995" t="s">
        <v>105</v>
      </c>
      <c r="C1995" t="s">
        <v>80</v>
      </c>
      <c r="D1995" t="s">
        <v>103</v>
      </c>
      <c r="E1995" t="s">
        <v>89</v>
      </c>
      <c r="F1995" t="s">
        <v>5</v>
      </c>
      <c r="G1995" t="s">
        <v>109</v>
      </c>
      <c r="H1995" s="62">
        <v>2046</v>
      </c>
      <c r="I1995">
        <v>6.2637</v>
      </c>
    </row>
    <row r="1996" spans="1:9">
      <c r="A1996" t="s">
        <v>104</v>
      </c>
      <c r="B1996" t="s">
        <v>105</v>
      </c>
      <c r="C1996" t="s">
        <v>107</v>
      </c>
      <c r="D1996" t="s">
        <v>107</v>
      </c>
      <c r="E1996" t="s">
        <v>107</v>
      </c>
      <c r="F1996" t="s">
        <v>5</v>
      </c>
      <c r="G1996" t="s">
        <v>109</v>
      </c>
      <c r="H1996" s="62">
        <v>2047</v>
      </c>
      <c r="I1996">
        <v>18.581299999999999</v>
      </c>
    </row>
    <row r="1997" spans="1:9">
      <c r="A1997" t="s">
        <v>104</v>
      </c>
      <c r="B1997" t="s">
        <v>105</v>
      </c>
      <c r="C1997" t="s">
        <v>107</v>
      </c>
      <c r="D1997" t="s">
        <v>108</v>
      </c>
      <c r="E1997" t="s">
        <v>108</v>
      </c>
      <c r="F1997" t="s">
        <v>5</v>
      </c>
      <c r="G1997" t="s">
        <v>109</v>
      </c>
      <c r="H1997" s="62">
        <v>2047</v>
      </c>
      <c r="I1997">
        <v>4.4999999999999998E-2</v>
      </c>
    </row>
    <row r="1998" spans="1:9">
      <c r="A1998" t="s">
        <v>104</v>
      </c>
      <c r="B1998" t="s">
        <v>105</v>
      </c>
      <c r="C1998" t="s">
        <v>80</v>
      </c>
      <c r="D1998" t="s">
        <v>80</v>
      </c>
      <c r="E1998" t="s">
        <v>80</v>
      </c>
      <c r="F1998" t="s">
        <v>5</v>
      </c>
      <c r="G1998" t="s">
        <v>109</v>
      </c>
      <c r="H1998" s="62">
        <v>2047</v>
      </c>
      <c r="I1998">
        <v>18.536300000000001</v>
      </c>
    </row>
    <row r="1999" spans="1:9">
      <c r="A1999" t="s">
        <v>104</v>
      </c>
      <c r="B1999" t="s">
        <v>105</v>
      </c>
      <c r="C1999" t="s">
        <v>80</v>
      </c>
      <c r="D1999" t="s">
        <v>89</v>
      </c>
      <c r="E1999" t="s">
        <v>90</v>
      </c>
      <c r="F1999" t="s">
        <v>5</v>
      </c>
      <c r="G1999" t="s">
        <v>109</v>
      </c>
      <c r="H1999" s="62">
        <v>2047</v>
      </c>
      <c r="I1999">
        <v>-1.8471</v>
      </c>
    </row>
    <row r="2000" spans="1:9">
      <c r="A2000" t="s">
        <v>104</v>
      </c>
      <c r="B2000" t="s">
        <v>105</v>
      </c>
      <c r="C2000" t="s">
        <v>80</v>
      </c>
      <c r="D2000" t="s">
        <v>89</v>
      </c>
      <c r="E2000" t="s">
        <v>91</v>
      </c>
      <c r="F2000" t="s">
        <v>5</v>
      </c>
      <c r="G2000" t="s">
        <v>109</v>
      </c>
      <c r="H2000" s="62">
        <v>2047</v>
      </c>
      <c r="I2000">
        <v>0.57620000000000005</v>
      </c>
    </row>
    <row r="2001" spans="1:9">
      <c r="A2001" t="s">
        <v>104</v>
      </c>
      <c r="B2001" t="s">
        <v>105</v>
      </c>
      <c r="C2001" t="s">
        <v>80</v>
      </c>
      <c r="D2001" t="s">
        <v>92</v>
      </c>
      <c r="E2001" t="s">
        <v>93</v>
      </c>
      <c r="F2001" t="s">
        <v>5</v>
      </c>
      <c r="G2001" t="s">
        <v>109</v>
      </c>
      <c r="H2001" s="62">
        <v>2047</v>
      </c>
      <c r="I2001">
        <v>-3.4722</v>
      </c>
    </row>
    <row r="2002" spans="1:9">
      <c r="A2002" t="s">
        <v>104</v>
      </c>
      <c r="B2002" t="s">
        <v>105</v>
      </c>
      <c r="C2002" t="s">
        <v>80</v>
      </c>
      <c r="D2002" t="s">
        <v>92</v>
      </c>
      <c r="E2002" t="s">
        <v>94</v>
      </c>
      <c r="F2002" t="s">
        <v>5</v>
      </c>
      <c r="G2002" t="s">
        <v>109</v>
      </c>
      <c r="H2002" s="62">
        <v>2047</v>
      </c>
      <c r="I2002">
        <v>5.7343000000000002</v>
      </c>
    </row>
    <row r="2003" spans="1:9">
      <c r="A2003" t="s">
        <v>104</v>
      </c>
      <c r="B2003" t="s">
        <v>105</v>
      </c>
      <c r="C2003" t="s">
        <v>80</v>
      </c>
      <c r="D2003" t="s">
        <v>92</v>
      </c>
      <c r="E2003" t="s">
        <v>110</v>
      </c>
      <c r="F2003" t="s">
        <v>5</v>
      </c>
      <c r="G2003" t="s">
        <v>109</v>
      </c>
      <c r="H2003" s="62">
        <v>2047</v>
      </c>
      <c r="I2003">
        <v>0</v>
      </c>
    </row>
    <row r="2004" spans="1:9">
      <c r="A2004" t="s">
        <v>104</v>
      </c>
      <c r="B2004" t="s">
        <v>105</v>
      </c>
      <c r="C2004" t="s">
        <v>80</v>
      </c>
      <c r="D2004" t="s">
        <v>92</v>
      </c>
      <c r="E2004" t="s">
        <v>95</v>
      </c>
      <c r="F2004" t="s">
        <v>5</v>
      </c>
      <c r="G2004" t="s">
        <v>109</v>
      </c>
      <c r="H2004" s="62">
        <v>2047</v>
      </c>
      <c r="I2004">
        <v>5.3963000000000001</v>
      </c>
    </row>
    <row r="2005" spans="1:9">
      <c r="A2005" t="s">
        <v>104</v>
      </c>
      <c r="B2005" t="s">
        <v>105</v>
      </c>
      <c r="C2005" t="s">
        <v>80</v>
      </c>
      <c r="D2005" t="s">
        <v>96</v>
      </c>
      <c r="E2005" t="s">
        <v>92</v>
      </c>
      <c r="F2005" t="s">
        <v>5</v>
      </c>
      <c r="G2005" t="s">
        <v>109</v>
      </c>
      <c r="H2005" s="62">
        <v>2047</v>
      </c>
      <c r="I2005">
        <v>2.9664999999999999</v>
      </c>
    </row>
    <row r="2006" spans="1:9">
      <c r="A2006" t="s">
        <v>104</v>
      </c>
      <c r="B2006" t="s">
        <v>105</v>
      </c>
      <c r="C2006" t="s">
        <v>80</v>
      </c>
      <c r="D2006" t="s">
        <v>96</v>
      </c>
      <c r="E2006" t="s">
        <v>89</v>
      </c>
      <c r="F2006" t="s">
        <v>5</v>
      </c>
      <c r="G2006" t="s">
        <v>109</v>
      </c>
      <c r="H2006" s="62">
        <v>2047</v>
      </c>
      <c r="I2006">
        <v>0.62309999999999999</v>
      </c>
    </row>
    <row r="2007" spans="1:9">
      <c r="A2007" t="s">
        <v>104</v>
      </c>
      <c r="B2007" t="s">
        <v>105</v>
      </c>
      <c r="C2007" t="s">
        <v>80</v>
      </c>
      <c r="D2007" t="s">
        <v>97</v>
      </c>
      <c r="E2007" t="s">
        <v>98</v>
      </c>
      <c r="F2007" t="s">
        <v>5</v>
      </c>
      <c r="G2007" t="s">
        <v>109</v>
      </c>
      <c r="H2007" s="62">
        <v>2047</v>
      </c>
      <c r="I2007">
        <v>3.4091</v>
      </c>
    </row>
    <row r="2008" spans="1:9">
      <c r="A2008" t="s">
        <v>104</v>
      </c>
      <c r="B2008" t="s">
        <v>105</v>
      </c>
      <c r="C2008" t="s">
        <v>80</v>
      </c>
      <c r="D2008" t="s">
        <v>97</v>
      </c>
      <c r="E2008" t="s">
        <v>99</v>
      </c>
      <c r="F2008" t="s">
        <v>5</v>
      </c>
      <c r="G2008" t="s">
        <v>109</v>
      </c>
      <c r="H2008" s="62">
        <v>2047</v>
      </c>
      <c r="I2008">
        <v>4.9399999999999999E-2</v>
      </c>
    </row>
    <row r="2009" spans="1:9">
      <c r="A2009" t="s">
        <v>104</v>
      </c>
      <c r="B2009" t="s">
        <v>105</v>
      </c>
      <c r="C2009" t="s">
        <v>80</v>
      </c>
      <c r="D2009" t="s">
        <v>100</v>
      </c>
      <c r="E2009" t="s">
        <v>101</v>
      </c>
      <c r="F2009" t="s">
        <v>5</v>
      </c>
      <c r="G2009" t="s">
        <v>109</v>
      </c>
      <c r="H2009" s="62">
        <v>2047</v>
      </c>
      <c r="I2009">
        <v>2.6232000000000002</v>
      </c>
    </row>
    <row r="2010" spans="1:9">
      <c r="A2010" t="s">
        <v>104</v>
      </c>
      <c r="B2010" t="s">
        <v>105</v>
      </c>
      <c r="C2010" t="s">
        <v>80</v>
      </c>
      <c r="D2010" t="s">
        <v>100</v>
      </c>
      <c r="E2010" t="s">
        <v>102</v>
      </c>
      <c r="F2010" t="s">
        <v>5</v>
      </c>
      <c r="G2010" t="s">
        <v>109</v>
      </c>
      <c r="H2010" s="62">
        <v>2047</v>
      </c>
      <c r="I2010">
        <v>1.2646999999999999</v>
      </c>
    </row>
    <row r="2011" spans="1:9">
      <c r="A2011" t="s">
        <v>104</v>
      </c>
      <c r="B2011" t="s">
        <v>105</v>
      </c>
      <c r="C2011" t="s">
        <v>80</v>
      </c>
      <c r="D2011" t="s">
        <v>100</v>
      </c>
      <c r="E2011" t="s">
        <v>111</v>
      </c>
      <c r="F2011" t="s">
        <v>5</v>
      </c>
      <c r="G2011" t="s">
        <v>109</v>
      </c>
      <c r="H2011" s="62">
        <v>2047</v>
      </c>
      <c r="I2011">
        <v>0</v>
      </c>
    </row>
    <row r="2012" spans="1:9">
      <c r="A2012" t="s">
        <v>104</v>
      </c>
      <c r="B2012" t="s">
        <v>105</v>
      </c>
      <c r="C2012" t="s">
        <v>80</v>
      </c>
      <c r="D2012" t="s">
        <v>100</v>
      </c>
      <c r="E2012" t="s">
        <v>112</v>
      </c>
      <c r="F2012" t="s">
        <v>5</v>
      </c>
      <c r="G2012" t="s">
        <v>109</v>
      </c>
      <c r="H2012" s="62">
        <v>2047</v>
      </c>
      <c r="I2012">
        <v>0</v>
      </c>
    </row>
    <row r="2013" spans="1:9">
      <c r="A2013" t="s">
        <v>104</v>
      </c>
      <c r="B2013" t="s">
        <v>105</v>
      </c>
      <c r="C2013" t="s">
        <v>80</v>
      </c>
      <c r="D2013" t="s">
        <v>83</v>
      </c>
      <c r="E2013" t="s">
        <v>84</v>
      </c>
      <c r="F2013" t="s">
        <v>5</v>
      </c>
      <c r="G2013" t="s">
        <v>109</v>
      </c>
      <c r="H2013" s="62">
        <v>2047</v>
      </c>
      <c r="I2013">
        <v>0.62990000000000002</v>
      </c>
    </row>
    <row r="2014" spans="1:9">
      <c r="A2014" t="s">
        <v>104</v>
      </c>
      <c r="B2014" t="s">
        <v>105</v>
      </c>
      <c r="C2014" t="s">
        <v>80</v>
      </c>
      <c r="D2014" t="s">
        <v>83</v>
      </c>
      <c r="E2014" t="s">
        <v>85</v>
      </c>
      <c r="F2014" t="s">
        <v>5</v>
      </c>
      <c r="G2014" t="s">
        <v>109</v>
      </c>
      <c r="H2014" s="62">
        <v>2047</v>
      </c>
      <c r="I2014">
        <v>0.58299999999999996</v>
      </c>
    </row>
    <row r="2015" spans="1:9">
      <c r="A2015" t="s">
        <v>104</v>
      </c>
      <c r="B2015" t="s">
        <v>105</v>
      </c>
      <c r="C2015" t="s">
        <v>80</v>
      </c>
      <c r="D2015" t="s">
        <v>86</v>
      </c>
      <c r="E2015" t="s">
        <v>106</v>
      </c>
      <c r="F2015" t="s">
        <v>5</v>
      </c>
      <c r="G2015" t="s">
        <v>109</v>
      </c>
      <c r="H2015" s="62">
        <v>2047</v>
      </c>
      <c r="I2015">
        <v>4.3200000000000002E-2</v>
      </c>
    </row>
    <row r="2016" spans="1:9">
      <c r="A2016" t="s">
        <v>104</v>
      </c>
      <c r="B2016" t="s">
        <v>105</v>
      </c>
      <c r="C2016" t="s">
        <v>80</v>
      </c>
      <c r="D2016" t="s">
        <v>86</v>
      </c>
      <c r="E2016" t="s">
        <v>87</v>
      </c>
      <c r="F2016" t="s">
        <v>5</v>
      </c>
      <c r="G2016" t="s">
        <v>109</v>
      </c>
      <c r="H2016" s="62">
        <v>2047</v>
      </c>
      <c r="I2016">
        <v>2.8527999999999998</v>
      </c>
    </row>
    <row r="2017" spans="1:9">
      <c r="A2017" t="s">
        <v>104</v>
      </c>
      <c r="B2017" t="s">
        <v>105</v>
      </c>
      <c r="C2017" t="s">
        <v>80</v>
      </c>
      <c r="D2017" t="s">
        <v>103</v>
      </c>
      <c r="E2017" t="s">
        <v>92</v>
      </c>
      <c r="F2017" t="s">
        <v>5</v>
      </c>
      <c r="G2017" t="s">
        <v>109</v>
      </c>
      <c r="H2017" s="62">
        <v>2047</v>
      </c>
      <c r="I2017">
        <v>1.4060999999999999</v>
      </c>
    </row>
    <row r="2018" spans="1:9">
      <c r="A2018" t="s">
        <v>104</v>
      </c>
      <c r="B2018" t="s">
        <v>105</v>
      </c>
      <c r="C2018" t="s">
        <v>80</v>
      </c>
      <c r="D2018" t="s">
        <v>103</v>
      </c>
      <c r="E2018" t="s">
        <v>89</v>
      </c>
      <c r="F2018" t="s">
        <v>5</v>
      </c>
      <c r="G2018" t="s">
        <v>109</v>
      </c>
      <c r="H2018" s="62">
        <v>2047</v>
      </c>
      <c r="I2018">
        <v>6.4138999999999999</v>
      </c>
    </row>
    <row r="2019" spans="1:9">
      <c r="A2019" t="s">
        <v>104</v>
      </c>
      <c r="B2019" t="s">
        <v>105</v>
      </c>
      <c r="C2019" t="s">
        <v>107</v>
      </c>
      <c r="D2019" t="s">
        <v>107</v>
      </c>
      <c r="E2019" t="s">
        <v>107</v>
      </c>
      <c r="F2019" t="s">
        <v>5</v>
      </c>
      <c r="G2019" t="s">
        <v>109</v>
      </c>
      <c r="H2019" s="62">
        <v>2048</v>
      </c>
      <c r="I2019">
        <v>18.388400000000001</v>
      </c>
    </row>
    <row r="2020" spans="1:9">
      <c r="A2020" t="s">
        <v>104</v>
      </c>
      <c r="B2020" t="s">
        <v>105</v>
      </c>
      <c r="C2020" t="s">
        <v>107</v>
      </c>
      <c r="D2020" t="s">
        <v>108</v>
      </c>
      <c r="E2020" t="s">
        <v>108</v>
      </c>
      <c r="F2020" t="s">
        <v>5</v>
      </c>
      <c r="G2020" t="s">
        <v>109</v>
      </c>
      <c r="H2020" s="62">
        <v>2048</v>
      </c>
      <c r="I2020">
        <v>4.4600000000000001E-2</v>
      </c>
    </row>
    <row r="2021" spans="1:9">
      <c r="A2021" t="s">
        <v>104</v>
      </c>
      <c r="B2021" t="s">
        <v>105</v>
      </c>
      <c r="C2021" t="s">
        <v>80</v>
      </c>
      <c r="D2021" t="s">
        <v>80</v>
      </c>
      <c r="E2021" t="s">
        <v>80</v>
      </c>
      <c r="F2021" t="s">
        <v>5</v>
      </c>
      <c r="G2021" t="s">
        <v>109</v>
      </c>
      <c r="H2021" s="62">
        <v>2048</v>
      </c>
      <c r="I2021">
        <v>18.343800000000002</v>
      </c>
    </row>
    <row r="2022" spans="1:9">
      <c r="A2022" t="s">
        <v>104</v>
      </c>
      <c r="B2022" t="s">
        <v>105</v>
      </c>
      <c r="C2022" t="s">
        <v>80</v>
      </c>
      <c r="D2022" t="s">
        <v>89</v>
      </c>
      <c r="E2022" t="s">
        <v>90</v>
      </c>
      <c r="F2022" t="s">
        <v>5</v>
      </c>
      <c r="G2022" t="s">
        <v>109</v>
      </c>
      <c r="H2022" s="62">
        <v>2048</v>
      </c>
      <c r="I2022">
        <v>-2.0495000000000001</v>
      </c>
    </row>
    <row r="2023" spans="1:9">
      <c r="A2023" t="s">
        <v>104</v>
      </c>
      <c r="B2023" t="s">
        <v>105</v>
      </c>
      <c r="C2023" t="s">
        <v>80</v>
      </c>
      <c r="D2023" t="s">
        <v>89</v>
      </c>
      <c r="E2023" t="s">
        <v>91</v>
      </c>
      <c r="F2023" t="s">
        <v>5</v>
      </c>
      <c r="G2023" t="s">
        <v>109</v>
      </c>
      <c r="H2023" s="62">
        <v>2048</v>
      </c>
      <c r="I2023">
        <v>0.68279999999999996</v>
      </c>
    </row>
    <row r="2024" spans="1:9">
      <c r="A2024" t="s">
        <v>104</v>
      </c>
      <c r="B2024" t="s">
        <v>105</v>
      </c>
      <c r="C2024" t="s">
        <v>80</v>
      </c>
      <c r="D2024" t="s">
        <v>92</v>
      </c>
      <c r="E2024" t="s">
        <v>93</v>
      </c>
      <c r="F2024" t="s">
        <v>5</v>
      </c>
      <c r="G2024" t="s">
        <v>109</v>
      </c>
      <c r="H2024" s="62">
        <v>2048</v>
      </c>
      <c r="I2024">
        <v>-3.7195</v>
      </c>
    </row>
    <row r="2025" spans="1:9">
      <c r="A2025" t="s">
        <v>104</v>
      </c>
      <c r="B2025" t="s">
        <v>105</v>
      </c>
      <c r="C2025" t="s">
        <v>80</v>
      </c>
      <c r="D2025" t="s">
        <v>92</v>
      </c>
      <c r="E2025" t="s">
        <v>94</v>
      </c>
      <c r="F2025" t="s">
        <v>5</v>
      </c>
      <c r="G2025" t="s">
        <v>109</v>
      </c>
      <c r="H2025" s="62">
        <v>2048</v>
      </c>
      <c r="I2025">
        <v>5.6528</v>
      </c>
    </row>
    <row r="2026" spans="1:9">
      <c r="A2026" t="s">
        <v>104</v>
      </c>
      <c r="B2026" t="s">
        <v>105</v>
      </c>
      <c r="C2026" t="s">
        <v>80</v>
      </c>
      <c r="D2026" t="s">
        <v>92</v>
      </c>
      <c r="E2026" t="s">
        <v>110</v>
      </c>
      <c r="F2026" t="s">
        <v>5</v>
      </c>
      <c r="G2026" t="s">
        <v>109</v>
      </c>
      <c r="H2026" s="62">
        <v>2048</v>
      </c>
      <c r="I2026">
        <v>0</v>
      </c>
    </row>
    <row r="2027" spans="1:9">
      <c r="A2027" t="s">
        <v>104</v>
      </c>
      <c r="B2027" t="s">
        <v>105</v>
      </c>
      <c r="C2027" t="s">
        <v>80</v>
      </c>
      <c r="D2027" t="s">
        <v>92</v>
      </c>
      <c r="E2027" t="s">
        <v>95</v>
      </c>
      <c r="F2027" t="s">
        <v>5</v>
      </c>
      <c r="G2027" t="s">
        <v>109</v>
      </c>
      <c r="H2027" s="62">
        <v>2048</v>
      </c>
      <c r="I2027">
        <v>5.5110000000000001</v>
      </c>
    </row>
    <row r="2028" spans="1:9">
      <c r="A2028" t="s">
        <v>104</v>
      </c>
      <c r="B2028" t="s">
        <v>105</v>
      </c>
      <c r="C2028" t="s">
        <v>80</v>
      </c>
      <c r="D2028" t="s">
        <v>96</v>
      </c>
      <c r="E2028" t="s">
        <v>92</v>
      </c>
      <c r="F2028" t="s">
        <v>5</v>
      </c>
      <c r="G2028" t="s">
        <v>109</v>
      </c>
      <c r="H2028" s="62">
        <v>2048</v>
      </c>
      <c r="I2028">
        <v>2.8757000000000001</v>
      </c>
    </row>
    <row r="2029" spans="1:9">
      <c r="A2029" t="s">
        <v>104</v>
      </c>
      <c r="B2029" t="s">
        <v>105</v>
      </c>
      <c r="C2029" t="s">
        <v>80</v>
      </c>
      <c r="D2029" t="s">
        <v>96</v>
      </c>
      <c r="E2029" t="s">
        <v>89</v>
      </c>
      <c r="F2029" t="s">
        <v>5</v>
      </c>
      <c r="G2029" t="s">
        <v>109</v>
      </c>
      <c r="H2029" s="62">
        <v>2048</v>
      </c>
      <c r="I2029">
        <v>0.64449999999999996</v>
      </c>
    </row>
    <row r="2030" spans="1:9">
      <c r="A2030" t="s">
        <v>104</v>
      </c>
      <c r="B2030" t="s">
        <v>105</v>
      </c>
      <c r="C2030" t="s">
        <v>80</v>
      </c>
      <c r="D2030" t="s">
        <v>97</v>
      </c>
      <c r="E2030" t="s">
        <v>98</v>
      </c>
      <c r="F2030" t="s">
        <v>5</v>
      </c>
      <c r="G2030" t="s">
        <v>109</v>
      </c>
      <c r="H2030" s="62">
        <v>2048</v>
      </c>
      <c r="I2030">
        <v>3.6474000000000002</v>
      </c>
    </row>
    <row r="2031" spans="1:9">
      <c r="A2031" t="s">
        <v>104</v>
      </c>
      <c r="B2031" t="s">
        <v>105</v>
      </c>
      <c r="C2031" t="s">
        <v>80</v>
      </c>
      <c r="D2031" t="s">
        <v>97</v>
      </c>
      <c r="E2031" t="s">
        <v>99</v>
      </c>
      <c r="F2031" t="s">
        <v>5</v>
      </c>
      <c r="G2031" t="s">
        <v>109</v>
      </c>
      <c r="H2031" s="62">
        <v>2048</v>
      </c>
      <c r="I2031">
        <v>5.5500000000000001E-2</v>
      </c>
    </row>
    <row r="2032" spans="1:9">
      <c r="A2032" t="s">
        <v>104</v>
      </c>
      <c r="B2032" t="s">
        <v>105</v>
      </c>
      <c r="C2032" t="s">
        <v>80</v>
      </c>
      <c r="D2032" t="s">
        <v>100</v>
      </c>
      <c r="E2032" t="s">
        <v>101</v>
      </c>
      <c r="F2032" t="s">
        <v>5</v>
      </c>
      <c r="G2032" t="s">
        <v>109</v>
      </c>
      <c r="H2032" s="62">
        <v>2048</v>
      </c>
      <c r="I2032">
        <v>2.6633</v>
      </c>
    </row>
    <row r="2033" spans="1:9">
      <c r="A2033" t="s">
        <v>104</v>
      </c>
      <c r="B2033" t="s">
        <v>105</v>
      </c>
      <c r="C2033" t="s">
        <v>80</v>
      </c>
      <c r="D2033" t="s">
        <v>100</v>
      </c>
      <c r="E2033" t="s">
        <v>102</v>
      </c>
      <c r="F2033" t="s">
        <v>5</v>
      </c>
      <c r="G2033" t="s">
        <v>109</v>
      </c>
      <c r="H2033" s="62">
        <v>2048</v>
      </c>
      <c r="I2033">
        <v>1.1729000000000001</v>
      </c>
    </row>
    <row r="2034" spans="1:9">
      <c r="A2034" t="s">
        <v>104</v>
      </c>
      <c r="B2034" t="s">
        <v>105</v>
      </c>
      <c r="C2034" t="s">
        <v>80</v>
      </c>
      <c r="D2034" t="s">
        <v>100</v>
      </c>
      <c r="E2034" t="s">
        <v>111</v>
      </c>
      <c r="F2034" t="s">
        <v>5</v>
      </c>
      <c r="G2034" t="s">
        <v>109</v>
      </c>
      <c r="H2034" s="62">
        <v>2048</v>
      </c>
      <c r="I2034">
        <v>0</v>
      </c>
    </row>
    <row r="2035" spans="1:9">
      <c r="A2035" t="s">
        <v>104</v>
      </c>
      <c r="B2035" t="s">
        <v>105</v>
      </c>
      <c r="C2035" t="s">
        <v>80</v>
      </c>
      <c r="D2035" t="s">
        <v>100</v>
      </c>
      <c r="E2035" t="s">
        <v>112</v>
      </c>
      <c r="F2035" t="s">
        <v>5</v>
      </c>
      <c r="G2035" t="s">
        <v>109</v>
      </c>
      <c r="H2035" s="62">
        <v>2048</v>
      </c>
      <c r="I2035">
        <v>0</v>
      </c>
    </row>
    <row r="2036" spans="1:9">
      <c r="A2036" t="s">
        <v>104</v>
      </c>
      <c r="B2036" t="s">
        <v>105</v>
      </c>
      <c r="C2036" t="s">
        <v>80</v>
      </c>
      <c r="D2036" t="s">
        <v>83</v>
      </c>
      <c r="E2036" t="s">
        <v>84</v>
      </c>
      <c r="F2036" t="s">
        <v>5</v>
      </c>
      <c r="G2036" t="s">
        <v>109</v>
      </c>
      <c r="H2036" s="62">
        <v>2048</v>
      </c>
      <c r="I2036">
        <v>0.62360000000000004</v>
      </c>
    </row>
    <row r="2037" spans="1:9">
      <c r="A2037" t="s">
        <v>104</v>
      </c>
      <c r="B2037" t="s">
        <v>105</v>
      </c>
      <c r="C2037" t="s">
        <v>80</v>
      </c>
      <c r="D2037" t="s">
        <v>83</v>
      </c>
      <c r="E2037" t="s">
        <v>85</v>
      </c>
      <c r="F2037" t="s">
        <v>5</v>
      </c>
      <c r="G2037" t="s">
        <v>109</v>
      </c>
      <c r="H2037" s="62">
        <v>2048</v>
      </c>
      <c r="I2037">
        <v>0.58320000000000005</v>
      </c>
    </row>
    <row r="2038" spans="1:9">
      <c r="A2038" t="s">
        <v>104</v>
      </c>
      <c r="B2038" t="s">
        <v>105</v>
      </c>
      <c r="C2038" t="s">
        <v>80</v>
      </c>
      <c r="D2038" t="s">
        <v>86</v>
      </c>
      <c r="E2038" t="s">
        <v>106</v>
      </c>
      <c r="F2038" t="s">
        <v>5</v>
      </c>
      <c r="G2038" t="s">
        <v>109</v>
      </c>
      <c r="H2038" s="62">
        <v>2048</v>
      </c>
      <c r="I2038">
        <v>4.3799999999999999E-2</v>
      </c>
    </row>
    <row r="2039" spans="1:9">
      <c r="A2039" t="s">
        <v>104</v>
      </c>
      <c r="B2039" t="s">
        <v>105</v>
      </c>
      <c r="C2039" t="s">
        <v>80</v>
      </c>
      <c r="D2039" t="s">
        <v>86</v>
      </c>
      <c r="E2039" t="s">
        <v>87</v>
      </c>
      <c r="F2039" t="s">
        <v>5</v>
      </c>
      <c r="G2039" t="s">
        <v>109</v>
      </c>
      <c r="H2039" s="62">
        <v>2048</v>
      </c>
      <c r="I2039">
        <v>2.9927999999999999</v>
      </c>
    </row>
    <row r="2040" spans="1:9">
      <c r="A2040" t="s">
        <v>104</v>
      </c>
      <c r="B2040" t="s">
        <v>105</v>
      </c>
      <c r="C2040" t="s">
        <v>80</v>
      </c>
      <c r="D2040" t="s">
        <v>103</v>
      </c>
      <c r="E2040" t="s">
        <v>92</v>
      </c>
      <c r="F2040" t="s">
        <v>5</v>
      </c>
      <c r="G2040" t="s">
        <v>109</v>
      </c>
      <c r="H2040" s="62">
        <v>2048</v>
      </c>
      <c r="I2040">
        <v>1.4527000000000001</v>
      </c>
    </row>
    <row r="2041" spans="1:9">
      <c r="A2041" t="s">
        <v>104</v>
      </c>
      <c r="B2041" t="s">
        <v>105</v>
      </c>
      <c r="C2041" t="s">
        <v>80</v>
      </c>
      <c r="D2041" t="s">
        <v>103</v>
      </c>
      <c r="E2041" t="s">
        <v>89</v>
      </c>
      <c r="F2041" t="s">
        <v>5</v>
      </c>
      <c r="G2041" t="s">
        <v>109</v>
      </c>
      <c r="H2041" s="62">
        <v>2048</v>
      </c>
      <c r="I2041">
        <v>6.5788000000000002</v>
      </c>
    </row>
    <row r="2042" spans="1:9">
      <c r="A2042" t="s">
        <v>104</v>
      </c>
      <c r="B2042" t="s">
        <v>105</v>
      </c>
      <c r="C2042" t="s">
        <v>107</v>
      </c>
      <c r="D2042" t="s">
        <v>107</v>
      </c>
      <c r="E2042" t="s">
        <v>107</v>
      </c>
      <c r="F2042" t="s">
        <v>5</v>
      </c>
      <c r="G2042" t="s">
        <v>109</v>
      </c>
      <c r="H2042" s="62">
        <v>2049</v>
      </c>
      <c r="I2042">
        <v>18.729700000000001</v>
      </c>
    </row>
    <row r="2043" spans="1:9">
      <c r="A2043" t="s">
        <v>104</v>
      </c>
      <c r="B2043" t="s">
        <v>105</v>
      </c>
      <c r="C2043" t="s">
        <v>107</v>
      </c>
      <c r="D2043" t="s">
        <v>108</v>
      </c>
      <c r="E2043" t="s">
        <v>108</v>
      </c>
      <c r="F2043" t="s">
        <v>5</v>
      </c>
      <c r="G2043" t="s">
        <v>109</v>
      </c>
      <c r="H2043" s="62">
        <v>2049</v>
      </c>
      <c r="I2043">
        <v>4.4200000000000003E-2</v>
      </c>
    </row>
    <row r="2044" spans="1:9">
      <c r="A2044" t="s">
        <v>104</v>
      </c>
      <c r="B2044" t="s">
        <v>105</v>
      </c>
      <c r="C2044" t="s">
        <v>80</v>
      </c>
      <c r="D2044" t="s">
        <v>80</v>
      </c>
      <c r="E2044" t="s">
        <v>80</v>
      </c>
      <c r="F2044" t="s">
        <v>5</v>
      </c>
      <c r="G2044" t="s">
        <v>109</v>
      </c>
      <c r="H2044" s="62">
        <v>2049</v>
      </c>
      <c r="I2044">
        <v>18.685400000000001</v>
      </c>
    </row>
    <row r="2045" spans="1:9">
      <c r="A2045" t="s">
        <v>104</v>
      </c>
      <c r="B2045" t="s">
        <v>105</v>
      </c>
      <c r="C2045" t="s">
        <v>80</v>
      </c>
      <c r="D2045" t="s">
        <v>89</v>
      </c>
      <c r="E2045" t="s">
        <v>90</v>
      </c>
      <c r="F2045" t="s">
        <v>5</v>
      </c>
      <c r="G2045" t="s">
        <v>109</v>
      </c>
      <c r="H2045" s="62">
        <v>2049</v>
      </c>
      <c r="I2045">
        <v>-2.2385000000000002</v>
      </c>
    </row>
    <row r="2046" spans="1:9">
      <c r="A2046" t="s">
        <v>104</v>
      </c>
      <c r="B2046" t="s">
        <v>105</v>
      </c>
      <c r="C2046" t="s">
        <v>80</v>
      </c>
      <c r="D2046" t="s">
        <v>89</v>
      </c>
      <c r="E2046" t="s">
        <v>91</v>
      </c>
      <c r="F2046" t="s">
        <v>5</v>
      </c>
      <c r="G2046" t="s">
        <v>109</v>
      </c>
      <c r="H2046" s="62">
        <v>2049</v>
      </c>
      <c r="I2046">
        <v>0.79039999999999999</v>
      </c>
    </row>
    <row r="2047" spans="1:9">
      <c r="A2047" t="s">
        <v>104</v>
      </c>
      <c r="B2047" t="s">
        <v>105</v>
      </c>
      <c r="C2047" t="s">
        <v>80</v>
      </c>
      <c r="D2047" t="s">
        <v>92</v>
      </c>
      <c r="E2047" t="s">
        <v>93</v>
      </c>
      <c r="F2047" t="s">
        <v>5</v>
      </c>
      <c r="G2047" t="s">
        <v>109</v>
      </c>
      <c r="H2047" s="62">
        <v>2049</v>
      </c>
      <c r="I2047">
        <v>-3.9765999999999999</v>
      </c>
    </row>
    <row r="2048" spans="1:9">
      <c r="A2048" t="s">
        <v>104</v>
      </c>
      <c r="B2048" t="s">
        <v>105</v>
      </c>
      <c r="C2048" t="s">
        <v>80</v>
      </c>
      <c r="D2048" t="s">
        <v>92</v>
      </c>
      <c r="E2048" t="s">
        <v>94</v>
      </c>
      <c r="F2048" t="s">
        <v>5</v>
      </c>
      <c r="G2048" t="s">
        <v>109</v>
      </c>
      <c r="H2048" s="62">
        <v>2049</v>
      </c>
      <c r="I2048">
        <v>5.6329000000000002</v>
      </c>
    </row>
    <row r="2049" spans="1:9">
      <c r="A2049" t="s">
        <v>104</v>
      </c>
      <c r="B2049" t="s">
        <v>105</v>
      </c>
      <c r="C2049" t="s">
        <v>80</v>
      </c>
      <c r="D2049" t="s">
        <v>92</v>
      </c>
      <c r="E2049" t="s">
        <v>110</v>
      </c>
      <c r="F2049" t="s">
        <v>5</v>
      </c>
      <c r="G2049" t="s">
        <v>109</v>
      </c>
      <c r="H2049" s="62">
        <v>2049</v>
      </c>
      <c r="I2049">
        <v>0</v>
      </c>
    </row>
    <row r="2050" spans="1:9">
      <c r="A2050" t="s">
        <v>104</v>
      </c>
      <c r="B2050" t="s">
        <v>105</v>
      </c>
      <c r="C2050" t="s">
        <v>80</v>
      </c>
      <c r="D2050" t="s">
        <v>92</v>
      </c>
      <c r="E2050" t="s">
        <v>95</v>
      </c>
      <c r="F2050" t="s">
        <v>5</v>
      </c>
      <c r="G2050" t="s">
        <v>109</v>
      </c>
      <c r="H2050" s="62">
        <v>2049</v>
      </c>
      <c r="I2050">
        <v>5.6294000000000004</v>
      </c>
    </row>
    <row r="2051" spans="1:9">
      <c r="A2051" t="s">
        <v>104</v>
      </c>
      <c r="B2051" t="s">
        <v>105</v>
      </c>
      <c r="C2051" t="s">
        <v>80</v>
      </c>
      <c r="D2051" t="s">
        <v>96</v>
      </c>
      <c r="E2051" t="s">
        <v>92</v>
      </c>
      <c r="F2051" t="s">
        <v>5</v>
      </c>
      <c r="G2051" t="s">
        <v>109</v>
      </c>
      <c r="H2051" s="62">
        <v>2049</v>
      </c>
      <c r="I2051">
        <v>2.7616000000000001</v>
      </c>
    </row>
    <row r="2052" spans="1:9">
      <c r="A2052" t="s">
        <v>104</v>
      </c>
      <c r="B2052" t="s">
        <v>105</v>
      </c>
      <c r="C2052" t="s">
        <v>80</v>
      </c>
      <c r="D2052" t="s">
        <v>96</v>
      </c>
      <c r="E2052" t="s">
        <v>89</v>
      </c>
      <c r="F2052" t="s">
        <v>5</v>
      </c>
      <c r="G2052" t="s">
        <v>109</v>
      </c>
      <c r="H2052" s="62">
        <v>2049</v>
      </c>
      <c r="I2052">
        <v>0.6633</v>
      </c>
    </row>
    <row r="2053" spans="1:9">
      <c r="A2053" t="s">
        <v>104</v>
      </c>
      <c r="B2053" t="s">
        <v>105</v>
      </c>
      <c r="C2053" t="s">
        <v>80</v>
      </c>
      <c r="D2053" t="s">
        <v>97</v>
      </c>
      <c r="E2053" t="s">
        <v>98</v>
      </c>
      <c r="F2053" t="s">
        <v>5</v>
      </c>
      <c r="G2053" t="s">
        <v>109</v>
      </c>
      <c r="H2053" s="62">
        <v>2049</v>
      </c>
      <c r="I2053">
        <v>3.8671000000000002</v>
      </c>
    </row>
    <row r="2054" spans="1:9">
      <c r="A2054" t="s">
        <v>104</v>
      </c>
      <c r="B2054" t="s">
        <v>105</v>
      </c>
      <c r="C2054" t="s">
        <v>80</v>
      </c>
      <c r="D2054" t="s">
        <v>97</v>
      </c>
      <c r="E2054" t="s">
        <v>99</v>
      </c>
      <c r="F2054" t="s">
        <v>5</v>
      </c>
      <c r="G2054" t="s">
        <v>109</v>
      </c>
      <c r="H2054" s="62">
        <v>2049</v>
      </c>
      <c r="I2054">
        <v>6.1499999999999999E-2</v>
      </c>
    </row>
    <row r="2055" spans="1:9">
      <c r="A2055" t="s">
        <v>104</v>
      </c>
      <c r="B2055" t="s">
        <v>105</v>
      </c>
      <c r="C2055" t="s">
        <v>80</v>
      </c>
      <c r="D2055" t="s">
        <v>100</v>
      </c>
      <c r="E2055" t="s">
        <v>101</v>
      </c>
      <c r="F2055" t="s">
        <v>5</v>
      </c>
      <c r="G2055" t="s">
        <v>109</v>
      </c>
      <c r="H2055" s="62">
        <v>2049</v>
      </c>
      <c r="I2055">
        <v>3.1930999999999998</v>
      </c>
    </row>
    <row r="2056" spans="1:9">
      <c r="A2056" t="s">
        <v>104</v>
      </c>
      <c r="B2056" t="s">
        <v>105</v>
      </c>
      <c r="C2056" t="s">
        <v>80</v>
      </c>
      <c r="D2056" t="s">
        <v>100</v>
      </c>
      <c r="E2056" t="s">
        <v>102</v>
      </c>
      <c r="F2056" t="s">
        <v>5</v>
      </c>
      <c r="G2056" t="s">
        <v>109</v>
      </c>
      <c r="H2056" s="62">
        <v>2049</v>
      </c>
      <c r="I2056">
        <v>1.0975999999999999</v>
      </c>
    </row>
    <row r="2057" spans="1:9">
      <c r="A2057" t="s">
        <v>104</v>
      </c>
      <c r="B2057" t="s">
        <v>105</v>
      </c>
      <c r="C2057" t="s">
        <v>80</v>
      </c>
      <c r="D2057" t="s">
        <v>100</v>
      </c>
      <c r="E2057" t="s">
        <v>111</v>
      </c>
      <c r="F2057" t="s">
        <v>5</v>
      </c>
      <c r="G2057" t="s">
        <v>109</v>
      </c>
      <c r="H2057" s="62">
        <v>2049</v>
      </c>
      <c r="I2057">
        <v>0</v>
      </c>
    </row>
    <row r="2058" spans="1:9">
      <c r="A2058" t="s">
        <v>104</v>
      </c>
      <c r="B2058" t="s">
        <v>105</v>
      </c>
      <c r="C2058" t="s">
        <v>80</v>
      </c>
      <c r="D2058" t="s">
        <v>100</v>
      </c>
      <c r="E2058" t="s">
        <v>112</v>
      </c>
      <c r="F2058" t="s">
        <v>5</v>
      </c>
      <c r="G2058" t="s">
        <v>109</v>
      </c>
      <c r="H2058" s="62">
        <v>2049</v>
      </c>
      <c r="I2058">
        <v>0</v>
      </c>
    </row>
    <row r="2059" spans="1:9">
      <c r="A2059" t="s">
        <v>104</v>
      </c>
      <c r="B2059" t="s">
        <v>105</v>
      </c>
      <c r="C2059" t="s">
        <v>80</v>
      </c>
      <c r="D2059" t="s">
        <v>83</v>
      </c>
      <c r="E2059" t="s">
        <v>84</v>
      </c>
      <c r="F2059" t="s">
        <v>5</v>
      </c>
      <c r="G2059" t="s">
        <v>109</v>
      </c>
      <c r="H2059" s="62">
        <v>2049</v>
      </c>
      <c r="I2059">
        <v>0.61909999999999998</v>
      </c>
    </row>
    <row r="2060" spans="1:9">
      <c r="A2060" t="s">
        <v>104</v>
      </c>
      <c r="B2060" t="s">
        <v>105</v>
      </c>
      <c r="C2060" t="s">
        <v>80</v>
      </c>
      <c r="D2060" t="s">
        <v>83</v>
      </c>
      <c r="E2060" t="s">
        <v>85</v>
      </c>
      <c r="F2060" t="s">
        <v>5</v>
      </c>
      <c r="G2060" t="s">
        <v>109</v>
      </c>
      <c r="H2060" s="62">
        <v>2049</v>
      </c>
      <c r="I2060">
        <v>0.5847</v>
      </c>
    </row>
    <row r="2061" spans="1:9">
      <c r="A2061" t="s">
        <v>104</v>
      </c>
      <c r="B2061" t="s">
        <v>105</v>
      </c>
      <c r="C2061" t="s">
        <v>80</v>
      </c>
      <c r="D2061" t="s">
        <v>86</v>
      </c>
      <c r="E2061" t="s">
        <v>106</v>
      </c>
      <c r="F2061" t="s">
        <v>5</v>
      </c>
      <c r="G2061" t="s">
        <v>109</v>
      </c>
      <c r="H2061" s="62">
        <v>2049</v>
      </c>
      <c r="I2061">
        <v>4.4200000000000003E-2</v>
      </c>
    </row>
    <row r="2062" spans="1:9">
      <c r="A2062" t="s">
        <v>104</v>
      </c>
      <c r="B2062" t="s">
        <v>105</v>
      </c>
      <c r="C2062" t="s">
        <v>80</v>
      </c>
      <c r="D2062" t="s">
        <v>86</v>
      </c>
      <c r="E2062" t="s">
        <v>87</v>
      </c>
      <c r="F2062" t="s">
        <v>5</v>
      </c>
      <c r="G2062" t="s">
        <v>109</v>
      </c>
      <c r="H2062" s="62">
        <v>2049</v>
      </c>
      <c r="I2062">
        <v>3.1419999999999999</v>
      </c>
    </row>
    <row r="2063" spans="1:9">
      <c r="A2063" t="s">
        <v>104</v>
      </c>
      <c r="B2063" t="s">
        <v>105</v>
      </c>
      <c r="C2063" t="s">
        <v>80</v>
      </c>
      <c r="D2063" t="s">
        <v>103</v>
      </c>
      <c r="E2063" t="s">
        <v>92</v>
      </c>
      <c r="F2063" t="s">
        <v>5</v>
      </c>
      <c r="G2063" t="s">
        <v>109</v>
      </c>
      <c r="H2063" s="62">
        <v>2049</v>
      </c>
      <c r="I2063">
        <v>1.4982</v>
      </c>
    </row>
    <row r="2064" spans="1:9">
      <c r="A2064" t="s">
        <v>104</v>
      </c>
      <c r="B2064" t="s">
        <v>105</v>
      </c>
      <c r="C2064" t="s">
        <v>80</v>
      </c>
      <c r="D2064" t="s">
        <v>103</v>
      </c>
      <c r="E2064" t="s">
        <v>89</v>
      </c>
      <c r="F2064" t="s">
        <v>5</v>
      </c>
      <c r="G2064" t="s">
        <v>109</v>
      </c>
      <c r="H2064" s="62">
        <v>2049</v>
      </c>
      <c r="I2064">
        <v>6.7241</v>
      </c>
    </row>
    <row r="2065" spans="1:9">
      <c r="A2065" t="s">
        <v>104</v>
      </c>
      <c r="B2065" t="s">
        <v>105</v>
      </c>
      <c r="C2065" t="s">
        <v>107</v>
      </c>
      <c r="D2065" t="s">
        <v>107</v>
      </c>
      <c r="E2065" t="s">
        <v>107</v>
      </c>
      <c r="F2065" t="s">
        <v>5</v>
      </c>
      <c r="G2065" t="s">
        <v>109</v>
      </c>
      <c r="H2065" s="62">
        <v>2050</v>
      </c>
      <c r="I2065">
        <v>19.0472</v>
      </c>
    </row>
    <row r="2066" spans="1:9">
      <c r="A2066" t="s">
        <v>104</v>
      </c>
      <c r="B2066" t="s">
        <v>105</v>
      </c>
      <c r="C2066" t="s">
        <v>107</v>
      </c>
      <c r="D2066" t="s">
        <v>108</v>
      </c>
      <c r="E2066" t="s">
        <v>108</v>
      </c>
      <c r="F2066" t="s">
        <v>5</v>
      </c>
      <c r="G2066" t="s">
        <v>109</v>
      </c>
      <c r="H2066" s="62">
        <v>2050</v>
      </c>
      <c r="I2066">
        <v>4.4200000000000003E-2</v>
      </c>
    </row>
    <row r="2067" spans="1:9">
      <c r="A2067" t="s">
        <v>104</v>
      </c>
      <c r="B2067" t="s">
        <v>105</v>
      </c>
      <c r="C2067" t="s">
        <v>80</v>
      </c>
      <c r="D2067" t="s">
        <v>80</v>
      </c>
      <c r="E2067" t="s">
        <v>80</v>
      </c>
      <c r="F2067" t="s">
        <v>5</v>
      </c>
      <c r="G2067" t="s">
        <v>109</v>
      </c>
      <c r="H2067" s="62">
        <v>2050</v>
      </c>
      <c r="I2067">
        <v>19.0029</v>
      </c>
    </row>
    <row r="2068" spans="1:9">
      <c r="A2068" t="s">
        <v>104</v>
      </c>
      <c r="B2068" t="s">
        <v>105</v>
      </c>
      <c r="C2068" t="s">
        <v>80</v>
      </c>
      <c r="D2068" t="s">
        <v>89</v>
      </c>
      <c r="E2068" t="s">
        <v>90</v>
      </c>
      <c r="F2068" t="s">
        <v>5</v>
      </c>
      <c r="G2068" t="s">
        <v>109</v>
      </c>
      <c r="H2068" s="62">
        <v>2050</v>
      </c>
      <c r="I2068">
        <v>-2.3607</v>
      </c>
    </row>
    <row r="2069" spans="1:9">
      <c r="A2069" t="s">
        <v>104</v>
      </c>
      <c r="B2069" t="s">
        <v>105</v>
      </c>
      <c r="C2069" t="s">
        <v>80</v>
      </c>
      <c r="D2069" t="s">
        <v>89</v>
      </c>
      <c r="E2069" t="s">
        <v>91</v>
      </c>
      <c r="F2069" t="s">
        <v>5</v>
      </c>
      <c r="G2069" t="s">
        <v>109</v>
      </c>
      <c r="H2069" s="62">
        <v>2050</v>
      </c>
      <c r="I2069">
        <v>0.88590000000000002</v>
      </c>
    </row>
    <row r="2070" spans="1:9">
      <c r="A2070" t="s">
        <v>104</v>
      </c>
      <c r="B2070" t="s">
        <v>105</v>
      </c>
      <c r="C2070" t="s">
        <v>80</v>
      </c>
      <c r="D2070" t="s">
        <v>92</v>
      </c>
      <c r="E2070" t="s">
        <v>93</v>
      </c>
      <c r="F2070" t="s">
        <v>5</v>
      </c>
      <c r="G2070" t="s">
        <v>109</v>
      </c>
      <c r="H2070" s="62">
        <v>2050</v>
      </c>
      <c r="I2070">
        <v>-4.2659000000000002</v>
      </c>
    </row>
    <row r="2071" spans="1:9">
      <c r="A2071" t="s">
        <v>104</v>
      </c>
      <c r="B2071" t="s">
        <v>105</v>
      </c>
      <c r="C2071" t="s">
        <v>80</v>
      </c>
      <c r="D2071" t="s">
        <v>92</v>
      </c>
      <c r="E2071" t="s">
        <v>94</v>
      </c>
      <c r="F2071" t="s">
        <v>5</v>
      </c>
      <c r="G2071" t="s">
        <v>109</v>
      </c>
      <c r="H2071" s="62">
        <v>2050</v>
      </c>
      <c r="I2071">
        <v>5.6170999999999998</v>
      </c>
    </row>
    <row r="2072" spans="1:9">
      <c r="A2072" t="s">
        <v>104</v>
      </c>
      <c r="B2072" t="s">
        <v>105</v>
      </c>
      <c r="C2072" t="s">
        <v>80</v>
      </c>
      <c r="D2072" t="s">
        <v>92</v>
      </c>
      <c r="E2072" t="s">
        <v>110</v>
      </c>
      <c r="F2072" t="s">
        <v>5</v>
      </c>
      <c r="G2072" t="s">
        <v>109</v>
      </c>
      <c r="H2072" s="62">
        <v>2050</v>
      </c>
      <c r="I2072">
        <v>0</v>
      </c>
    </row>
    <row r="2073" spans="1:9">
      <c r="A2073" t="s">
        <v>104</v>
      </c>
      <c r="B2073" t="s">
        <v>105</v>
      </c>
      <c r="C2073" t="s">
        <v>80</v>
      </c>
      <c r="D2073" t="s">
        <v>92</v>
      </c>
      <c r="E2073" t="s">
        <v>95</v>
      </c>
      <c r="F2073" t="s">
        <v>5</v>
      </c>
      <c r="G2073" t="s">
        <v>109</v>
      </c>
      <c r="H2073" s="62">
        <v>2050</v>
      </c>
      <c r="I2073">
        <v>5.7507000000000001</v>
      </c>
    </row>
    <row r="2074" spans="1:9">
      <c r="A2074" t="s">
        <v>104</v>
      </c>
      <c r="B2074" t="s">
        <v>105</v>
      </c>
      <c r="C2074" t="s">
        <v>80</v>
      </c>
      <c r="D2074" t="s">
        <v>96</v>
      </c>
      <c r="E2074" t="s">
        <v>92</v>
      </c>
      <c r="F2074" t="s">
        <v>5</v>
      </c>
      <c r="G2074" t="s">
        <v>109</v>
      </c>
      <c r="H2074" s="62">
        <v>2050</v>
      </c>
      <c r="I2074">
        <v>2.7118000000000002</v>
      </c>
    </row>
    <row r="2075" spans="1:9">
      <c r="A2075" t="s">
        <v>104</v>
      </c>
      <c r="B2075" t="s">
        <v>105</v>
      </c>
      <c r="C2075" t="s">
        <v>80</v>
      </c>
      <c r="D2075" t="s">
        <v>96</v>
      </c>
      <c r="E2075" t="s">
        <v>89</v>
      </c>
      <c r="F2075" t="s">
        <v>5</v>
      </c>
      <c r="G2075" t="s">
        <v>109</v>
      </c>
      <c r="H2075" s="62">
        <v>2050</v>
      </c>
      <c r="I2075">
        <v>0.67649999999999999</v>
      </c>
    </row>
    <row r="2076" spans="1:9">
      <c r="A2076" t="s">
        <v>104</v>
      </c>
      <c r="B2076" t="s">
        <v>105</v>
      </c>
      <c r="C2076" t="s">
        <v>80</v>
      </c>
      <c r="D2076" t="s">
        <v>97</v>
      </c>
      <c r="E2076" t="s">
        <v>98</v>
      </c>
      <c r="F2076" t="s">
        <v>5</v>
      </c>
      <c r="G2076" t="s">
        <v>109</v>
      </c>
      <c r="H2076" s="62">
        <v>2050</v>
      </c>
      <c r="I2076">
        <v>4.0960000000000001</v>
      </c>
    </row>
    <row r="2077" spans="1:9">
      <c r="A2077" t="s">
        <v>104</v>
      </c>
      <c r="B2077" t="s">
        <v>105</v>
      </c>
      <c r="C2077" t="s">
        <v>80</v>
      </c>
      <c r="D2077" t="s">
        <v>97</v>
      </c>
      <c r="E2077" t="s">
        <v>99</v>
      </c>
      <c r="F2077" t="s">
        <v>5</v>
      </c>
      <c r="G2077" t="s">
        <v>109</v>
      </c>
      <c r="H2077" s="62">
        <v>2050</v>
      </c>
      <c r="I2077">
        <v>6.8000000000000005E-2</v>
      </c>
    </row>
    <row r="2078" spans="1:9">
      <c r="A2078" t="s">
        <v>104</v>
      </c>
      <c r="B2078" t="s">
        <v>105</v>
      </c>
      <c r="C2078" t="s">
        <v>80</v>
      </c>
      <c r="D2078" t="s">
        <v>100</v>
      </c>
      <c r="E2078" t="s">
        <v>101</v>
      </c>
      <c r="F2078" t="s">
        <v>5</v>
      </c>
      <c r="G2078" t="s">
        <v>109</v>
      </c>
      <c r="H2078" s="62">
        <v>2050</v>
      </c>
      <c r="I2078">
        <v>3.1930999999999998</v>
      </c>
    </row>
    <row r="2079" spans="1:9">
      <c r="A2079" t="s">
        <v>104</v>
      </c>
      <c r="B2079" t="s">
        <v>105</v>
      </c>
      <c r="C2079" t="s">
        <v>80</v>
      </c>
      <c r="D2079" t="s">
        <v>100</v>
      </c>
      <c r="E2079" t="s">
        <v>102</v>
      </c>
      <c r="F2079" t="s">
        <v>5</v>
      </c>
      <c r="G2079" t="s">
        <v>109</v>
      </c>
      <c r="H2079" s="62">
        <v>2050</v>
      </c>
      <c r="I2079">
        <v>1.4168000000000001</v>
      </c>
    </row>
    <row r="2080" spans="1:9">
      <c r="A2080" t="s">
        <v>104</v>
      </c>
      <c r="B2080" t="s">
        <v>105</v>
      </c>
      <c r="C2080" t="s">
        <v>80</v>
      </c>
      <c r="D2080" t="s">
        <v>100</v>
      </c>
      <c r="E2080" t="s">
        <v>111</v>
      </c>
      <c r="F2080" t="s">
        <v>5</v>
      </c>
      <c r="G2080" t="s">
        <v>109</v>
      </c>
      <c r="H2080" s="62">
        <v>2050</v>
      </c>
      <c r="I2080">
        <v>0</v>
      </c>
    </row>
    <row r="2081" spans="1:9">
      <c r="A2081" t="s">
        <v>104</v>
      </c>
      <c r="B2081" t="s">
        <v>105</v>
      </c>
      <c r="C2081" t="s">
        <v>80</v>
      </c>
      <c r="D2081" t="s">
        <v>100</v>
      </c>
      <c r="E2081" t="s">
        <v>112</v>
      </c>
      <c r="F2081" t="s">
        <v>5</v>
      </c>
      <c r="G2081" t="s">
        <v>109</v>
      </c>
      <c r="H2081" s="62">
        <v>2050</v>
      </c>
      <c r="I2081">
        <v>0</v>
      </c>
    </row>
    <row r="2082" spans="1:9">
      <c r="A2082" t="s">
        <v>104</v>
      </c>
      <c r="B2082" t="s">
        <v>105</v>
      </c>
      <c r="C2082" t="s">
        <v>80</v>
      </c>
      <c r="D2082" t="s">
        <v>83</v>
      </c>
      <c r="E2082" t="s">
        <v>84</v>
      </c>
      <c r="F2082" t="s">
        <v>5</v>
      </c>
      <c r="G2082" t="s">
        <v>109</v>
      </c>
      <c r="H2082" s="62">
        <v>2050</v>
      </c>
      <c r="I2082">
        <v>0.62260000000000004</v>
      </c>
    </row>
    <row r="2083" spans="1:9">
      <c r="A2083" t="s">
        <v>104</v>
      </c>
      <c r="B2083" t="s">
        <v>105</v>
      </c>
      <c r="C2083" t="s">
        <v>80</v>
      </c>
      <c r="D2083" t="s">
        <v>83</v>
      </c>
      <c r="E2083" t="s">
        <v>85</v>
      </c>
      <c r="F2083" t="s">
        <v>5</v>
      </c>
      <c r="G2083" t="s">
        <v>109</v>
      </c>
      <c r="H2083" s="62">
        <v>2050</v>
      </c>
      <c r="I2083">
        <v>0.59119999999999995</v>
      </c>
    </row>
    <row r="2084" spans="1:9">
      <c r="A2084" t="s">
        <v>104</v>
      </c>
      <c r="B2084" t="s">
        <v>105</v>
      </c>
      <c r="C2084" t="s">
        <v>80</v>
      </c>
      <c r="D2084" t="s">
        <v>86</v>
      </c>
      <c r="E2084" t="s">
        <v>106</v>
      </c>
      <c r="F2084" t="s">
        <v>5</v>
      </c>
      <c r="G2084" t="s">
        <v>109</v>
      </c>
      <c r="H2084" s="62">
        <v>2050</v>
      </c>
      <c r="I2084">
        <v>4.4699999999999997E-2</v>
      </c>
    </row>
    <row r="2085" spans="1:9">
      <c r="A2085" t="s">
        <v>104</v>
      </c>
      <c r="B2085" t="s">
        <v>105</v>
      </c>
      <c r="C2085" t="s">
        <v>80</v>
      </c>
      <c r="D2085" t="s">
        <v>86</v>
      </c>
      <c r="E2085" t="s">
        <v>87</v>
      </c>
      <c r="F2085" t="s">
        <v>5</v>
      </c>
      <c r="G2085" t="s">
        <v>109</v>
      </c>
      <c r="H2085" s="62">
        <v>2050</v>
      </c>
      <c r="I2085">
        <v>3.3353000000000002</v>
      </c>
    </row>
    <row r="2086" spans="1:9">
      <c r="A2086" t="s">
        <v>104</v>
      </c>
      <c r="B2086" t="s">
        <v>105</v>
      </c>
      <c r="C2086" t="s">
        <v>80</v>
      </c>
      <c r="D2086" t="s">
        <v>103</v>
      </c>
      <c r="E2086" t="s">
        <v>92</v>
      </c>
      <c r="F2086" t="s">
        <v>5</v>
      </c>
      <c r="G2086" t="s">
        <v>109</v>
      </c>
      <c r="H2086" s="62">
        <v>2050</v>
      </c>
      <c r="I2086">
        <v>1.5408999999999999</v>
      </c>
    </row>
    <row r="2087" spans="1:9">
      <c r="A2087" t="s">
        <v>104</v>
      </c>
      <c r="B2087" t="s">
        <v>105</v>
      </c>
      <c r="C2087" t="s">
        <v>80</v>
      </c>
      <c r="D2087" t="s">
        <v>103</v>
      </c>
      <c r="E2087" t="s">
        <v>89</v>
      </c>
      <c r="F2087" t="s">
        <v>5</v>
      </c>
      <c r="G2087" t="s">
        <v>109</v>
      </c>
      <c r="H2087" s="62">
        <v>2050</v>
      </c>
      <c r="I2087">
        <v>6.8421000000000003</v>
      </c>
    </row>
    <row r="2088" spans="1:9">
      <c r="A2088" t="s">
        <v>104</v>
      </c>
      <c r="B2088" t="s">
        <v>105</v>
      </c>
      <c r="C2088" t="s">
        <v>107</v>
      </c>
      <c r="D2088" t="s">
        <v>107</v>
      </c>
      <c r="E2088" t="s">
        <v>107</v>
      </c>
      <c r="F2088" t="s">
        <v>5</v>
      </c>
      <c r="G2088" t="s">
        <v>109</v>
      </c>
      <c r="H2088" s="62">
        <v>2051</v>
      </c>
      <c r="I2088">
        <v>18.885000000000002</v>
      </c>
    </row>
    <row r="2089" spans="1:9">
      <c r="A2089" t="s">
        <v>104</v>
      </c>
      <c r="B2089" t="s">
        <v>105</v>
      </c>
      <c r="C2089" t="s">
        <v>107</v>
      </c>
      <c r="D2089" t="s">
        <v>108</v>
      </c>
      <c r="E2089" t="s">
        <v>108</v>
      </c>
      <c r="F2089" t="s">
        <v>5</v>
      </c>
      <c r="G2089" t="s">
        <v>109</v>
      </c>
      <c r="H2089" s="62">
        <v>2051</v>
      </c>
      <c r="I2089">
        <v>4.4200000000000003E-2</v>
      </c>
    </row>
    <row r="2090" spans="1:9">
      <c r="A2090" t="s">
        <v>104</v>
      </c>
      <c r="B2090" t="s">
        <v>105</v>
      </c>
      <c r="C2090" t="s">
        <v>80</v>
      </c>
      <c r="D2090" t="s">
        <v>80</v>
      </c>
      <c r="E2090" t="s">
        <v>80</v>
      </c>
      <c r="F2090" t="s">
        <v>5</v>
      </c>
      <c r="G2090" t="s">
        <v>109</v>
      </c>
      <c r="H2090" s="62">
        <v>2051</v>
      </c>
      <c r="I2090">
        <v>18.840800000000002</v>
      </c>
    </row>
    <row r="2091" spans="1:9">
      <c r="A2091" t="s">
        <v>104</v>
      </c>
      <c r="B2091" t="s">
        <v>105</v>
      </c>
      <c r="C2091" t="s">
        <v>80</v>
      </c>
      <c r="D2091" t="s">
        <v>89</v>
      </c>
      <c r="E2091" t="s">
        <v>90</v>
      </c>
      <c r="F2091" t="s">
        <v>5</v>
      </c>
      <c r="G2091" t="s">
        <v>109</v>
      </c>
      <c r="H2091" s="62">
        <v>2051</v>
      </c>
      <c r="I2091">
        <v>-2.4826000000000001</v>
      </c>
    </row>
    <row r="2092" spans="1:9">
      <c r="A2092" t="s">
        <v>104</v>
      </c>
      <c r="B2092" t="s">
        <v>105</v>
      </c>
      <c r="C2092" t="s">
        <v>80</v>
      </c>
      <c r="D2092" t="s">
        <v>89</v>
      </c>
      <c r="E2092" t="s">
        <v>91</v>
      </c>
      <c r="F2092" t="s">
        <v>5</v>
      </c>
      <c r="G2092" t="s">
        <v>109</v>
      </c>
      <c r="H2092" s="62">
        <v>2051</v>
      </c>
      <c r="I2092">
        <v>0.98029999999999995</v>
      </c>
    </row>
    <row r="2093" spans="1:9">
      <c r="A2093" t="s">
        <v>104</v>
      </c>
      <c r="B2093" t="s">
        <v>105</v>
      </c>
      <c r="C2093" t="s">
        <v>80</v>
      </c>
      <c r="D2093" t="s">
        <v>92</v>
      </c>
      <c r="E2093" t="s">
        <v>93</v>
      </c>
      <c r="F2093" t="s">
        <v>5</v>
      </c>
      <c r="G2093" t="s">
        <v>109</v>
      </c>
      <c r="H2093" s="62">
        <v>2051</v>
      </c>
      <c r="I2093">
        <v>-4.5294999999999996</v>
      </c>
    </row>
    <row r="2094" spans="1:9">
      <c r="A2094" t="s">
        <v>104</v>
      </c>
      <c r="B2094" t="s">
        <v>105</v>
      </c>
      <c r="C2094" t="s">
        <v>80</v>
      </c>
      <c r="D2094" t="s">
        <v>92</v>
      </c>
      <c r="E2094" t="s">
        <v>94</v>
      </c>
      <c r="F2094" t="s">
        <v>5</v>
      </c>
      <c r="G2094" t="s">
        <v>109</v>
      </c>
      <c r="H2094" s="62">
        <v>2051</v>
      </c>
      <c r="I2094">
        <v>5.5978000000000003</v>
      </c>
    </row>
    <row r="2095" spans="1:9">
      <c r="A2095" t="s">
        <v>104</v>
      </c>
      <c r="B2095" t="s">
        <v>105</v>
      </c>
      <c r="C2095" t="s">
        <v>80</v>
      </c>
      <c r="D2095" t="s">
        <v>92</v>
      </c>
      <c r="E2095" t="s">
        <v>110</v>
      </c>
      <c r="F2095" t="s">
        <v>5</v>
      </c>
      <c r="G2095" t="s">
        <v>109</v>
      </c>
      <c r="H2095" s="62">
        <v>2051</v>
      </c>
      <c r="I2095">
        <v>0</v>
      </c>
    </row>
    <row r="2096" spans="1:9">
      <c r="A2096" t="s">
        <v>104</v>
      </c>
      <c r="B2096" t="s">
        <v>105</v>
      </c>
      <c r="C2096" t="s">
        <v>80</v>
      </c>
      <c r="D2096" t="s">
        <v>92</v>
      </c>
      <c r="E2096" t="s">
        <v>95</v>
      </c>
      <c r="F2096" t="s">
        <v>5</v>
      </c>
      <c r="G2096" t="s">
        <v>109</v>
      </c>
      <c r="H2096" s="62">
        <v>2051</v>
      </c>
      <c r="I2096">
        <v>5.8738000000000001</v>
      </c>
    </row>
    <row r="2097" spans="1:9">
      <c r="A2097" t="s">
        <v>104</v>
      </c>
      <c r="B2097" t="s">
        <v>105</v>
      </c>
      <c r="C2097" t="s">
        <v>80</v>
      </c>
      <c r="D2097" t="s">
        <v>96</v>
      </c>
      <c r="E2097" t="s">
        <v>92</v>
      </c>
      <c r="F2097" t="s">
        <v>5</v>
      </c>
      <c r="G2097" t="s">
        <v>109</v>
      </c>
      <c r="H2097" s="62">
        <v>2051</v>
      </c>
      <c r="I2097">
        <v>2.6459999999999999</v>
      </c>
    </row>
    <row r="2098" spans="1:9">
      <c r="A2098" t="s">
        <v>104</v>
      </c>
      <c r="B2098" t="s">
        <v>105</v>
      </c>
      <c r="C2098" t="s">
        <v>80</v>
      </c>
      <c r="D2098" t="s">
        <v>96</v>
      </c>
      <c r="E2098" t="s">
        <v>89</v>
      </c>
      <c r="F2098" t="s">
        <v>5</v>
      </c>
      <c r="G2098" t="s">
        <v>109</v>
      </c>
      <c r="H2098" s="62">
        <v>2051</v>
      </c>
      <c r="I2098">
        <v>0.68159999999999998</v>
      </c>
    </row>
    <row r="2099" spans="1:9">
      <c r="A2099" t="s">
        <v>104</v>
      </c>
      <c r="B2099" t="s">
        <v>105</v>
      </c>
      <c r="C2099" t="s">
        <v>80</v>
      </c>
      <c r="D2099" t="s">
        <v>97</v>
      </c>
      <c r="E2099" t="s">
        <v>98</v>
      </c>
      <c r="F2099" t="s">
        <v>5</v>
      </c>
      <c r="G2099" t="s">
        <v>109</v>
      </c>
      <c r="H2099" s="62">
        <v>2051</v>
      </c>
      <c r="I2099">
        <v>4.3251999999999997</v>
      </c>
    </row>
    <row r="2100" spans="1:9">
      <c r="A2100" t="s">
        <v>104</v>
      </c>
      <c r="B2100" t="s">
        <v>105</v>
      </c>
      <c r="C2100" t="s">
        <v>80</v>
      </c>
      <c r="D2100" t="s">
        <v>97</v>
      </c>
      <c r="E2100" t="s">
        <v>99</v>
      </c>
      <c r="F2100" t="s">
        <v>5</v>
      </c>
      <c r="G2100" t="s">
        <v>109</v>
      </c>
      <c r="H2100" s="62">
        <v>2051</v>
      </c>
      <c r="I2100">
        <v>7.1300000000000002E-2</v>
      </c>
    </row>
    <row r="2101" spans="1:9">
      <c r="A2101" t="s">
        <v>104</v>
      </c>
      <c r="B2101" t="s">
        <v>105</v>
      </c>
      <c r="C2101" t="s">
        <v>80</v>
      </c>
      <c r="D2101" t="s">
        <v>100</v>
      </c>
      <c r="E2101" t="s">
        <v>101</v>
      </c>
      <c r="F2101" t="s">
        <v>5</v>
      </c>
      <c r="G2101" t="s">
        <v>109</v>
      </c>
      <c r="H2101" s="62">
        <v>2051</v>
      </c>
      <c r="I2101">
        <v>3.2719999999999998</v>
      </c>
    </row>
    <row r="2102" spans="1:9">
      <c r="A2102" t="s">
        <v>104</v>
      </c>
      <c r="B2102" t="s">
        <v>105</v>
      </c>
      <c r="C2102" t="s">
        <v>80</v>
      </c>
      <c r="D2102" t="s">
        <v>100</v>
      </c>
      <c r="E2102" t="s">
        <v>102</v>
      </c>
      <c r="F2102" t="s">
        <v>5</v>
      </c>
      <c r="G2102" t="s">
        <v>109</v>
      </c>
      <c r="H2102" s="62">
        <v>2051</v>
      </c>
      <c r="I2102">
        <v>1.1839999999999999</v>
      </c>
    </row>
    <row r="2103" spans="1:9">
      <c r="A2103" t="s">
        <v>104</v>
      </c>
      <c r="B2103" t="s">
        <v>105</v>
      </c>
      <c r="C2103" t="s">
        <v>80</v>
      </c>
      <c r="D2103" t="s">
        <v>100</v>
      </c>
      <c r="E2103" t="s">
        <v>111</v>
      </c>
      <c r="F2103" t="s">
        <v>5</v>
      </c>
      <c r="G2103" t="s">
        <v>109</v>
      </c>
      <c r="H2103" s="62">
        <v>2051</v>
      </c>
      <c r="I2103">
        <v>0</v>
      </c>
    </row>
    <row r="2104" spans="1:9">
      <c r="A2104" t="s">
        <v>104</v>
      </c>
      <c r="B2104" t="s">
        <v>105</v>
      </c>
      <c r="C2104" t="s">
        <v>80</v>
      </c>
      <c r="D2104" t="s">
        <v>100</v>
      </c>
      <c r="E2104" t="s">
        <v>112</v>
      </c>
      <c r="F2104" t="s">
        <v>5</v>
      </c>
      <c r="G2104" t="s">
        <v>109</v>
      </c>
      <c r="H2104" s="62">
        <v>2051</v>
      </c>
      <c r="I2104">
        <v>0</v>
      </c>
    </row>
    <row r="2105" spans="1:9">
      <c r="A2105" t="s">
        <v>104</v>
      </c>
      <c r="B2105" t="s">
        <v>105</v>
      </c>
      <c r="C2105" t="s">
        <v>80</v>
      </c>
      <c r="D2105" t="s">
        <v>83</v>
      </c>
      <c r="E2105" t="s">
        <v>84</v>
      </c>
      <c r="F2105" t="s">
        <v>5</v>
      </c>
      <c r="G2105" t="s">
        <v>109</v>
      </c>
      <c r="H2105" s="62">
        <v>2051</v>
      </c>
      <c r="I2105">
        <v>0.62429999999999997</v>
      </c>
    </row>
    <row r="2106" spans="1:9">
      <c r="A2106" t="s">
        <v>104</v>
      </c>
      <c r="B2106" t="s">
        <v>105</v>
      </c>
      <c r="C2106" t="s">
        <v>80</v>
      </c>
      <c r="D2106" t="s">
        <v>83</v>
      </c>
      <c r="E2106" t="s">
        <v>85</v>
      </c>
      <c r="F2106" t="s">
        <v>5</v>
      </c>
      <c r="G2106" t="s">
        <v>109</v>
      </c>
      <c r="H2106" s="62">
        <v>2051</v>
      </c>
      <c r="I2106">
        <v>0.59670000000000001</v>
      </c>
    </row>
    <row r="2107" spans="1:9">
      <c r="A2107" t="s">
        <v>104</v>
      </c>
      <c r="B2107" t="s">
        <v>105</v>
      </c>
      <c r="C2107" t="s">
        <v>80</v>
      </c>
      <c r="D2107" t="s">
        <v>86</v>
      </c>
      <c r="E2107" t="s">
        <v>106</v>
      </c>
      <c r="F2107" t="s">
        <v>5</v>
      </c>
      <c r="G2107" t="s">
        <v>109</v>
      </c>
      <c r="H2107" s="62">
        <v>2051</v>
      </c>
      <c r="I2107">
        <v>4.5199999999999997E-2</v>
      </c>
    </row>
    <row r="2108" spans="1:9">
      <c r="A2108" t="s">
        <v>104</v>
      </c>
      <c r="B2108" t="s">
        <v>105</v>
      </c>
      <c r="C2108" t="s">
        <v>80</v>
      </c>
      <c r="D2108" t="s">
        <v>86</v>
      </c>
      <c r="E2108" t="s">
        <v>87</v>
      </c>
      <c r="F2108" t="s">
        <v>5</v>
      </c>
      <c r="G2108" t="s">
        <v>109</v>
      </c>
      <c r="H2108" s="62">
        <v>2051</v>
      </c>
      <c r="I2108">
        <v>3.5041000000000002</v>
      </c>
    </row>
    <row r="2109" spans="1:9">
      <c r="A2109" t="s">
        <v>104</v>
      </c>
      <c r="B2109" t="s">
        <v>105</v>
      </c>
      <c r="C2109" t="s">
        <v>80</v>
      </c>
      <c r="D2109" t="s">
        <v>103</v>
      </c>
      <c r="E2109" t="s">
        <v>92</v>
      </c>
      <c r="F2109" t="s">
        <v>5</v>
      </c>
      <c r="G2109" t="s">
        <v>109</v>
      </c>
      <c r="H2109" s="62">
        <v>2051</v>
      </c>
      <c r="I2109">
        <v>1.5864</v>
      </c>
    </row>
    <row r="2110" spans="1:9">
      <c r="A2110" t="s">
        <v>104</v>
      </c>
      <c r="B2110" t="s">
        <v>105</v>
      </c>
      <c r="C2110" t="s">
        <v>80</v>
      </c>
      <c r="D2110" t="s">
        <v>103</v>
      </c>
      <c r="E2110" t="s">
        <v>89</v>
      </c>
      <c r="F2110" t="s">
        <v>5</v>
      </c>
      <c r="G2110" t="s">
        <v>109</v>
      </c>
      <c r="H2110" s="62">
        <v>2051</v>
      </c>
      <c r="I2110">
        <v>6.9596</v>
      </c>
    </row>
    <row r="2111" spans="1:9">
      <c r="A2111" t="s">
        <v>104</v>
      </c>
      <c r="B2111" t="s">
        <v>105</v>
      </c>
      <c r="C2111" t="s">
        <v>107</v>
      </c>
      <c r="D2111" t="s">
        <v>107</v>
      </c>
      <c r="E2111" t="s">
        <v>107</v>
      </c>
      <c r="F2111" t="s">
        <v>5</v>
      </c>
      <c r="G2111" t="s">
        <v>109</v>
      </c>
      <c r="H2111" s="62">
        <v>2052</v>
      </c>
      <c r="I2111">
        <v>18.832699999999999</v>
      </c>
    </row>
    <row r="2112" spans="1:9">
      <c r="A2112" t="s">
        <v>104</v>
      </c>
      <c r="B2112" t="s">
        <v>105</v>
      </c>
      <c r="C2112" t="s">
        <v>107</v>
      </c>
      <c r="D2112" t="s">
        <v>108</v>
      </c>
      <c r="E2112" t="s">
        <v>108</v>
      </c>
      <c r="F2112" t="s">
        <v>5</v>
      </c>
      <c r="G2112" t="s">
        <v>109</v>
      </c>
      <c r="H2112" s="62">
        <v>2052</v>
      </c>
      <c r="I2112">
        <v>4.4499999999999998E-2</v>
      </c>
    </row>
    <row r="2113" spans="1:9">
      <c r="A2113" t="s">
        <v>104</v>
      </c>
      <c r="B2113" t="s">
        <v>105</v>
      </c>
      <c r="C2113" t="s">
        <v>80</v>
      </c>
      <c r="D2113" t="s">
        <v>80</v>
      </c>
      <c r="E2113" t="s">
        <v>80</v>
      </c>
      <c r="F2113" t="s">
        <v>5</v>
      </c>
      <c r="G2113" t="s">
        <v>109</v>
      </c>
      <c r="H2113" s="62">
        <v>2052</v>
      </c>
      <c r="I2113">
        <v>18.7882</v>
      </c>
    </row>
    <row r="2114" spans="1:9">
      <c r="A2114" t="s">
        <v>104</v>
      </c>
      <c r="B2114" t="s">
        <v>105</v>
      </c>
      <c r="C2114" t="s">
        <v>80</v>
      </c>
      <c r="D2114" t="s">
        <v>89</v>
      </c>
      <c r="E2114" t="s">
        <v>90</v>
      </c>
      <c r="F2114" t="s">
        <v>5</v>
      </c>
      <c r="G2114" t="s">
        <v>109</v>
      </c>
      <c r="H2114" s="62">
        <v>2052</v>
      </c>
      <c r="I2114">
        <v>-2.6078999999999999</v>
      </c>
    </row>
    <row r="2115" spans="1:9">
      <c r="A2115" t="s">
        <v>104</v>
      </c>
      <c r="B2115" t="s">
        <v>105</v>
      </c>
      <c r="C2115" t="s">
        <v>80</v>
      </c>
      <c r="D2115" t="s">
        <v>89</v>
      </c>
      <c r="E2115" t="s">
        <v>91</v>
      </c>
      <c r="F2115" t="s">
        <v>5</v>
      </c>
      <c r="G2115" t="s">
        <v>109</v>
      </c>
      <c r="H2115" s="62">
        <v>2052</v>
      </c>
      <c r="I2115">
        <v>1.0801000000000001</v>
      </c>
    </row>
    <row r="2116" spans="1:9">
      <c r="A2116" t="s">
        <v>104</v>
      </c>
      <c r="B2116" t="s">
        <v>105</v>
      </c>
      <c r="C2116" t="s">
        <v>80</v>
      </c>
      <c r="D2116" t="s">
        <v>92</v>
      </c>
      <c r="E2116" t="s">
        <v>93</v>
      </c>
      <c r="F2116" t="s">
        <v>5</v>
      </c>
      <c r="G2116" t="s">
        <v>109</v>
      </c>
      <c r="H2116" s="62">
        <v>2052</v>
      </c>
      <c r="I2116">
        <v>-4.7942999999999998</v>
      </c>
    </row>
    <row r="2117" spans="1:9">
      <c r="A2117" t="s">
        <v>104</v>
      </c>
      <c r="B2117" t="s">
        <v>105</v>
      </c>
      <c r="C2117" t="s">
        <v>80</v>
      </c>
      <c r="D2117" t="s">
        <v>92</v>
      </c>
      <c r="E2117" t="s">
        <v>94</v>
      </c>
      <c r="F2117" t="s">
        <v>5</v>
      </c>
      <c r="G2117" t="s">
        <v>109</v>
      </c>
      <c r="H2117" s="62">
        <v>2052</v>
      </c>
      <c r="I2117">
        <v>5.5759999999999996</v>
      </c>
    </row>
    <row r="2118" spans="1:9">
      <c r="A2118" t="s">
        <v>104</v>
      </c>
      <c r="B2118" t="s">
        <v>105</v>
      </c>
      <c r="C2118" t="s">
        <v>80</v>
      </c>
      <c r="D2118" t="s">
        <v>92</v>
      </c>
      <c r="E2118" t="s">
        <v>110</v>
      </c>
      <c r="F2118" t="s">
        <v>5</v>
      </c>
      <c r="G2118" t="s">
        <v>109</v>
      </c>
      <c r="H2118" s="62">
        <v>2052</v>
      </c>
      <c r="I2118">
        <v>0</v>
      </c>
    </row>
    <row r="2119" spans="1:9">
      <c r="A2119" t="s">
        <v>104</v>
      </c>
      <c r="B2119" t="s">
        <v>105</v>
      </c>
      <c r="C2119" t="s">
        <v>80</v>
      </c>
      <c r="D2119" t="s">
        <v>92</v>
      </c>
      <c r="E2119" t="s">
        <v>95</v>
      </c>
      <c r="F2119" t="s">
        <v>5</v>
      </c>
      <c r="G2119" t="s">
        <v>109</v>
      </c>
      <c r="H2119" s="62">
        <v>2052</v>
      </c>
      <c r="I2119">
        <v>5.9995000000000003</v>
      </c>
    </row>
    <row r="2120" spans="1:9">
      <c r="A2120" t="s">
        <v>104</v>
      </c>
      <c r="B2120" t="s">
        <v>105</v>
      </c>
      <c r="C2120" t="s">
        <v>80</v>
      </c>
      <c r="D2120" t="s">
        <v>96</v>
      </c>
      <c r="E2120" t="s">
        <v>92</v>
      </c>
      <c r="F2120" t="s">
        <v>5</v>
      </c>
      <c r="G2120" t="s">
        <v>109</v>
      </c>
      <c r="H2120" s="62">
        <v>2052</v>
      </c>
      <c r="I2120">
        <v>2.6772999999999998</v>
      </c>
    </row>
    <row r="2121" spans="1:9">
      <c r="A2121" t="s">
        <v>104</v>
      </c>
      <c r="B2121" t="s">
        <v>105</v>
      </c>
      <c r="C2121" t="s">
        <v>80</v>
      </c>
      <c r="D2121" t="s">
        <v>96</v>
      </c>
      <c r="E2121" t="s">
        <v>89</v>
      </c>
      <c r="F2121" t="s">
        <v>5</v>
      </c>
      <c r="G2121" t="s">
        <v>109</v>
      </c>
      <c r="H2121" s="62">
        <v>2052</v>
      </c>
      <c r="I2121">
        <v>0.65159999999999996</v>
      </c>
    </row>
    <row r="2122" spans="1:9">
      <c r="A2122" t="s">
        <v>104</v>
      </c>
      <c r="B2122" t="s">
        <v>105</v>
      </c>
      <c r="C2122" t="s">
        <v>80</v>
      </c>
      <c r="D2122" t="s">
        <v>97</v>
      </c>
      <c r="E2122" t="s">
        <v>98</v>
      </c>
      <c r="F2122" t="s">
        <v>5</v>
      </c>
      <c r="G2122" t="s">
        <v>109</v>
      </c>
      <c r="H2122" s="62">
        <v>2052</v>
      </c>
      <c r="I2122">
        <v>4.5697000000000001</v>
      </c>
    </row>
    <row r="2123" spans="1:9">
      <c r="A2123" t="s">
        <v>104</v>
      </c>
      <c r="B2123" t="s">
        <v>105</v>
      </c>
      <c r="C2123" t="s">
        <v>80</v>
      </c>
      <c r="D2123" t="s">
        <v>97</v>
      </c>
      <c r="E2123" t="s">
        <v>99</v>
      </c>
      <c r="F2123" t="s">
        <v>5</v>
      </c>
      <c r="G2123" t="s">
        <v>109</v>
      </c>
      <c r="H2123" s="62">
        <v>2052</v>
      </c>
      <c r="I2123">
        <v>7.4800000000000005E-2</v>
      </c>
    </row>
    <row r="2124" spans="1:9">
      <c r="A2124" t="s">
        <v>104</v>
      </c>
      <c r="B2124" t="s">
        <v>105</v>
      </c>
      <c r="C2124" t="s">
        <v>80</v>
      </c>
      <c r="D2124" t="s">
        <v>100</v>
      </c>
      <c r="E2124" t="s">
        <v>101</v>
      </c>
      <c r="F2124" t="s">
        <v>5</v>
      </c>
      <c r="G2124" t="s">
        <v>109</v>
      </c>
      <c r="H2124" s="62">
        <v>2052</v>
      </c>
      <c r="I2124">
        <v>3.2698999999999998</v>
      </c>
    </row>
    <row r="2125" spans="1:9">
      <c r="A2125" t="s">
        <v>104</v>
      </c>
      <c r="B2125" t="s">
        <v>105</v>
      </c>
      <c r="C2125" t="s">
        <v>80</v>
      </c>
      <c r="D2125" t="s">
        <v>100</v>
      </c>
      <c r="E2125" t="s">
        <v>102</v>
      </c>
      <c r="F2125" t="s">
        <v>5</v>
      </c>
      <c r="G2125" t="s">
        <v>109</v>
      </c>
      <c r="H2125" s="62">
        <v>2052</v>
      </c>
      <c r="I2125">
        <v>1.0564</v>
      </c>
    </row>
    <row r="2126" spans="1:9">
      <c r="A2126" t="s">
        <v>104</v>
      </c>
      <c r="B2126" t="s">
        <v>105</v>
      </c>
      <c r="C2126" t="s">
        <v>80</v>
      </c>
      <c r="D2126" t="s">
        <v>100</v>
      </c>
      <c r="E2126" t="s">
        <v>111</v>
      </c>
      <c r="F2126" t="s">
        <v>5</v>
      </c>
      <c r="G2126" t="s">
        <v>109</v>
      </c>
      <c r="H2126" s="62">
        <v>2052</v>
      </c>
      <c r="I2126">
        <v>0</v>
      </c>
    </row>
    <row r="2127" spans="1:9">
      <c r="A2127" t="s">
        <v>104</v>
      </c>
      <c r="B2127" t="s">
        <v>105</v>
      </c>
      <c r="C2127" t="s">
        <v>80</v>
      </c>
      <c r="D2127" t="s">
        <v>100</v>
      </c>
      <c r="E2127" t="s">
        <v>112</v>
      </c>
      <c r="F2127" t="s">
        <v>5</v>
      </c>
      <c r="G2127" t="s">
        <v>109</v>
      </c>
      <c r="H2127" s="62">
        <v>2052</v>
      </c>
      <c r="I2127">
        <v>0</v>
      </c>
    </row>
    <row r="2128" spans="1:9">
      <c r="A2128" t="s">
        <v>104</v>
      </c>
      <c r="B2128" t="s">
        <v>105</v>
      </c>
      <c r="C2128" t="s">
        <v>80</v>
      </c>
      <c r="D2128" t="s">
        <v>83</v>
      </c>
      <c r="E2128" t="s">
        <v>84</v>
      </c>
      <c r="F2128" t="s">
        <v>5</v>
      </c>
      <c r="G2128" t="s">
        <v>109</v>
      </c>
      <c r="H2128" s="62">
        <v>2052</v>
      </c>
      <c r="I2128">
        <v>0.63019999999999998</v>
      </c>
    </row>
    <row r="2129" spans="1:9">
      <c r="A2129" t="s">
        <v>104</v>
      </c>
      <c r="B2129" t="s">
        <v>105</v>
      </c>
      <c r="C2129" t="s">
        <v>80</v>
      </c>
      <c r="D2129" t="s">
        <v>83</v>
      </c>
      <c r="E2129" t="s">
        <v>85</v>
      </c>
      <c r="F2129" t="s">
        <v>5</v>
      </c>
      <c r="G2129" t="s">
        <v>109</v>
      </c>
      <c r="H2129" s="62">
        <v>2052</v>
      </c>
      <c r="I2129">
        <v>0.6048</v>
      </c>
    </row>
    <row r="2130" spans="1:9">
      <c r="A2130" t="s">
        <v>104</v>
      </c>
      <c r="B2130" t="s">
        <v>105</v>
      </c>
      <c r="C2130" t="s">
        <v>80</v>
      </c>
      <c r="D2130" t="s">
        <v>86</v>
      </c>
      <c r="E2130" t="s">
        <v>106</v>
      </c>
      <c r="F2130" t="s">
        <v>5</v>
      </c>
      <c r="G2130" t="s">
        <v>109</v>
      </c>
      <c r="H2130" s="62">
        <v>2052</v>
      </c>
      <c r="I2130">
        <v>4.58E-2</v>
      </c>
    </row>
    <row r="2131" spans="1:9">
      <c r="A2131" t="s">
        <v>104</v>
      </c>
      <c r="B2131" t="s">
        <v>105</v>
      </c>
      <c r="C2131" t="s">
        <v>80</v>
      </c>
      <c r="D2131" t="s">
        <v>86</v>
      </c>
      <c r="E2131" t="s">
        <v>87</v>
      </c>
      <c r="F2131" t="s">
        <v>5</v>
      </c>
      <c r="G2131" t="s">
        <v>109</v>
      </c>
      <c r="H2131" s="62">
        <v>2052</v>
      </c>
      <c r="I2131">
        <v>3.6682999999999999</v>
      </c>
    </row>
    <row r="2132" spans="1:9">
      <c r="A2132" t="s">
        <v>104</v>
      </c>
      <c r="B2132" t="s">
        <v>105</v>
      </c>
      <c r="C2132" t="s">
        <v>80</v>
      </c>
      <c r="D2132" t="s">
        <v>103</v>
      </c>
      <c r="E2132" t="s">
        <v>92</v>
      </c>
      <c r="F2132" t="s">
        <v>5</v>
      </c>
      <c r="G2132" t="s">
        <v>109</v>
      </c>
      <c r="H2132" s="62">
        <v>2052</v>
      </c>
      <c r="I2132">
        <v>1.6345000000000001</v>
      </c>
    </row>
    <row r="2133" spans="1:9">
      <c r="A2133" t="s">
        <v>104</v>
      </c>
      <c r="B2133" t="s">
        <v>105</v>
      </c>
      <c r="C2133" t="s">
        <v>80</v>
      </c>
      <c r="D2133" t="s">
        <v>103</v>
      </c>
      <c r="E2133" t="s">
        <v>89</v>
      </c>
      <c r="F2133" t="s">
        <v>5</v>
      </c>
      <c r="G2133" t="s">
        <v>109</v>
      </c>
      <c r="H2133" s="62">
        <v>2052</v>
      </c>
      <c r="I2133">
        <v>7.0805999999999996</v>
      </c>
    </row>
    <row r="2134" spans="1:9">
      <c r="A2134" t="s">
        <v>104</v>
      </c>
      <c r="B2134" t="s">
        <v>105</v>
      </c>
      <c r="C2134" t="s">
        <v>107</v>
      </c>
      <c r="D2134" t="s">
        <v>107</v>
      </c>
      <c r="E2134" t="s">
        <v>107</v>
      </c>
      <c r="F2134" t="s">
        <v>5</v>
      </c>
      <c r="G2134" t="s">
        <v>109</v>
      </c>
      <c r="H2134" s="62">
        <v>2053</v>
      </c>
      <c r="I2134">
        <v>19.908200000000001</v>
      </c>
    </row>
    <row r="2135" spans="1:9">
      <c r="A2135" t="s">
        <v>104</v>
      </c>
      <c r="B2135" t="s">
        <v>105</v>
      </c>
      <c r="C2135" t="s">
        <v>107</v>
      </c>
      <c r="D2135" t="s">
        <v>108</v>
      </c>
      <c r="E2135" t="s">
        <v>108</v>
      </c>
      <c r="F2135" t="s">
        <v>5</v>
      </c>
      <c r="G2135" t="s">
        <v>109</v>
      </c>
      <c r="H2135" s="62">
        <v>2053</v>
      </c>
      <c r="I2135">
        <v>4.4699999999999997E-2</v>
      </c>
    </row>
    <row r="2136" spans="1:9">
      <c r="A2136" t="s">
        <v>104</v>
      </c>
      <c r="B2136" t="s">
        <v>105</v>
      </c>
      <c r="C2136" t="s">
        <v>80</v>
      </c>
      <c r="D2136" t="s">
        <v>80</v>
      </c>
      <c r="E2136" t="s">
        <v>80</v>
      </c>
      <c r="F2136" t="s">
        <v>5</v>
      </c>
      <c r="G2136" t="s">
        <v>109</v>
      </c>
      <c r="H2136" s="62">
        <v>2053</v>
      </c>
      <c r="I2136">
        <v>19.863499999999998</v>
      </c>
    </row>
    <row r="2137" spans="1:9">
      <c r="A2137" t="s">
        <v>104</v>
      </c>
      <c r="B2137" t="s">
        <v>105</v>
      </c>
      <c r="C2137" t="s">
        <v>80</v>
      </c>
      <c r="D2137" t="s">
        <v>89</v>
      </c>
      <c r="E2137" t="s">
        <v>90</v>
      </c>
      <c r="F2137" t="s">
        <v>5</v>
      </c>
      <c r="G2137" t="s">
        <v>109</v>
      </c>
      <c r="H2137" s="62">
        <v>2053</v>
      </c>
      <c r="I2137">
        <v>-2.7242000000000002</v>
      </c>
    </row>
    <row r="2138" spans="1:9">
      <c r="A2138" t="s">
        <v>104</v>
      </c>
      <c r="B2138" t="s">
        <v>105</v>
      </c>
      <c r="C2138" t="s">
        <v>80</v>
      </c>
      <c r="D2138" t="s">
        <v>89</v>
      </c>
      <c r="E2138" t="s">
        <v>91</v>
      </c>
      <c r="F2138" t="s">
        <v>5</v>
      </c>
      <c r="G2138" t="s">
        <v>109</v>
      </c>
      <c r="H2138" s="62">
        <v>2053</v>
      </c>
      <c r="I2138">
        <v>1.1718</v>
      </c>
    </row>
    <row r="2139" spans="1:9">
      <c r="A2139" t="s">
        <v>104</v>
      </c>
      <c r="B2139" t="s">
        <v>105</v>
      </c>
      <c r="C2139" t="s">
        <v>80</v>
      </c>
      <c r="D2139" t="s">
        <v>92</v>
      </c>
      <c r="E2139" t="s">
        <v>93</v>
      </c>
      <c r="F2139" t="s">
        <v>5</v>
      </c>
      <c r="G2139" t="s">
        <v>109</v>
      </c>
      <c r="H2139" s="62">
        <v>2053</v>
      </c>
      <c r="I2139">
        <v>-5.0266999999999999</v>
      </c>
    </row>
    <row r="2140" spans="1:9">
      <c r="A2140" t="s">
        <v>104</v>
      </c>
      <c r="B2140" t="s">
        <v>105</v>
      </c>
      <c r="C2140" t="s">
        <v>80</v>
      </c>
      <c r="D2140" t="s">
        <v>92</v>
      </c>
      <c r="E2140" t="s">
        <v>94</v>
      </c>
      <c r="F2140" t="s">
        <v>5</v>
      </c>
      <c r="G2140" t="s">
        <v>109</v>
      </c>
      <c r="H2140" s="62">
        <v>2053</v>
      </c>
      <c r="I2140">
        <v>5.5568999999999997</v>
      </c>
    </row>
    <row r="2141" spans="1:9">
      <c r="A2141" t="s">
        <v>104</v>
      </c>
      <c r="B2141" t="s">
        <v>105</v>
      </c>
      <c r="C2141" t="s">
        <v>80</v>
      </c>
      <c r="D2141" t="s">
        <v>92</v>
      </c>
      <c r="E2141" t="s">
        <v>110</v>
      </c>
      <c r="F2141" t="s">
        <v>5</v>
      </c>
      <c r="G2141" t="s">
        <v>109</v>
      </c>
      <c r="H2141" s="62">
        <v>2053</v>
      </c>
      <c r="I2141">
        <v>0</v>
      </c>
    </row>
    <row r="2142" spans="1:9">
      <c r="A2142" t="s">
        <v>104</v>
      </c>
      <c r="B2142" t="s">
        <v>105</v>
      </c>
      <c r="C2142" t="s">
        <v>80</v>
      </c>
      <c r="D2142" t="s">
        <v>92</v>
      </c>
      <c r="E2142" t="s">
        <v>95</v>
      </c>
      <c r="F2142" t="s">
        <v>5</v>
      </c>
      <c r="G2142" t="s">
        <v>109</v>
      </c>
      <c r="H2142" s="62">
        <v>2053</v>
      </c>
      <c r="I2142">
        <v>6.1292</v>
      </c>
    </row>
    <row r="2143" spans="1:9">
      <c r="A2143" t="s">
        <v>104</v>
      </c>
      <c r="B2143" t="s">
        <v>105</v>
      </c>
      <c r="C2143" t="s">
        <v>80</v>
      </c>
      <c r="D2143" t="s">
        <v>96</v>
      </c>
      <c r="E2143" t="s">
        <v>92</v>
      </c>
      <c r="F2143" t="s">
        <v>5</v>
      </c>
      <c r="G2143" t="s">
        <v>109</v>
      </c>
      <c r="H2143" s="62">
        <v>2053</v>
      </c>
      <c r="I2143">
        <v>2.7048000000000001</v>
      </c>
    </row>
    <row r="2144" spans="1:9">
      <c r="A2144" t="s">
        <v>104</v>
      </c>
      <c r="B2144" t="s">
        <v>105</v>
      </c>
      <c r="C2144" t="s">
        <v>80</v>
      </c>
      <c r="D2144" t="s">
        <v>96</v>
      </c>
      <c r="E2144" t="s">
        <v>89</v>
      </c>
      <c r="F2144" t="s">
        <v>5</v>
      </c>
      <c r="G2144" t="s">
        <v>109</v>
      </c>
      <c r="H2144" s="62">
        <v>2053</v>
      </c>
      <c r="I2144">
        <v>0.622</v>
      </c>
    </row>
    <row r="2145" spans="1:9">
      <c r="A2145" t="s">
        <v>104</v>
      </c>
      <c r="B2145" t="s">
        <v>105</v>
      </c>
      <c r="C2145" t="s">
        <v>80</v>
      </c>
      <c r="D2145" t="s">
        <v>97</v>
      </c>
      <c r="E2145" t="s">
        <v>98</v>
      </c>
      <c r="F2145" t="s">
        <v>5</v>
      </c>
      <c r="G2145" t="s">
        <v>109</v>
      </c>
      <c r="H2145" s="62">
        <v>2053</v>
      </c>
      <c r="I2145">
        <v>4.7840999999999996</v>
      </c>
    </row>
    <row r="2146" spans="1:9">
      <c r="A2146" t="s">
        <v>104</v>
      </c>
      <c r="B2146" t="s">
        <v>105</v>
      </c>
      <c r="C2146" t="s">
        <v>80</v>
      </c>
      <c r="D2146" t="s">
        <v>97</v>
      </c>
      <c r="E2146" t="s">
        <v>99</v>
      </c>
      <c r="F2146" t="s">
        <v>5</v>
      </c>
      <c r="G2146" t="s">
        <v>109</v>
      </c>
      <c r="H2146" s="62">
        <v>2053</v>
      </c>
      <c r="I2146">
        <v>7.7899999999999997E-2</v>
      </c>
    </row>
    <row r="2147" spans="1:9">
      <c r="A2147" t="s">
        <v>104</v>
      </c>
      <c r="B2147" t="s">
        <v>105</v>
      </c>
      <c r="C2147" t="s">
        <v>80</v>
      </c>
      <c r="D2147" t="s">
        <v>100</v>
      </c>
      <c r="E2147" t="s">
        <v>101</v>
      </c>
      <c r="F2147" t="s">
        <v>5</v>
      </c>
      <c r="G2147" t="s">
        <v>109</v>
      </c>
      <c r="H2147" s="62">
        <v>2053</v>
      </c>
      <c r="I2147">
        <v>4.2641999999999998</v>
      </c>
    </row>
    <row r="2148" spans="1:9">
      <c r="A2148" t="s">
        <v>104</v>
      </c>
      <c r="B2148" t="s">
        <v>105</v>
      </c>
      <c r="C2148" t="s">
        <v>80</v>
      </c>
      <c r="D2148" t="s">
        <v>100</v>
      </c>
      <c r="E2148" t="s">
        <v>102</v>
      </c>
      <c r="F2148" t="s">
        <v>5</v>
      </c>
      <c r="G2148" t="s">
        <v>109</v>
      </c>
      <c r="H2148" s="62">
        <v>2053</v>
      </c>
      <c r="I2148">
        <v>1.0564</v>
      </c>
    </row>
    <row r="2149" spans="1:9">
      <c r="A2149" t="s">
        <v>104</v>
      </c>
      <c r="B2149" t="s">
        <v>105</v>
      </c>
      <c r="C2149" t="s">
        <v>80</v>
      </c>
      <c r="D2149" t="s">
        <v>100</v>
      </c>
      <c r="E2149" t="s">
        <v>111</v>
      </c>
      <c r="F2149" t="s">
        <v>5</v>
      </c>
      <c r="G2149" t="s">
        <v>109</v>
      </c>
      <c r="H2149" s="62">
        <v>2053</v>
      </c>
      <c r="I2149">
        <v>0</v>
      </c>
    </row>
    <row r="2150" spans="1:9">
      <c r="A2150" t="s">
        <v>104</v>
      </c>
      <c r="B2150" t="s">
        <v>105</v>
      </c>
      <c r="C2150" t="s">
        <v>80</v>
      </c>
      <c r="D2150" t="s">
        <v>100</v>
      </c>
      <c r="E2150" t="s">
        <v>112</v>
      </c>
      <c r="F2150" t="s">
        <v>5</v>
      </c>
      <c r="G2150" t="s">
        <v>109</v>
      </c>
      <c r="H2150" s="62">
        <v>2053</v>
      </c>
      <c r="I2150">
        <v>0</v>
      </c>
    </row>
    <row r="2151" spans="1:9">
      <c r="A2151" t="s">
        <v>104</v>
      </c>
      <c r="B2151" t="s">
        <v>105</v>
      </c>
      <c r="C2151" t="s">
        <v>80</v>
      </c>
      <c r="D2151" t="s">
        <v>83</v>
      </c>
      <c r="E2151" t="s">
        <v>84</v>
      </c>
      <c r="F2151" t="s">
        <v>5</v>
      </c>
      <c r="G2151" t="s">
        <v>109</v>
      </c>
      <c r="H2151" s="62">
        <v>2053</v>
      </c>
      <c r="I2151">
        <v>0.63480000000000003</v>
      </c>
    </row>
    <row r="2152" spans="1:9">
      <c r="A2152" t="s">
        <v>104</v>
      </c>
      <c r="B2152" t="s">
        <v>105</v>
      </c>
      <c r="C2152" t="s">
        <v>80</v>
      </c>
      <c r="D2152" t="s">
        <v>83</v>
      </c>
      <c r="E2152" t="s">
        <v>85</v>
      </c>
      <c r="F2152" t="s">
        <v>5</v>
      </c>
      <c r="G2152" t="s">
        <v>109</v>
      </c>
      <c r="H2152" s="62">
        <v>2053</v>
      </c>
      <c r="I2152">
        <v>0.61229999999999996</v>
      </c>
    </row>
    <row r="2153" spans="1:9">
      <c r="A2153" t="s">
        <v>104</v>
      </c>
      <c r="B2153" t="s">
        <v>105</v>
      </c>
      <c r="C2153" t="s">
        <v>80</v>
      </c>
      <c r="D2153" t="s">
        <v>86</v>
      </c>
      <c r="E2153" t="s">
        <v>106</v>
      </c>
      <c r="F2153" t="s">
        <v>5</v>
      </c>
      <c r="G2153" t="s">
        <v>109</v>
      </c>
      <c r="H2153" s="62">
        <v>2053</v>
      </c>
      <c r="I2153">
        <v>4.6199999999999998E-2</v>
      </c>
    </row>
    <row r="2154" spans="1:9">
      <c r="A2154" t="s">
        <v>104</v>
      </c>
      <c r="B2154" t="s">
        <v>105</v>
      </c>
      <c r="C2154" t="s">
        <v>80</v>
      </c>
      <c r="D2154" t="s">
        <v>86</v>
      </c>
      <c r="E2154" t="s">
        <v>87</v>
      </c>
      <c r="F2154" t="s">
        <v>5</v>
      </c>
      <c r="G2154" t="s">
        <v>109</v>
      </c>
      <c r="H2154" s="62">
        <v>2053</v>
      </c>
      <c r="I2154">
        <v>3.8087</v>
      </c>
    </row>
    <row r="2155" spans="1:9">
      <c r="A2155" t="s">
        <v>104</v>
      </c>
      <c r="B2155" t="s">
        <v>105</v>
      </c>
      <c r="C2155" t="s">
        <v>80</v>
      </c>
      <c r="D2155" t="s">
        <v>103</v>
      </c>
      <c r="E2155" t="s">
        <v>92</v>
      </c>
      <c r="F2155" t="s">
        <v>5</v>
      </c>
      <c r="G2155" t="s">
        <v>109</v>
      </c>
      <c r="H2155" s="62">
        <v>2053</v>
      </c>
      <c r="I2155">
        <v>1.6803999999999999</v>
      </c>
    </row>
    <row r="2156" spans="1:9">
      <c r="A2156" t="s">
        <v>104</v>
      </c>
      <c r="B2156" t="s">
        <v>105</v>
      </c>
      <c r="C2156" t="s">
        <v>80</v>
      </c>
      <c r="D2156" t="s">
        <v>103</v>
      </c>
      <c r="E2156" t="s">
        <v>89</v>
      </c>
      <c r="F2156" t="s">
        <v>5</v>
      </c>
      <c r="G2156" t="s">
        <v>109</v>
      </c>
      <c r="H2156" s="62">
        <v>2053</v>
      </c>
      <c r="I2156">
        <v>7.1909999999999998</v>
      </c>
    </row>
    <row r="2157" spans="1:9">
      <c r="A2157" t="s">
        <v>104</v>
      </c>
      <c r="B2157" t="s">
        <v>105</v>
      </c>
      <c r="C2157" t="s">
        <v>107</v>
      </c>
      <c r="D2157" t="s">
        <v>107</v>
      </c>
      <c r="E2157" t="s">
        <v>107</v>
      </c>
      <c r="F2157" t="s">
        <v>5</v>
      </c>
      <c r="G2157" t="s">
        <v>109</v>
      </c>
      <c r="H2157" s="62">
        <v>2054</v>
      </c>
      <c r="I2157">
        <v>20.064499999999999</v>
      </c>
    </row>
    <row r="2158" spans="1:9">
      <c r="A2158" t="s">
        <v>104</v>
      </c>
      <c r="B2158" t="s">
        <v>105</v>
      </c>
      <c r="C2158" t="s">
        <v>107</v>
      </c>
      <c r="D2158" t="s">
        <v>108</v>
      </c>
      <c r="E2158" t="s">
        <v>108</v>
      </c>
      <c r="F2158" t="s">
        <v>5</v>
      </c>
      <c r="G2158" t="s">
        <v>109</v>
      </c>
      <c r="H2158" s="62">
        <v>2054</v>
      </c>
      <c r="I2158">
        <v>4.5199999999999997E-2</v>
      </c>
    </row>
    <row r="2159" spans="1:9">
      <c r="A2159" t="s">
        <v>104</v>
      </c>
      <c r="B2159" t="s">
        <v>105</v>
      </c>
      <c r="C2159" t="s">
        <v>80</v>
      </c>
      <c r="D2159" t="s">
        <v>80</v>
      </c>
      <c r="E2159" t="s">
        <v>80</v>
      </c>
      <c r="F2159" t="s">
        <v>5</v>
      </c>
      <c r="G2159" t="s">
        <v>109</v>
      </c>
      <c r="H2159" s="62">
        <v>2054</v>
      </c>
      <c r="I2159">
        <v>20.019400000000001</v>
      </c>
    </row>
    <row r="2160" spans="1:9">
      <c r="A2160" t="s">
        <v>104</v>
      </c>
      <c r="B2160" t="s">
        <v>105</v>
      </c>
      <c r="C2160" t="s">
        <v>80</v>
      </c>
      <c r="D2160" t="s">
        <v>89</v>
      </c>
      <c r="E2160" t="s">
        <v>90</v>
      </c>
      <c r="F2160" t="s">
        <v>5</v>
      </c>
      <c r="G2160" t="s">
        <v>109</v>
      </c>
      <c r="H2160" s="62">
        <v>2054</v>
      </c>
      <c r="I2160">
        <v>-2.8267000000000002</v>
      </c>
    </row>
    <row r="2161" spans="1:9">
      <c r="A2161" t="s">
        <v>104</v>
      </c>
      <c r="B2161" t="s">
        <v>105</v>
      </c>
      <c r="C2161" t="s">
        <v>80</v>
      </c>
      <c r="D2161" t="s">
        <v>89</v>
      </c>
      <c r="E2161" t="s">
        <v>91</v>
      </c>
      <c r="F2161" t="s">
        <v>5</v>
      </c>
      <c r="G2161" t="s">
        <v>109</v>
      </c>
      <c r="H2161" s="62">
        <v>2054</v>
      </c>
      <c r="I2161">
        <v>1.2622</v>
      </c>
    </row>
    <row r="2162" spans="1:9">
      <c r="A2162" t="s">
        <v>104</v>
      </c>
      <c r="B2162" t="s">
        <v>105</v>
      </c>
      <c r="C2162" t="s">
        <v>80</v>
      </c>
      <c r="D2162" t="s">
        <v>92</v>
      </c>
      <c r="E2162" t="s">
        <v>93</v>
      </c>
      <c r="F2162" t="s">
        <v>5</v>
      </c>
      <c r="G2162" t="s">
        <v>109</v>
      </c>
      <c r="H2162" s="62">
        <v>2054</v>
      </c>
      <c r="I2162">
        <v>-5.2709999999999999</v>
      </c>
    </row>
    <row r="2163" spans="1:9">
      <c r="A2163" t="s">
        <v>104</v>
      </c>
      <c r="B2163" t="s">
        <v>105</v>
      </c>
      <c r="C2163" t="s">
        <v>80</v>
      </c>
      <c r="D2163" t="s">
        <v>92</v>
      </c>
      <c r="E2163" t="s">
        <v>94</v>
      </c>
      <c r="F2163" t="s">
        <v>5</v>
      </c>
      <c r="G2163" t="s">
        <v>109</v>
      </c>
      <c r="H2163" s="62">
        <v>2054</v>
      </c>
      <c r="I2163">
        <v>5.5419</v>
      </c>
    </row>
    <row r="2164" spans="1:9">
      <c r="A2164" t="s">
        <v>104</v>
      </c>
      <c r="B2164" t="s">
        <v>105</v>
      </c>
      <c r="C2164" t="s">
        <v>80</v>
      </c>
      <c r="D2164" t="s">
        <v>92</v>
      </c>
      <c r="E2164" t="s">
        <v>110</v>
      </c>
      <c r="F2164" t="s">
        <v>5</v>
      </c>
      <c r="G2164" t="s">
        <v>109</v>
      </c>
      <c r="H2164" s="62">
        <v>2054</v>
      </c>
      <c r="I2164">
        <v>0</v>
      </c>
    </row>
    <row r="2165" spans="1:9">
      <c r="A2165" t="s">
        <v>104</v>
      </c>
      <c r="B2165" t="s">
        <v>105</v>
      </c>
      <c r="C2165" t="s">
        <v>80</v>
      </c>
      <c r="D2165" t="s">
        <v>92</v>
      </c>
      <c r="E2165" t="s">
        <v>95</v>
      </c>
      <c r="F2165" t="s">
        <v>5</v>
      </c>
      <c r="G2165" t="s">
        <v>109</v>
      </c>
      <c r="H2165" s="62">
        <v>2054</v>
      </c>
      <c r="I2165">
        <v>6.2625999999999999</v>
      </c>
    </row>
    <row r="2166" spans="1:9">
      <c r="A2166" t="s">
        <v>104</v>
      </c>
      <c r="B2166" t="s">
        <v>105</v>
      </c>
      <c r="C2166" t="s">
        <v>80</v>
      </c>
      <c r="D2166" t="s">
        <v>96</v>
      </c>
      <c r="E2166" t="s">
        <v>92</v>
      </c>
      <c r="F2166" t="s">
        <v>5</v>
      </c>
      <c r="G2166" t="s">
        <v>109</v>
      </c>
      <c r="H2166" s="62">
        <v>2054</v>
      </c>
      <c r="I2166">
        <v>2.7442000000000002</v>
      </c>
    </row>
    <row r="2167" spans="1:9">
      <c r="A2167" t="s">
        <v>104</v>
      </c>
      <c r="B2167" t="s">
        <v>105</v>
      </c>
      <c r="C2167" t="s">
        <v>80</v>
      </c>
      <c r="D2167" t="s">
        <v>96</v>
      </c>
      <c r="E2167" t="s">
        <v>89</v>
      </c>
      <c r="F2167" t="s">
        <v>5</v>
      </c>
      <c r="G2167" t="s">
        <v>109</v>
      </c>
      <c r="H2167" s="62">
        <v>2054</v>
      </c>
      <c r="I2167">
        <v>0.62419999999999998</v>
      </c>
    </row>
    <row r="2168" spans="1:9">
      <c r="A2168" t="s">
        <v>104</v>
      </c>
      <c r="B2168" t="s">
        <v>105</v>
      </c>
      <c r="C2168" t="s">
        <v>80</v>
      </c>
      <c r="D2168" t="s">
        <v>97</v>
      </c>
      <c r="E2168" t="s">
        <v>98</v>
      </c>
      <c r="F2168" t="s">
        <v>5</v>
      </c>
      <c r="G2168" t="s">
        <v>109</v>
      </c>
      <c r="H2168" s="62">
        <v>2054</v>
      </c>
      <c r="I2168">
        <v>5.0136000000000003</v>
      </c>
    </row>
    <row r="2169" spans="1:9">
      <c r="A2169" t="s">
        <v>104</v>
      </c>
      <c r="B2169" t="s">
        <v>105</v>
      </c>
      <c r="C2169" t="s">
        <v>80</v>
      </c>
      <c r="D2169" t="s">
        <v>97</v>
      </c>
      <c r="E2169" t="s">
        <v>99</v>
      </c>
      <c r="F2169" t="s">
        <v>5</v>
      </c>
      <c r="G2169" t="s">
        <v>109</v>
      </c>
      <c r="H2169" s="62">
        <v>2054</v>
      </c>
      <c r="I2169">
        <v>8.1199999999999994E-2</v>
      </c>
    </row>
    <row r="2170" spans="1:9">
      <c r="A2170" t="s">
        <v>104</v>
      </c>
      <c r="B2170" t="s">
        <v>105</v>
      </c>
      <c r="C2170" t="s">
        <v>80</v>
      </c>
      <c r="D2170" t="s">
        <v>100</v>
      </c>
      <c r="E2170" t="s">
        <v>101</v>
      </c>
      <c r="F2170" t="s">
        <v>5</v>
      </c>
      <c r="G2170" t="s">
        <v>109</v>
      </c>
      <c r="H2170" s="62">
        <v>2054</v>
      </c>
      <c r="I2170">
        <v>4.2641999999999998</v>
      </c>
    </row>
    <row r="2171" spans="1:9">
      <c r="A2171" t="s">
        <v>104</v>
      </c>
      <c r="B2171" t="s">
        <v>105</v>
      </c>
      <c r="C2171" t="s">
        <v>80</v>
      </c>
      <c r="D2171" t="s">
        <v>100</v>
      </c>
      <c r="E2171" t="s">
        <v>102</v>
      </c>
      <c r="F2171" t="s">
        <v>5</v>
      </c>
      <c r="G2171" t="s">
        <v>109</v>
      </c>
      <c r="H2171" s="62">
        <v>2054</v>
      </c>
      <c r="I2171">
        <v>1.0564</v>
      </c>
    </row>
    <row r="2172" spans="1:9">
      <c r="A2172" t="s">
        <v>104</v>
      </c>
      <c r="B2172" t="s">
        <v>105</v>
      </c>
      <c r="C2172" t="s">
        <v>80</v>
      </c>
      <c r="D2172" t="s">
        <v>100</v>
      </c>
      <c r="E2172" t="s">
        <v>111</v>
      </c>
      <c r="F2172" t="s">
        <v>5</v>
      </c>
      <c r="G2172" t="s">
        <v>109</v>
      </c>
      <c r="H2172" s="62">
        <v>2054</v>
      </c>
      <c r="I2172">
        <v>0</v>
      </c>
    </row>
    <row r="2173" spans="1:9">
      <c r="A2173" t="s">
        <v>104</v>
      </c>
      <c r="B2173" t="s">
        <v>105</v>
      </c>
      <c r="C2173" t="s">
        <v>80</v>
      </c>
      <c r="D2173" t="s">
        <v>100</v>
      </c>
      <c r="E2173" t="s">
        <v>112</v>
      </c>
      <c r="F2173" t="s">
        <v>5</v>
      </c>
      <c r="G2173" t="s">
        <v>109</v>
      </c>
      <c r="H2173" s="62">
        <v>2054</v>
      </c>
      <c r="I2173">
        <v>0</v>
      </c>
    </row>
    <row r="2174" spans="1:9">
      <c r="A2174" t="s">
        <v>104</v>
      </c>
      <c r="B2174" t="s">
        <v>105</v>
      </c>
      <c r="C2174" t="s">
        <v>80</v>
      </c>
      <c r="D2174" t="s">
        <v>83</v>
      </c>
      <c r="E2174" t="s">
        <v>84</v>
      </c>
      <c r="F2174" t="s">
        <v>5</v>
      </c>
      <c r="G2174" t="s">
        <v>109</v>
      </c>
      <c r="H2174" s="62">
        <v>2054</v>
      </c>
      <c r="I2174">
        <v>0.64390000000000003</v>
      </c>
    </row>
    <row r="2175" spans="1:9">
      <c r="A2175" t="s">
        <v>104</v>
      </c>
      <c r="B2175" t="s">
        <v>105</v>
      </c>
      <c r="C2175" t="s">
        <v>80</v>
      </c>
      <c r="D2175" t="s">
        <v>83</v>
      </c>
      <c r="E2175" t="s">
        <v>85</v>
      </c>
      <c r="F2175" t="s">
        <v>5</v>
      </c>
      <c r="G2175" t="s">
        <v>109</v>
      </c>
      <c r="H2175" s="62">
        <v>2054</v>
      </c>
      <c r="I2175">
        <v>0.62260000000000004</v>
      </c>
    </row>
    <row r="2176" spans="1:9">
      <c r="A2176" t="s">
        <v>104</v>
      </c>
      <c r="B2176" t="s">
        <v>105</v>
      </c>
      <c r="C2176" t="s">
        <v>80</v>
      </c>
      <c r="D2176" t="s">
        <v>86</v>
      </c>
      <c r="E2176" t="s">
        <v>106</v>
      </c>
      <c r="F2176" t="s">
        <v>5</v>
      </c>
      <c r="G2176" t="s">
        <v>109</v>
      </c>
      <c r="H2176" s="62">
        <v>2054</v>
      </c>
      <c r="I2176">
        <v>4.6699999999999998E-2</v>
      </c>
    </row>
    <row r="2177" spans="1:9">
      <c r="A2177" t="s">
        <v>104</v>
      </c>
      <c r="B2177" t="s">
        <v>105</v>
      </c>
      <c r="C2177" t="s">
        <v>80</v>
      </c>
      <c r="D2177" t="s">
        <v>86</v>
      </c>
      <c r="E2177" t="s">
        <v>87</v>
      </c>
      <c r="F2177" t="s">
        <v>5</v>
      </c>
      <c r="G2177" t="s">
        <v>109</v>
      </c>
      <c r="H2177" s="62">
        <v>2054</v>
      </c>
      <c r="I2177">
        <v>3.9621</v>
      </c>
    </row>
    <row r="2178" spans="1:9">
      <c r="A2178" t="s">
        <v>104</v>
      </c>
      <c r="B2178" t="s">
        <v>105</v>
      </c>
      <c r="C2178" t="s">
        <v>80</v>
      </c>
      <c r="D2178" t="s">
        <v>103</v>
      </c>
      <c r="E2178" t="s">
        <v>92</v>
      </c>
      <c r="F2178" t="s">
        <v>5</v>
      </c>
      <c r="G2178" t="s">
        <v>109</v>
      </c>
      <c r="H2178" s="62">
        <v>2054</v>
      </c>
      <c r="I2178">
        <v>1.7226999999999999</v>
      </c>
    </row>
    <row r="2179" spans="1:9">
      <c r="A2179" t="s">
        <v>104</v>
      </c>
      <c r="B2179" t="s">
        <v>105</v>
      </c>
      <c r="C2179" t="s">
        <v>80</v>
      </c>
      <c r="D2179" t="s">
        <v>103</v>
      </c>
      <c r="E2179" t="s">
        <v>89</v>
      </c>
      <c r="F2179" t="s">
        <v>5</v>
      </c>
      <c r="G2179" t="s">
        <v>109</v>
      </c>
      <c r="H2179" s="62">
        <v>2054</v>
      </c>
      <c r="I2179">
        <v>7.2850999999999999</v>
      </c>
    </row>
    <row r="2180" spans="1:9">
      <c r="A2180" t="s">
        <v>104</v>
      </c>
      <c r="B2180" t="s">
        <v>105</v>
      </c>
      <c r="C2180" t="s">
        <v>107</v>
      </c>
      <c r="D2180" t="s">
        <v>108</v>
      </c>
      <c r="E2180" t="s">
        <v>108</v>
      </c>
      <c r="F2180" t="s">
        <v>6</v>
      </c>
      <c r="G2180" t="s">
        <v>82</v>
      </c>
      <c r="H2180" s="62">
        <v>2019</v>
      </c>
      <c r="I2180">
        <v>0.1021</v>
      </c>
    </row>
    <row r="2181" spans="1:9">
      <c r="A2181" t="s">
        <v>104</v>
      </c>
      <c r="B2181" t="s">
        <v>105</v>
      </c>
      <c r="C2181" t="s">
        <v>80</v>
      </c>
      <c r="D2181" t="s">
        <v>80</v>
      </c>
      <c r="E2181" t="s">
        <v>80</v>
      </c>
      <c r="F2181" t="s">
        <v>6</v>
      </c>
      <c r="G2181" t="s">
        <v>82</v>
      </c>
      <c r="H2181" s="62">
        <v>2019</v>
      </c>
      <c r="I2181">
        <v>10.2668</v>
      </c>
    </row>
    <row r="2182" spans="1:9">
      <c r="A2182" t="s">
        <v>104</v>
      </c>
      <c r="B2182" t="s">
        <v>105</v>
      </c>
      <c r="C2182" t="s">
        <v>80</v>
      </c>
      <c r="D2182" t="s">
        <v>83</v>
      </c>
      <c r="E2182" t="s">
        <v>84</v>
      </c>
      <c r="F2182" t="s">
        <v>6</v>
      </c>
      <c r="G2182" t="s">
        <v>82</v>
      </c>
      <c r="H2182" s="62">
        <v>2019</v>
      </c>
      <c r="I2182">
        <v>0.1915</v>
      </c>
    </row>
    <row r="2183" spans="1:9">
      <c r="A2183" t="s">
        <v>104</v>
      </c>
      <c r="B2183" t="s">
        <v>105</v>
      </c>
      <c r="C2183" t="s">
        <v>80</v>
      </c>
      <c r="D2183" t="s">
        <v>83</v>
      </c>
      <c r="E2183" t="s">
        <v>85</v>
      </c>
      <c r="F2183" t="s">
        <v>6</v>
      </c>
      <c r="G2183" t="s">
        <v>82</v>
      </c>
      <c r="H2183" s="62">
        <v>2019</v>
      </c>
      <c r="I2183">
        <v>0.28860000000000002</v>
      </c>
    </row>
    <row r="2184" spans="1:9">
      <c r="A2184" t="s">
        <v>104</v>
      </c>
      <c r="B2184" t="s">
        <v>105</v>
      </c>
      <c r="C2184" t="s">
        <v>80</v>
      </c>
      <c r="D2184" t="s">
        <v>86</v>
      </c>
      <c r="E2184" t="s">
        <v>106</v>
      </c>
      <c r="F2184" t="s">
        <v>6</v>
      </c>
      <c r="G2184" t="s">
        <v>82</v>
      </c>
      <c r="H2184" s="62">
        <v>2019</v>
      </c>
      <c r="I2184">
        <v>0.41299999999999998</v>
      </c>
    </row>
    <row r="2185" spans="1:9">
      <c r="A2185" t="s">
        <v>104</v>
      </c>
      <c r="B2185" t="s">
        <v>105</v>
      </c>
      <c r="C2185" t="s">
        <v>80</v>
      </c>
      <c r="D2185" t="s">
        <v>86</v>
      </c>
      <c r="E2185" t="s">
        <v>87</v>
      </c>
      <c r="F2185" t="s">
        <v>6</v>
      </c>
      <c r="G2185" t="s">
        <v>82</v>
      </c>
      <c r="H2185" s="62">
        <v>2019</v>
      </c>
      <c r="I2185">
        <v>2.8E-3</v>
      </c>
    </row>
    <row r="2186" spans="1:9">
      <c r="A2186" t="s">
        <v>104</v>
      </c>
      <c r="B2186" t="s">
        <v>105</v>
      </c>
      <c r="C2186" t="s">
        <v>107</v>
      </c>
      <c r="D2186" t="s">
        <v>108</v>
      </c>
      <c r="E2186" t="s">
        <v>108</v>
      </c>
      <c r="F2186" t="s">
        <v>6</v>
      </c>
      <c r="G2186" t="s">
        <v>82</v>
      </c>
      <c r="H2186" s="62">
        <v>2020</v>
      </c>
      <c r="I2186">
        <v>9.8100000000000007E-2</v>
      </c>
    </row>
    <row r="2187" spans="1:9">
      <c r="A2187" t="s">
        <v>104</v>
      </c>
      <c r="B2187" t="s">
        <v>105</v>
      </c>
      <c r="C2187" t="s">
        <v>80</v>
      </c>
      <c r="D2187" t="s">
        <v>80</v>
      </c>
      <c r="E2187" t="s">
        <v>80</v>
      </c>
      <c r="F2187" t="s">
        <v>6</v>
      </c>
      <c r="G2187" t="s">
        <v>82</v>
      </c>
      <c r="H2187" s="62">
        <v>2020</v>
      </c>
      <c r="I2187">
        <v>9.9589999999999996</v>
      </c>
    </row>
    <row r="2188" spans="1:9">
      <c r="A2188" t="s">
        <v>104</v>
      </c>
      <c r="B2188" t="s">
        <v>105</v>
      </c>
      <c r="C2188" t="s">
        <v>80</v>
      </c>
      <c r="D2188" t="s">
        <v>83</v>
      </c>
      <c r="E2188" t="s">
        <v>84</v>
      </c>
      <c r="F2188" t="s">
        <v>6</v>
      </c>
      <c r="G2188" t="s">
        <v>82</v>
      </c>
      <c r="H2188" s="62">
        <v>2020</v>
      </c>
      <c r="I2188">
        <v>0.2354</v>
      </c>
    </row>
    <row r="2189" spans="1:9">
      <c r="A2189" t="s">
        <v>104</v>
      </c>
      <c r="B2189" t="s">
        <v>105</v>
      </c>
      <c r="C2189" t="s">
        <v>80</v>
      </c>
      <c r="D2189" t="s">
        <v>83</v>
      </c>
      <c r="E2189" t="s">
        <v>85</v>
      </c>
      <c r="F2189" t="s">
        <v>6</v>
      </c>
      <c r="G2189" t="s">
        <v>82</v>
      </c>
      <c r="H2189" s="62">
        <v>2020</v>
      </c>
      <c r="I2189">
        <v>0.27729999999999999</v>
      </c>
    </row>
    <row r="2190" spans="1:9">
      <c r="A2190" t="s">
        <v>104</v>
      </c>
      <c r="B2190" t="s">
        <v>105</v>
      </c>
      <c r="C2190" t="s">
        <v>80</v>
      </c>
      <c r="D2190" t="s">
        <v>86</v>
      </c>
      <c r="E2190" t="s">
        <v>106</v>
      </c>
      <c r="F2190" t="s">
        <v>6</v>
      </c>
      <c r="G2190" t="s">
        <v>82</v>
      </c>
      <c r="H2190" s="62">
        <v>2020</v>
      </c>
      <c r="I2190">
        <v>0.57830000000000004</v>
      </c>
    </row>
    <row r="2191" spans="1:9">
      <c r="A2191" t="s">
        <v>104</v>
      </c>
      <c r="B2191" t="s">
        <v>105</v>
      </c>
      <c r="C2191" t="s">
        <v>80</v>
      </c>
      <c r="D2191" t="s">
        <v>86</v>
      </c>
      <c r="E2191" t="s">
        <v>87</v>
      </c>
      <c r="F2191" t="s">
        <v>6</v>
      </c>
      <c r="G2191" t="s">
        <v>82</v>
      </c>
      <c r="H2191" s="62">
        <v>2020</v>
      </c>
      <c r="I2191">
        <v>3.3E-3</v>
      </c>
    </row>
    <row r="2192" spans="1:9">
      <c r="A2192" t="s">
        <v>104</v>
      </c>
      <c r="B2192" t="s">
        <v>105</v>
      </c>
      <c r="C2192" t="s">
        <v>107</v>
      </c>
      <c r="D2192" t="s">
        <v>108</v>
      </c>
      <c r="E2192" t="s">
        <v>108</v>
      </c>
      <c r="F2192" t="s">
        <v>6</v>
      </c>
      <c r="G2192" t="s">
        <v>82</v>
      </c>
      <c r="H2192" s="62">
        <v>2021</v>
      </c>
      <c r="I2192">
        <v>8.6199999999999999E-2</v>
      </c>
    </row>
    <row r="2193" spans="1:9">
      <c r="A2193" t="s">
        <v>104</v>
      </c>
      <c r="B2193" t="s">
        <v>105</v>
      </c>
      <c r="C2193" t="s">
        <v>80</v>
      </c>
      <c r="D2193" t="s">
        <v>80</v>
      </c>
      <c r="E2193" t="s">
        <v>80</v>
      </c>
      <c r="F2193" t="s">
        <v>6</v>
      </c>
      <c r="G2193" t="s">
        <v>82</v>
      </c>
      <c r="H2193" s="62">
        <v>2021</v>
      </c>
      <c r="I2193">
        <v>10.102</v>
      </c>
    </row>
    <row r="2194" spans="1:9">
      <c r="A2194" t="s">
        <v>104</v>
      </c>
      <c r="B2194" t="s">
        <v>105</v>
      </c>
      <c r="C2194" t="s">
        <v>80</v>
      </c>
      <c r="D2194" t="s">
        <v>83</v>
      </c>
      <c r="E2194" t="s">
        <v>84</v>
      </c>
      <c r="F2194" t="s">
        <v>6</v>
      </c>
      <c r="G2194" t="s">
        <v>82</v>
      </c>
      <c r="H2194" s="62">
        <v>2021</v>
      </c>
      <c r="I2194">
        <v>0.13980000000000001</v>
      </c>
    </row>
    <row r="2195" spans="1:9">
      <c r="A2195" t="s">
        <v>104</v>
      </c>
      <c r="B2195" t="s">
        <v>105</v>
      </c>
      <c r="C2195" t="s">
        <v>80</v>
      </c>
      <c r="D2195" t="s">
        <v>83</v>
      </c>
      <c r="E2195" t="s">
        <v>85</v>
      </c>
      <c r="F2195" t="s">
        <v>6</v>
      </c>
      <c r="G2195" t="s">
        <v>82</v>
      </c>
      <c r="H2195" s="62">
        <v>2021</v>
      </c>
      <c r="I2195">
        <v>0.28670000000000001</v>
      </c>
    </row>
    <row r="2196" spans="1:9">
      <c r="A2196" t="s">
        <v>104</v>
      </c>
      <c r="B2196" t="s">
        <v>105</v>
      </c>
      <c r="C2196" t="s">
        <v>80</v>
      </c>
      <c r="D2196" t="s">
        <v>86</v>
      </c>
      <c r="E2196" t="s">
        <v>106</v>
      </c>
      <c r="F2196" t="s">
        <v>6</v>
      </c>
      <c r="G2196" t="s">
        <v>82</v>
      </c>
      <c r="H2196" s="62">
        <v>2021</v>
      </c>
      <c r="I2196">
        <v>0.49719999999999998</v>
      </c>
    </row>
    <row r="2197" spans="1:9">
      <c r="A2197" t="s">
        <v>104</v>
      </c>
      <c r="B2197" t="s">
        <v>105</v>
      </c>
      <c r="C2197" t="s">
        <v>80</v>
      </c>
      <c r="D2197" t="s">
        <v>86</v>
      </c>
      <c r="E2197" t="s">
        <v>87</v>
      </c>
      <c r="F2197" t="s">
        <v>6</v>
      </c>
      <c r="G2197" t="s">
        <v>82</v>
      </c>
      <c r="H2197" s="62">
        <v>2021</v>
      </c>
      <c r="I2197">
        <v>3.8999999999999998E-3</v>
      </c>
    </row>
    <row r="2198" spans="1:9">
      <c r="A2198" t="s">
        <v>104</v>
      </c>
      <c r="B2198" t="s">
        <v>105</v>
      </c>
      <c r="C2198" t="s">
        <v>107</v>
      </c>
      <c r="D2198" t="s">
        <v>108</v>
      </c>
      <c r="E2198" t="s">
        <v>108</v>
      </c>
      <c r="F2198" t="s">
        <v>6</v>
      </c>
      <c r="G2198" t="s">
        <v>82</v>
      </c>
      <c r="H2198" s="62">
        <v>2022</v>
      </c>
      <c r="I2198">
        <v>0.10009999999999999</v>
      </c>
    </row>
    <row r="2199" spans="1:9">
      <c r="A2199" t="s">
        <v>104</v>
      </c>
      <c r="B2199" t="s">
        <v>105</v>
      </c>
      <c r="C2199" t="s">
        <v>80</v>
      </c>
      <c r="D2199" t="s">
        <v>80</v>
      </c>
      <c r="E2199" t="s">
        <v>80</v>
      </c>
      <c r="F2199" t="s">
        <v>6</v>
      </c>
      <c r="G2199" t="s">
        <v>82</v>
      </c>
      <c r="H2199" s="62">
        <v>2022</v>
      </c>
      <c r="I2199">
        <v>10.4922</v>
      </c>
    </row>
    <row r="2200" spans="1:9">
      <c r="A2200" t="s">
        <v>104</v>
      </c>
      <c r="B2200" t="s">
        <v>105</v>
      </c>
      <c r="C2200" t="s">
        <v>80</v>
      </c>
      <c r="D2200" t="s">
        <v>83</v>
      </c>
      <c r="E2200" t="s">
        <v>84</v>
      </c>
      <c r="F2200" t="s">
        <v>6</v>
      </c>
      <c r="G2200" t="s">
        <v>82</v>
      </c>
      <c r="H2200" s="62">
        <v>2022</v>
      </c>
      <c r="I2200">
        <v>0.20610000000000001</v>
      </c>
    </row>
    <row r="2201" spans="1:9">
      <c r="A2201" t="s">
        <v>104</v>
      </c>
      <c r="B2201" t="s">
        <v>105</v>
      </c>
      <c r="C2201" t="s">
        <v>80</v>
      </c>
      <c r="D2201" t="s">
        <v>83</v>
      </c>
      <c r="E2201" t="s">
        <v>85</v>
      </c>
      <c r="F2201" t="s">
        <v>6</v>
      </c>
      <c r="G2201" t="s">
        <v>82</v>
      </c>
      <c r="H2201" s="62">
        <v>2022</v>
      </c>
      <c r="I2201">
        <v>0.26519999999999999</v>
      </c>
    </row>
    <row r="2202" spans="1:9">
      <c r="A2202" t="s">
        <v>104</v>
      </c>
      <c r="B2202" t="s">
        <v>105</v>
      </c>
      <c r="C2202" t="s">
        <v>80</v>
      </c>
      <c r="D2202" t="s">
        <v>86</v>
      </c>
      <c r="E2202" t="s">
        <v>106</v>
      </c>
      <c r="F2202" t="s">
        <v>6</v>
      </c>
      <c r="G2202" t="s">
        <v>82</v>
      </c>
      <c r="H2202" s="62">
        <v>2022</v>
      </c>
      <c r="I2202">
        <v>0.52880000000000005</v>
      </c>
    </row>
    <row r="2203" spans="1:9">
      <c r="A2203" t="s">
        <v>104</v>
      </c>
      <c r="B2203" t="s">
        <v>105</v>
      </c>
      <c r="C2203" t="s">
        <v>80</v>
      </c>
      <c r="D2203" t="s">
        <v>86</v>
      </c>
      <c r="E2203" t="s">
        <v>87</v>
      </c>
      <c r="F2203" t="s">
        <v>6</v>
      </c>
      <c r="G2203" t="s">
        <v>82</v>
      </c>
      <c r="H2203" s="62">
        <v>2022</v>
      </c>
      <c r="I2203">
        <v>4.7999999999999996E-3</v>
      </c>
    </row>
    <row r="2204" spans="1:9">
      <c r="A2204" t="s">
        <v>104</v>
      </c>
      <c r="B2204" t="s">
        <v>105</v>
      </c>
      <c r="C2204" t="s">
        <v>107</v>
      </c>
      <c r="D2204" t="s">
        <v>108</v>
      </c>
      <c r="E2204" t="s">
        <v>108</v>
      </c>
      <c r="F2204" t="s">
        <v>6</v>
      </c>
      <c r="G2204" t="s">
        <v>82</v>
      </c>
      <c r="H2204" s="62">
        <v>2023</v>
      </c>
      <c r="I2204">
        <v>8.6900000000000005E-2</v>
      </c>
    </row>
    <row r="2205" spans="1:9">
      <c r="A2205" t="s">
        <v>104</v>
      </c>
      <c r="B2205" t="s">
        <v>105</v>
      </c>
      <c r="C2205" t="s">
        <v>80</v>
      </c>
      <c r="D2205" t="s">
        <v>80</v>
      </c>
      <c r="E2205" t="s">
        <v>80</v>
      </c>
      <c r="F2205" t="s">
        <v>6</v>
      </c>
      <c r="G2205" t="s">
        <v>82</v>
      </c>
      <c r="H2205" s="62">
        <v>2023</v>
      </c>
      <c r="I2205">
        <v>10.467700000000001</v>
      </c>
    </row>
    <row r="2206" spans="1:9">
      <c r="A2206" t="s">
        <v>104</v>
      </c>
      <c r="B2206" t="s">
        <v>105</v>
      </c>
      <c r="C2206" t="s">
        <v>80</v>
      </c>
      <c r="D2206" t="s">
        <v>83</v>
      </c>
      <c r="E2206" t="s">
        <v>84</v>
      </c>
      <c r="F2206" t="s">
        <v>6</v>
      </c>
      <c r="G2206" t="s">
        <v>82</v>
      </c>
      <c r="H2206" s="62">
        <v>2023</v>
      </c>
      <c r="I2206">
        <v>0.1666</v>
      </c>
    </row>
    <row r="2207" spans="1:9">
      <c r="A2207" t="s">
        <v>104</v>
      </c>
      <c r="B2207" t="s">
        <v>105</v>
      </c>
      <c r="C2207" t="s">
        <v>80</v>
      </c>
      <c r="D2207" t="s">
        <v>83</v>
      </c>
      <c r="E2207" t="s">
        <v>85</v>
      </c>
      <c r="F2207" t="s">
        <v>6</v>
      </c>
      <c r="G2207" t="s">
        <v>82</v>
      </c>
      <c r="H2207" s="62">
        <v>2023</v>
      </c>
      <c r="I2207">
        <v>0.26379999999999998</v>
      </c>
    </row>
    <row r="2208" spans="1:9">
      <c r="A2208" t="s">
        <v>104</v>
      </c>
      <c r="B2208" t="s">
        <v>105</v>
      </c>
      <c r="C2208" t="s">
        <v>80</v>
      </c>
      <c r="D2208" t="s">
        <v>86</v>
      </c>
      <c r="E2208" t="s">
        <v>106</v>
      </c>
      <c r="F2208" t="s">
        <v>6</v>
      </c>
      <c r="G2208" t="s">
        <v>82</v>
      </c>
      <c r="H2208" s="62">
        <v>2023</v>
      </c>
      <c r="I2208">
        <v>0.44219999999999998</v>
      </c>
    </row>
    <row r="2209" spans="1:9">
      <c r="A2209" t="s">
        <v>104</v>
      </c>
      <c r="B2209" t="s">
        <v>105</v>
      </c>
      <c r="C2209" t="s">
        <v>80</v>
      </c>
      <c r="D2209" t="s">
        <v>86</v>
      </c>
      <c r="E2209" t="s">
        <v>87</v>
      </c>
      <c r="F2209" t="s">
        <v>6</v>
      </c>
      <c r="G2209" t="s">
        <v>82</v>
      </c>
      <c r="H2209" s="62">
        <v>2023</v>
      </c>
      <c r="I2209">
        <v>6.0000000000000001E-3</v>
      </c>
    </row>
    <row r="2210" spans="1:9">
      <c r="A2210" t="s">
        <v>104</v>
      </c>
      <c r="B2210" t="s">
        <v>105</v>
      </c>
      <c r="C2210" t="s">
        <v>107</v>
      </c>
      <c r="D2210" t="s">
        <v>108</v>
      </c>
      <c r="E2210" t="s">
        <v>108</v>
      </c>
      <c r="F2210" t="s">
        <v>6</v>
      </c>
      <c r="G2210" t="s">
        <v>82</v>
      </c>
      <c r="H2210" s="62">
        <v>2024</v>
      </c>
      <c r="I2210">
        <v>8.4400000000000003E-2</v>
      </c>
    </row>
    <row r="2211" spans="1:9">
      <c r="A2211" t="s">
        <v>104</v>
      </c>
      <c r="B2211" t="s">
        <v>105</v>
      </c>
      <c r="C2211" t="s">
        <v>80</v>
      </c>
      <c r="D2211" t="s">
        <v>80</v>
      </c>
      <c r="E2211" t="s">
        <v>80</v>
      </c>
      <c r="F2211" t="s">
        <v>6</v>
      </c>
      <c r="G2211" t="s">
        <v>82</v>
      </c>
      <c r="H2211" s="62">
        <v>2024</v>
      </c>
      <c r="I2211">
        <v>10.180400000000001</v>
      </c>
    </row>
    <row r="2212" spans="1:9">
      <c r="A2212" t="s">
        <v>104</v>
      </c>
      <c r="B2212" t="s">
        <v>105</v>
      </c>
      <c r="C2212" t="s">
        <v>80</v>
      </c>
      <c r="D2212" t="s">
        <v>83</v>
      </c>
      <c r="E2212" t="s">
        <v>84</v>
      </c>
      <c r="F2212" t="s">
        <v>6</v>
      </c>
      <c r="G2212" t="s">
        <v>82</v>
      </c>
      <c r="H2212" s="62">
        <v>2024</v>
      </c>
      <c r="I2212">
        <v>0.16220000000000001</v>
      </c>
    </row>
    <row r="2213" spans="1:9">
      <c r="A2213" t="s">
        <v>104</v>
      </c>
      <c r="B2213" t="s">
        <v>105</v>
      </c>
      <c r="C2213" t="s">
        <v>80</v>
      </c>
      <c r="D2213" t="s">
        <v>83</v>
      </c>
      <c r="E2213" t="s">
        <v>85</v>
      </c>
      <c r="F2213" t="s">
        <v>6</v>
      </c>
      <c r="G2213" t="s">
        <v>82</v>
      </c>
      <c r="H2213" s="62">
        <v>2024</v>
      </c>
      <c r="I2213">
        <v>0.25640000000000002</v>
      </c>
    </row>
    <row r="2214" spans="1:9">
      <c r="A2214" t="s">
        <v>104</v>
      </c>
      <c r="B2214" t="s">
        <v>105</v>
      </c>
      <c r="C2214" t="s">
        <v>80</v>
      </c>
      <c r="D2214" t="s">
        <v>86</v>
      </c>
      <c r="E2214" t="s">
        <v>106</v>
      </c>
      <c r="F2214" t="s">
        <v>6</v>
      </c>
      <c r="G2214" t="s">
        <v>82</v>
      </c>
      <c r="H2214" s="62">
        <v>2024</v>
      </c>
      <c r="I2214">
        <v>0.41710000000000003</v>
      </c>
    </row>
    <row r="2215" spans="1:9">
      <c r="A2215" t="s">
        <v>104</v>
      </c>
      <c r="B2215" t="s">
        <v>105</v>
      </c>
      <c r="C2215" t="s">
        <v>80</v>
      </c>
      <c r="D2215" t="s">
        <v>86</v>
      </c>
      <c r="E2215" t="s">
        <v>87</v>
      </c>
      <c r="F2215" t="s">
        <v>6</v>
      </c>
      <c r="G2215" t="s">
        <v>82</v>
      </c>
      <c r="H2215" s="62">
        <v>2024</v>
      </c>
      <c r="I2215">
        <v>1.67E-2</v>
      </c>
    </row>
    <row r="2216" spans="1:9">
      <c r="A2216" t="s">
        <v>104</v>
      </c>
      <c r="B2216" t="s">
        <v>105</v>
      </c>
      <c r="C2216" t="s">
        <v>107</v>
      </c>
      <c r="D2216" t="s">
        <v>107</v>
      </c>
      <c r="E2216" t="s">
        <v>107</v>
      </c>
      <c r="F2216" t="s">
        <v>6</v>
      </c>
      <c r="G2216" t="s">
        <v>109</v>
      </c>
      <c r="H2216" s="62">
        <v>2025</v>
      </c>
      <c r="I2216">
        <v>10.5337</v>
      </c>
    </row>
    <row r="2217" spans="1:9">
      <c r="A2217" t="s">
        <v>104</v>
      </c>
      <c r="B2217" t="s">
        <v>105</v>
      </c>
      <c r="C2217" t="s">
        <v>107</v>
      </c>
      <c r="D2217" t="s">
        <v>108</v>
      </c>
      <c r="E2217" t="s">
        <v>108</v>
      </c>
      <c r="F2217" t="s">
        <v>6</v>
      </c>
      <c r="G2217" t="s">
        <v>109</v>
      </c>
      <c r="H2217" s="62">
        <v>2025</v>
      </c>
      <c r="I2217">
        <v>8.9200000000000002E-2</v>
      </c>
    </row>
    <row r="2218" spans="1:9">
      <c r="A2218" t="s">
        <v>104</v>
      </c>
      <c r="B2218" t="s">
        <v>105</v>
      </c>
      <c r="C2218" t="s">
        <v>80</v>
      </c>
      <c r="D2218" t="s">
        <v>80</v>
      </c>
      <c r="E2218" t="s">
        <v>80</v>
      </c>
      <c r="F2218" t="s">
        <v>6</v>
      </c>
      <c r="G2218" t="s">
        <v>109</v>
      </c>
      <c r="H2218" s="62">
        <v>2025</v>
      </c>
      <c r="I2218">
        <v>10.4445</v>
      </c>
    </row>
    <row r="2219" spans="1:9">
      <c r="A2219" t="s">
        <v>104</v>
      </c>
      <c r="B2219" t="s">
        <v>105</v>
      </c>
      <c r="C2219" t="s">
        <v>80</v>
      </c>
      <c r="D2219" t="s">
        <v>89</v>
      </c>
      <c r="E2219" t="s">
        <v>90</v>
      </c>
      <c r="F2219" t="s">
        <v>6</v>
      </c>
      <c r="G2219" t="s">
        <v>109</v>
      </c>
      <c r="H2219" s="62">
        <v>2025</v>
      </c>
      <c r="I2219">
        <v>1.8261000000000001</v>
      </c>
    </row>
    <row r="2220" spans="1:9">
      <c r="A2220" t="s">
        <v>104</v>
      </c>
      <c r="B2220" t="s">
        <v>105</v>
      </c>
      <c r="C2220" t="s">
        <v>80</v>
      </c>
      <c r="D2220" t="s">
        <v>89</v>
      </c>
      <c r="E2220" t="s">
        <v>91</v>
      </c>
      <c r="F2220" t="s">
        <v>6</v>
      </c>
      <c r="G2220" t="s">
        <v>109</v>
      </c>
      <c r="H2220" s="62">
        <v>2025</v>
      </c>
      <c r="I2220">
        <v>-8.8400000000000006E-2</v>
      </c>
    </row>
    <row r="2221" spans="1:9">
      <c r="A2221" t="s">
        <v>104</v>
      </c>
      <c r="B2221" t="s">
        <v>105</v>
      </c>
      <c r="C2221" t="s">
        <v>80</v>
      </c>
      <c r="D2221" t="s">
        <v>92</v>
      </c>
      <c r="E2221" t="s">
        <v>93</v>
      </c>
      <c r="F2221" t="s">
        <v>6</v>
      </c>
      <c r="G2221" t="s">
        <v>109</v>
      </c>
      <c r="H2221" s="62">
        <v>2025</v>
      </c>
      <c r="I2221">
        <v>-0.41739999999999999</v>
      </c>
    </row>
    <row r="2222" spans="1:9">
      <c r="A2222" t="s">
        <v>104</v>
      </c>
      <c r="B2222" t="s">
        <v>105</v>
      </c>
      <c r="C2222" t="s">
        <v>80</v>
      </c>
      <c r="D2222" t="s">
        <v>92</v>
      </c>
      <c r="E2222" t="s">
        <v>94</v>
      </c>
      <c r="F2222" t="s">
        <v>6</v>
      </c>
      <c r="G2222" t="s">
        <v>109</v>
      </c>
      <c r="H2222" s="62">
        <v>2025</v>
      </c>
      <c r="I2222">
        <v>2.3109000000000002</v>
      </c>
    </row>
    <row r="2223" spans="1:9">
      <c r="A2223" t="s">
        <v>104</v>
      </c>
      <c r="B2223" t="s">
        <v>105</v>
      </c>
      <c r="C2223" t="s">
        <v>80</v>
      </c>
      <c r="D2223" t="s">
        <v>92</v>
      </c>
      <c r="E2223" t="s">
        <v>110</v>
      </c>
      <c r="F2223" t="s">
        <v>6</v>
      </c>
      <c r="G2223" t="s">
        <v>109</v>
      </c>
      <c r="H2223" s="62">
        <v>2025</v>
      </c>
      <c r="I2223">
        <v>0</v>
      </c>
    </row>
    <row r="2224" spans="1:9">
      <c r="A2224" t="s">
        <v>104</v>
      </c>
      <c r="B2224" t="s">
        <v>105</v>
      </c>
      <c r="C2224" t="s">
        <v>80</v>
      </c>
      <c r="D2224" t="s">
        <v>92</v>
      </c>
      <c r="E2224" t="s">
        <v>95</v>
      </c>
      <c r="F2224" t="s">
        <v>6</v>
      </c>
      <c r="G2224" t="s">
        <v>109</v>
      </c>
      <c r="H2224" s="62">
        <v>2025</v>
      </c>
      <c r="I2224">
        <v>6.3118999999999996</v>
      </c>
    </row>
    <row r="2225" spans="1:9">
      <c r="A2225" t="s">
        <v>104</v>
      </c>
      <c r="B2225" t="s">
        <v>105</v>
      </c>
      <c r="C2225" t="s">
        <v>80</v>
      </c>
      <c r="D2225" t="s">
        <v>96</v>
      </c>
      <c r="E2225" t="s">
        <v>92</v>
      </c>
      <c r="F2225" t="s">
        <v>6</v>
      </c>
      <c r="G2225" t="s">
        <v>109</v>
      </c>
      <c r="H2225" s="62">
        <v>2025</v>
      </c>
      <c r="I2225">
        <v>8.2500000000000004E-2</v>
      </c>
    </row>
    <row r="2226" spans="1:9">
      <c r="A2226" t="s">
        <v>104</v>
      </c>
      <c r="B2226" t="s">
        <v>105</v>
      </c>
      <c r="C2226" t="s">
        <v>80</v>
      </c>
      <c r="D2226" t="s">
        <v>96</v>
      </c>
      <c r="E2226" t="s">
        <v>89</v>
      </c>
      <c r="F2226" t="s">
        <v>6</v>
      </c>
      <c r="G2226" t="s">
        <v>109</v>
      </c>
      <c r="H2226" s="62">
        <v>2025</v>
      </c>
      <c r="I2226">
        <v>1E-4</v>
      </c>
    </row>
    <row r="2227" spans="1:9">
      <c r="A2227" t="s">
        <v>104</v>
      </c>
      <c r="B2227" t="s">
        <v>105</v>
      </c>
      <c r="C2227" t="s">
        <v>80</v>
      </c>
      <c r="D2227" t="s">
        <v>97</v>
      </c>
      <c r="E2227" t="s">
        <v>98</v>
      </c>
      <c r="F2227" t="s">
        <v>6</v>
      </c>
      <c r="G2227" t="s">
        <v>109</v>
      </c>
      <c r="H2227" s="62">
        <v>2025</v>
      </c>
      <c r="I2227">
        <v>1.32E-2</v>
      </c>
    </row>
    <row r="2228" spans="1:9">
      <c r="A2228" t="s">
        <v>104</v>
      </c>
      <c r="B2228" t="s">
        <v>105</v>
      </c>
      <c r="C2228" t="s">
        <v>80</v>
      </c>
      <c r="D2228" t="s">
        <v>97</v>
      </c>
      <c r="E2228" t="s">
        <v>99</v>
      </c>
      <c r="F2228" t="s">
        <v>6</v>
      </c>
      <c r="G2228" t="s">
        <v>109</v>
      </c>
      <c r="H2228" s="62">
        <v>2025</v>
      </c>
      <c r="I2228">
        <v>0</v>
      </c>
    </row>
    <row r="2229" spans="1:9">
      <c r="A2229" t="s">
        <v>104</v>
      </c>
      <c r="B2229" t="s">
        <v>105</v>
      </c>
      <c r="C2229" t="s">
        <v>80</v>
      </c>
      <c r="D2229" t="s">
        <v>100</v>
      </c>
      <c r="E2229" t="s">
        <v>101</v>
      </c>
      <c r="F2229" t="s">
        <v>6</v>
      </c>
      <c r="G2229" t="s">
        <v>109</v>
      </c>
      <c r="H2229" s="62">
        <v>2025</v>
      </c>
      <c r="I2229">
        <v>4.1999999999999997E-3</v>
      </c>
    </row>
    <row r="2230" spans="1:9">
      <c r="A2230" t="s">
        <v>104</v>
      </c>
      <c r="B2230" t="s">
        <v>105</v>
      </c>
      <c r="C2230" t="s">
        <v>80</v>
      </c>
      <c r="D2230" t="s">
        <v>100</v>
      </c>
      <c r="E2230" t="s">
        <v>102</v>
      </c>
      <c r="F2230" t="s">
        <v>6</v>
      </c>
      <c r="G2230" t="s">
        <v>109</v>
      </c>
      <c r="H2230" s="62">
        <v>2025</v>
      </c>
      <c r="I2230">
        <v>0</v>
      </c>
    </row>
    <row r="2231" spans="1:9">
      <c r="A2231" t="s">
        <v>104</v>
      </c>
      <c r="B2231" t="s">
        <v>105</v>
      </c>
      <c r="C2231" t="s">
        <v>80</v>
      </c>
      <c r="D2231" t="s">
        <v>100</v>
      </c>
      <c r="E2231" t="s">
        <v>111</v>
      </c>
      <c r="F2231" t="s">
        <v>6</v>
      </c>
      <c r="G2231" t="s">
        <v>109</v>
      </c>
      <c r="H2231" s="62">
        <v>2025</v>
      </c>
      <c r="I2231">
        <v>0</v>
      </c>
    </row>
    <row r="2232" spans="1:9">
      <c r="A2232" t="s">
        <v>104</v>
      </c>
      <c r="B2232" t="s">
        <v>105</v>
      </c>
      <c r="C2232" t="s">
        <v>80</v>
      </c>
      <c r="D2232" t="s">
        <v>100</v>
      </c>
      <c r="E2232" t="s">
        <v>112</v>
      </c>
      <c r="F2232" t="s">
        <v>6</v>
      </c>
      <c r="G2232" t="s">
        <v>109</v>
      </c>
      <c r="H2232" s="62">
        <v>2025</v>
      </c>
      <c r="I2232">
        <v>0</v>
      </c>
    </row>
    <row r="2233" spans="1:9">
      <c r="A2233" t="s">
        <v>104</v>
      </c>
      <c r="B2233" t="s">
        <v>105</v>
      </c>
      <c r="C2233" t="s">
        <v>80</v>
      </c>
      <c r="D2233" t="s">
        <v>83</v>
      </c>
      <c r="E2233" t="s">
        <v>84</v>
      </c>
      <c r="F2233" t="s">
        <v>6</v>
      </c>
      <c r="G2233" t="s">
        <v>109</v>
      </c>
      <c r="H2233" s="62">
        <v>2025</v>
      </c>
      <c r="I2233">
        <v>0.13880000000000001</v>
      </c>
    </row>
    <row r="2234" spans="1:9">
      <c r="A2234" t="s">
        <v>104</v>
      </c>
      <c r="B2234" t="s">
        <v>105</v>
      </c>
      <c r="C2234" t="s">
        <v>80</v>
      </c>
      <c r="D2234" t="s">
        <v>83</v>
      </c>
      <c r="E2234" t="s">
        <v>85</v>
      </c>
      <c r="F2234" t="s">
        <v>6</v>
      </c>
      <c r="G2234" t="s">
        <v>109</v>
      </c>
      <c r="H2234" s="62">
        <v>2025</v>
      </c>
      <c r="I2234">
        <v>0.2626</v>
      </c>
    </row>
    <row r="2235" spans="1:9">
      <c r="A2235" t="s">
        <v>104</v>
      </c>
      <c r="B2235" t="s">
        <v>105</v>
      </c>
      <c r="C2235" t="s">
        <v>80</v>
      </c>
      <c r="D2235" t="s">
        <v>86</v>
      </c>
      <c r="E2235" t="s">
        <v>106</v>
      </c>
      <c r="F2235" t="s">
        <v>6</v>
      </c>
      <c r="G2235" t="s">
        <v>109</v>
      </c>
      <c r="H2235" s="62">
        <v>2025</v>
      </c>
      <c r="I2235">
        <v>0.47720000000000001</v>
      </c>
    </row>
    <row r="2236" spans="1:9">
      <c r="A2236" t="s">
        <v>104</v>
      </c>
      <c r="B2236" t="s">
        <v>105</v>
      </c>
      <c r="C2236" t="s">
        <v>80</v>
      </c>
      <c r="D2236" t="s">
        <v>86</v>
      </c>
      <c r="E2236" t="s">
        <v>87</v>
      </c>
      <c r="F2236" t="s">
        <v>6</v>
      </c>
      <c r="G2236" t="s">
        <v>109</v>
      </c>
      <c r="H2236" s="62">
        <v>2025</v>
      </c>
      <c r="I2236">
        <v>2.86E-2</v>
      </c>
    </row>
    <row r="2237" spans="1:9">
      <c r="A2237" t="s">
        <v>104</v>
      </c>
      <c r="B2237" t="s">
        <v>105</v>
      </c>
      <c r="C2237" t="s">
        <v>80</v>
      </c>
      <c r="D2237" t="s">
        <v>103</v>
      </c>
      <c r="E2237" t="s">
        <v>92</v>
      </c>
      <c r="F2237" t="s">
        <v>6</v>
      </c>
      <c r="G2237" t="s">
        <v>109</v>
      </c>
      <c r="H2237" s="62">
        <v>2025</v>
      </c>
      <c r="I2237">
        <v>6.0699999999999997E-2</v>
      </c>
    </row>
    <row r="2238" spans="1:9">
      <c r="A2238" t="s">
        <v>104</v>
      </c>
      <c r="B2238" t="s">
        <v>105</v>
      </c>
      <c r="C2238" t="s">
        <v>80</v>
      </c>
      <c r="D2238" t="s">
        <v>103</v>
      </c>
      <c r="E2238" t="s">
        <v>89</v>
      </c>
      <c r="F2238" t="s">
        <v>6</v>
      </c>
      <c r="G2238" t="s">
        <v>109</v>
      </c>
      <c r="H2238" s="62">
        <v>2025</v>
      </c>
      <c r="I2238">
        <v>0.30640000000000001</v>
      </c>
    </row>
    <row r="2239" spans="1:9">
      <c r="A2239" t="s">
        <v>104</v>
      </c>
      <c r="B2239" t="s">
        <v>105</v>
      </c>
      <c r="C2239" t="s">
        <v>107</v>
      </c>
      <c r="D2239" t="s">
        <v>107</v>
      </c>
      <c r="E2239" t="s">
        <v>107</v>
      </c>
      <c r="F2239" t="s">
        <v>6</v>
      </c>
      <c r="G2239" t="s">
        <v>109</v>
      </c>
      <c r="H2239" s="62">
        <v>2026</v>
      </c>
      <c r="I2239">
        <v>10.566599999999999</v>
      </c>
    </row>
    <row r="2240" spans="1:9">
      <c r="A2240" t="s">
        <v>104</v>
      </c>
      <c r="B2240" t="s">
        <v>105</v>
      </c>
      <c r="C2240" t="s">
        <v>107</v>
      </c>
      <c r="D2240" t="s">
        <v>108</v>
      </c>
      <c r="E2240" t="s">
        <v>108</v>
      </c>
      <c r="F2240" t="s">
        <v>6</v>
      </c>
      <c r="G2240" t="s">
        <v>109</v>
      </c>
      <c r="H2240" s="62">
        <v>2026</v>
      </c>
      <c r="I2240">
        <v>8.7400000000000005E-2</v>
      </c>
    </row>
    <row r="2241" spans="1:9">
      <c r="A2241" t="s">
        <v>104</v>
      </c>
      <c r="B2241" t="s">
        <v>105</v>
      </c>
      <c r="C2241" t="s">
        <v>80</v>
      </c>
      <c r="D2241" t="s">
        <v>80</v>
      </c>
      <c r="E2241" t="s">
        <v>80</v>
      </c>
      <c r="F2241" t="s">
        <v>6</v>
      </c>
      <c r="G2241" t="s">
        <v>109</v>
      </c>
      <c r="H2241" s="62">
        <v>2026</v>
      </c>
      <c r="I2241">
        <v>10.4793</v>
      </c>
    </row>
    <row r="2242" spans="1:9">
      <c r="A2242" t="s">
        <v>104</v>
      </c>
      <c r="B2242" t="s">
        <v>105</v>
      </c>
      <c r="C2242" t="s">
        <v>80</v>
      </c>
      <c r="D2242" t="s">
        <v>89</v>
      </c>
      <c r="E2242" t="s">
        <v>90</v>
      </c>
      <c r="F2242" t="s">
        <v>6</v>
      </c>
      <c r="G2242" t="s">
        <v>109</v>
      </c>
      <c r="H2242" s="62">
        <v>2026</v>
      </c>
      <c r="I2242">
        <v>1.7873000000000001</v>
      </c>
    </row>
    <row r="2243" spans="1:9">
      <c r="A2243" t="s">
        <v>104</v>
      </c>
      <c r="B2243" t="s">
        <v>105</v>
      </c>
      <c r="C2243" t="s">
        <v>80</v>
      </c>
      <c r="D2243" t="s">
        <v>89</v>
      </c>
      <c r="E2243" t="s">
        <v>91</v>
      </c>
      <c r="F2243" t="s">
        <v>6</v>
      </c>
      <c r="G2243" t="s">
        <v>109</v>
      </c>
      <c r="H2243" s="62">
        <v>2026</v>
      </c>
      <c r="I2243">
        <v>-8.8499999999999995E-2</v>
      </c>
    </row>
    <row r="2244" spans="1:9">
      <c r="A2244" t="s">
        <v>104</v>
      </c>
      <c r="B2244" t="s">
        <v>105</v>
      </c>
      <c r="C2244" t="s">
        <v>80</v>
      </c>
      <c r="D2244" t="s">
        <v>92</v>
      </c>
      <c r="E2244" t="s">
        <v>93</v>
      </c>
      <c r="F2244" t="s">
        <v>6</v>
      </c>
      <c r="G2244" t="s">
        <v>109</v>
      </c>
      <c r="H2244" s="62">
        <v>2026</v>
      </c>
      <c r="I2244">
        <v>-0.42599999999999999</v>
      </c>
    </row>
    <row r="2245" spans="1:9">
      <c r="A2245" t="s">
        <v>104</v>
      </c>
      <c r="B2245" t="s">
        <v>105</v>
      </c>
      <c r="C2245" t="s">
        <v>80</v>
      </c>
      <c r="D2245" t="s">
        <v>92</v>
      </c>
      <c r="E2245" t="s">
        <v>94</v>
      </c>
      <c r="F2245" t="s">
        <v>6</v>
      </c>
      <c r="G2245" t="s">
        <v>109</v>
      </c>
      <c r="H2245" s="62">
        <v>2026</v>
      </c>
      <c r="I2245">
        <v>2.3168000000000002</v>
      </c>
    </row>
    <row r="2246" spans="1:9">
      <c r="A2246" t="s">
        <v>104</v>
      </c>
      <c r="B2246" t="s">
        <v>105</v>
      </c>
      <c r="C2246" t="s">
        <v>80</v>
      </c>
      <c r="D2246" t="s">
        <v>92</v>
      </c>
      <c r="E2246" t="s">
        <v>110</v>
      </c>
      <c r="F2246" t="s">
        <v>6</v>
      </c>
      <c r="G2246" t="s">
        <v>109</v>
      </c>
      <c r="H2246" s="62">
        <v>2026</v>
      </c>
      <c r="I2246">
        <v>0</v>
      </c>
    </row>
    <row r="2247" spans="1:9">
      <c r="A2247" t="s">
        <v>104</v>
      </c>
      <c r="B2247" t="s">
        <v>105</v>
      </c>
      <c r="C2247" t="s">
        <v>80</v>
      </c>
      <c r="D2247" t="s">
        <v>92</v>
      </c>
      <c r="E2247" t="s">
        <v>95</v>
      </c>
      <c r="F2247" t="s">
        <v>6</v>
      </c>
      <c r="G2247" t="s">
        <v>109</v>
      </c>
      <c r="H2247" s="62">
        <v>2026</v>
      </c>
      <c r="I2247">
        <v>6.2895000000000003</v>
      </c>
    </row>
    <row r="2248" spans="1:9">
      <c r="A2248" t="s">
        <v>104</v>
      </c>
      <c r="B2248" t="s">
        <v>105</v>
      </c>
      <c r="C2248" t="s">
        <v>80</v>
      </c>
      <c r="D2248" t="s">
        <v>96</v>
      </c>
      <c r="E2248" t="s">
        <v>92</v>
      </c>
      <c r="F2248" t="s">
        <v>6</v>
      </c>
      <c r="G2248" t="s">
        <v>109</v>
      </c>
      <c r="H2248" s="62">
        <v>2026</v>
      </c>
      <c r="I2248">
        <v>0.16889999999999999</v>
      </c>
    </row>
    <row r="2249" spans="1:9">
      <c r="A2249" t="s">
        <v>104</v>
      </c>
      <c r="B2249" t="s">
        <v>105</v>
      </c>
      <c r="C2249" t="s">
        <v>80</v>
      </c>
      <c r="D2249" t="s">
        <v>96</v>
      </c>
      <c r="E2249" t="s">
        <v>89</v>
      </c>
      <c r="F2249" t="s">
        <v>6</v>
      </c>
      <c r="G2249" t="s">
        <v>109</v>
      </c>
      <c r="H2249" s="62">
        <v>2026</v>
      </c>
      <c r="I2249">
        <v>8.9999999999999998E-4</v>
      </c>
    </row>
    <row r="2250" spans="1:9">
      <c r="A2250" t="s">
        <v>104</v>
      </c>
      <c r="B2250" t="s">
        <v>105</v>
      </c>
      <c r="C2250" t="s">
        <v>80</v>
      </c>
      <c r="D2250" t="s">
        <v>97</v>
      </c>
      <c r="E2250" t="s">
        <v>98</v>
      </c>
      <c r="F2250" t="s">
        <v>6</v>
      </c>
      <c r="G2250" t="s">
        <v>109</v>
      </c>
      <c r="H2250" s="62">
        <v>2026</v>
      </c>
      <c r="I2250">
        <v>2.1700000000000001E-2</v>
      </c>
    </row>
    <row r="2251" spans="1:9">
      <c r="A2251" t="s">
        <v>104</v>
      </c>
      <c r="B2251" t="s">
        <v>105</v>
      </c>
      <c r="C2251" t="s">
        <v>80</v>
      </c>
      <c r="D2251" t="s">
        <v>97</v>
      </c>
      <c r="E2251" t="s">
        <v>99</v>
      </c>
      <c r="F2251" t="s">
        <v>6</v>
      </c>
      <c r="G2251" t="s">
        <v>109</v>
      </c>
      <c r="H2251" s="62">
        <v>2026</v>
      </c>
      <c r="I2251">
        <v>0</v>
      </c>
    </row>
    <row r="2252" spans="1:9">
      <c r="A2252" t="s">
        <v>104</v>
      </c>
      <c r="B2252" t="s">
        <v>105</v>
      </c>
      <c r="C2252" t="s">
        <v>80</v>
      </c>
      <c r="D2252" t="s">
        <v>100</v>
      </c>
      <c r="E2252" t="s">
        <v>101</v>
      </c>
      <c r="F2252" t="s">
        <v>6</v>
      </c>
      <c r="G2252" t="s">
        <v>109</v>
      </c>
      <c r="H2252" s="62">
        <v>2026</v>
      </c>
      <c r="I2252">
        <v>4.1000000000000003E-3</v>
      </c>
    </row>
    <row r="2253" spans="1:9">
      <c r="A2253" t="s">
        <v>104</v>
      </c>
      <c r="B2253" t="s">
        <v>105</v>
      </c>
      <c r="C2253" t="s">
        <v>80</v>
      </c>
      <c r="D2253" t="s">
        <v>100</v>
      </c>
      <c r="E2253" t="s">
        <v>102</v>
      </c>
      <c r="F2253" t="s">
        <v>6</v>
      </c>
      <c r="G2253" t="s">
        <v>109</v>
      </c>
      <c r="H2253" s="62">
        <v>2026</v>
      </c>
      <c r="I2253">
        <v>0</v>
      </c>
    </row>
    <row r="2254" spans="1:9">
      <c r="A2254" t="s">
        <v>104</v>
      </c>
      <c r="B2254" t="s">
        <v>105</v>
      </c>
      <c r="C2254" t="s">
        <v>80</v>
      </c>
      <c r="D2254" t="s">
        <v>100</v>
      </c>
      <c r="E2254" t="s">
        <v>111</v>
      </c>
      <c r="F2254" t="s">
        <v>6</v>
      </c>
      <c r="G2254" t="s">
        <v>109</v>
      </c>
      <c r="H2254" s="62">
        <v>2026</v>
      </c>
      <c r="I2254">
        <v>0</v>
      </c>
    </row>
    <row r="2255" spans="1:9">
      <c r="A2255" t="s">
        <v>104</v>
      </c>
      <c r="B2255" t="s">
        <v>105</v>
      </c>
      <c r="C2255" t="s">
        <v>80</v>
      </c>
      <c r="D2255" t="s">
        <v>100</v>
      </c>
      <c r="E2255" t="s">
        <v>112</v>
      </c>
      <c r="F2255" t="s">
        <v>6</v>
      </c>
      <c r="G2255" t="s">
        <v>109</v>
      </c>
      <c r="H2255" s="62">
        <v>2026</v>
      </c>
      <c r="I2255">
        <v>0</v>
      </c>
    </row>
    <row r="2256" spans="1:9">
      <c r="A2256" t="s">
        <v>104</v>
      </c>
      <c r="B2256" t="s">
        <v>105</v>
      </c>
      <c r="C2256" t="s">
        <v>80</v>
      </c>
      <c r="D2256" t="s">
        <v>83</v>
      </c>
      <c r="E2256" t="s">
        <v>84</v>
      </c>
      <c r="F2256" t="s">
        <v>6</v>
      </c>
      <c r="G2256" t="s">
        <v>109</v>
      </c>
      <c r="H2256" s="62">
        <v>2026</v>
      </c>
      <c r="I2256">
        <v>0.1409</v>
      </c>
    </row>
    <row r="2257" spans="1:9">
      <c r="A2257" t="s">
        <v>104</v>
      </c>
      <c r="B2257" t="s">
        <v>105</v>
      </c>
      <c r="C2257" t="s">
        <v>80</v>
      </c>
      <c r="D2257" t="s">
        <v>83</v>
      </c>
      <c r="E2257" t="s">
        <v>85</v>
      </c>
      <c r="F2257" t="s">
        <v>6</v>
      </c>
      <c r="G2257" t="s">
        <v>109</v>
      </c>
      <c r="H2257" s="62">
        <v>2026</v>
      </c>
      <c r="I2257">
        <v>0.2636</v>
      </c>
    </row>
    <row r="2258" spans="1:9">
      <c r="A2258" t="s">
        <v>104</v>
      </c>
      <c r="B2258" t="s">
        <v>105</v>
      </c>
      <c r="C2258" t="s">
        <v>80</v>
      </c>
      <c r="D2258" t="s">
        <v>86</v>
      </c>
      <c r="E2258" t="s">
        <v>106</v>
      </c>
      <c r="F2258" t="s">
        <v>6</v>
      </c>
      <c r="G2258" t="s">
        <v>109</v>
      </c>
      <c r="H2258" s="62">
        <v>2026</v>
      </c>
      <c r="I2258">
        <v>0.48020000000000002</v>
      </c>
    </row>
    <row r="2259" spans="1:9">
      <c r="A2259" t="s">
        <v>104</v>
      </c>
      <c r="B2259" t="s">
        <v>105</v>
      </c>
      <c r="C2259" t="s">
        <v>80</v>
      </c>
      <c r="D2259" t="s">
        <v>86</v>
      </c>
      <c r="E2259" t="s">
        <v>87</v>
      </c>
      <c r="F2259" t="s">
        <v>6</v>
      </c>
      <c r="G2259" t="s">
        <v>109</v>
      </c>
      <c r="H2259" s="62">
        <v>2026</v>
      </c>
      <c r="I2259">
        <v>3.4299999999999997E-2</v>
      </c>
    </row>
    <row r="2260" spans="1:9">
      <c r="A2260" t="s">
        <v>104</v>
      </c>
      <c r="B2260" t="s">
        <v>105</v>
      </c>
      <c r="C2260" t="s">
        <v>80</v>
      </c>
      <c r="D2260" t="s">
        <v>103</v>
      </c>
      <c r="E2260" t="s">
        <v>92</v>
      </c>
      <c r="F2260" t="s">
        <v>6</v>
      </c>
      <c r="G2260" t="s">
        <v>109</v>
      </c>
      <c r="H2260" s="62">
        <v>2026</v>
      </c>
      <c r="I2260">
        <v>6.6699999999999995E-2</v>
      </c>
    </row>
    <row r="2261" spans="1:9">
      <c r="A2261" t="s">
        <v>104</v>
      </c>
      <c r="B2261" t="s">
        <v>105</v>
      </c>
      <c r="C2261" t="s">
        <v>80</v>
      </c>
      <c r="D2261" t="s">
        <v>103</v>
      </c>
      <c r="E2261" t="s">
        <v>89</v>
      </c>
      <c r="F2261" t="s">
        <v>6</v>
      </c>
      <c r="G2261" t="s">
        <v>109</v>
      </c>
      <c r="H2261" s="62">
        <v>2026</v>
      </c>
      <c r="I2261">
        <v>0.34699999999999998</v>
      </c>
    </row>
    <row r="2262" spans="1:9">
      <c r="A2262" t="s">
        <v>104</v>
      </c>
      <c r="B2262" t="s">
        <v>105</v>
      </c>
      <c r="C2262" t="s">
        <v>107</v>
      </c>
      <c r="D2262" t="s">
        <v>107</v>
      </c>
      <c r="E2262" t="s">
        <v>107</v>
      </c>
      <c r="F2262" t="s">
        <v>6</v>
      </c>
      <c r="G2262" t="s">
        <v>109</v>
      </c>
      <c r="H2262" s="62">
        <v>2027</v>
      </c>
      <c r="I2262">
        <v>10.6785</v>
      </c>
    </row>
    <row r="2263" spans="1:9">
      <c r="A2263" t="s">
        <v>104</v>
      </c>
      <c r="B2263" t="s">
        <v>105</v>
      </c>
      <c r="C2263" t="s">
        <v>107</v>
      </c>
      <c r="D2263" t="s">
        <v>108</v>
      </c>
      <c r="E2263" t="s">
        <v>108</v>
      </c>
      <c r="F2263" t="s">
        <v>6</v>
      </c>
      <c r="G2263" t="s">
        <v>109</v>
      </c>
      <c r="H2263" s="62">
        <v>2027</v>
      </c>
      <c r="I2263">
        <v>8.8200000000000001E-2</v>
      </c>
    </row>
    <row r="2264" spans="1:9">
      <c r="A2264" t="s">
        <v>104</v>
      </c>
      <c r="B2264" t="s">
        <v>105</v>
      </c>
      <c r="C2264" t="s">
        <v>80</v>
      </c>
      <c r="D2264" t="s">
        <v>80</v>
      </c>
      <c r="E2264" t="s">
        <v>80</v>
      </c>
      <c r="F2264" t="s">
        <v>6</v>
      </c>
      <c r="G2264" t="s">
        <v>109</v>
      </c>
      <c r="H2264" s="62">
        <v>2027</v>
      </c>
      <c r="I2264">
        <v>10.590400000000001</v>
      </c>
    </row>
    <row r="2265" spans="1:9">
      <c r="A2265" t="s">
        <v>104</v>
      </c>
      <c r="B2265" t="s">
        <v>105</v>
      </c>
      <c r="C2265" t="s">
        <v>80</v>
      </c>
      <c r="D2265" t="s">
        <v>89</v>
      </c>
      <c r="E2265" t="s">
        <v>90</v>
      </c>
      <c r="F2265" t="s">
        <v>6</v>
      </c>
      <c r="G2265" t="s">
        <v>109</v>
      </c>
      <c r="H2265" s="62">
        <v>2027</v>
      </c>
      <c r="I2265">
        <v>1.7383</v>
      </c>
    </row>
    <row r="2266" spans="1:9">
      <c r="A2266" t="s">
        <v>104</v>
      </c>
      <c r="B2266" t="s">
        <v>105</v>
      </c>
      <c r="C2266" t="s">
        <v>80</v>
      </c>
      <c r="D2266" t="s">
        <v>89</v>
      </c>
      <c r="E2266" t="s">
        <v>91</v>
      </c>
      <c r="F2266" t="s">
        <v>6</v>
      </c>
      <c r="G2266" t="s">
        <v>109</v>
      </c>
      <c r="H2266" s="62">
        <v>2027</v>
      </c>
      <c r="I2266">
        <v>-8.7099999999999997E-2</v>
      </c>
    </row>
    <row r="2267" spans="1:9">
      <c r="A2267" t="s">
        <v>104</v>
      </c>
      <c r="B2267" t="s">
        <v>105</v>
      </c>
      <c r="C2267" t="s">
        <v>80</v>
      </c>
      <c r="D2267" t="s">
        <v>92</v>
      </c>
      <c r="E2267" t="s">
        <v>93</v>
      </c>
      <c r="F2267" t="s">
        <v>6</v>
      </c>
      <c r="G2267" t="s">
        <v>109</v>
      </c>
      <c r="H2267" s="62">
        <v>2027</v>
      </c>
      <c r="I2267">
        <v>-0.43609999999999999</v>
      </c>
    </row>
    <row r="2268" spans="1:9">
      <c r="A2268" t="s">
        <v>104</v>
      </c>
      <c r="B2268" t="s">
        <v>105</v>
      </c>
      <c r="C2268" t="s">
        <v>80</v>
      </c>
      <c r="D2268" t="s">
        <v>92</v>
      </c>
      <c r="E2268" t="s">
        <v>94</v>
      </c>
      <c r="F2268" t="s">
        <v>6</v>
      </c>
      <c r="G2268" t="s">
        <v>109</v>
      </c>
      <c r="H2268" s="62">
        <v>2027</v>
      </c>
      <c r="I2268">
        <v>2.3218999999999999</v>
      </c>
    </row>
    <row r="2269" spans="1:9">
      <c r="A2269" t="s">
        <v>104</v>
      </c>
      <c r="B2269" t="s">
        <v>105</v>
      </c>
      <c r="C2269" t="s">
        <v>80</v>
      </c>
      <c r="D2269" t="s">
        <v>92</v>
      </c>
      <c r="E2269" t="s">
        <v>110</v>
      </c>
      <c r="F2269" t="s">
        <v>6</v>
      </c>
      <c r="G2269" t="s">
        <v>109</v>
      </c>
      <c r="H2269" s="62">
        <v>2027</v>
      </c>
      <c r="I2269">
        <v>0</v>
      </c>
    </row>
    <row r="2270" spans="1:9">
      <c r="A2270" t="s">
        <v>104</v>
      </c>
      <c r="B2270" t="s">
        <v>105</v>
      </c>
      <c r="C2270" t="s">
        <v>80</v>
      </c>
      <c r="D2270" t="s">
        <v>92</v>
      </c>
      <c r="E2270" t="s">
        <v>95</v>
      </c>
      <c r="F2270" t="s">
        <v>6</v>
      </c>
      <c r="G2270" t="s">
        <v>109</v>
      </c>
      <c r="H2270" s="62">
        <v>2027</v>
      </c>
      <c r="I2270">
        <v>6.3838999999999997</v>
      </c>
    </row>
    <row r="2271" spans="1:9">
      <c r="A2271" t="s">
        <v>104</v>
      </c>
      <c r="B2271" t="s">
        <v>105</v>
      </c>
      <c r="C2271" t="s">
        <v>80</v>
      </c>
      <c r="D2271" t="s">
        <v>96</v>
      </c>
      <c r="E2271" t="s">
        <v>92</v>
      </c>
      <c r="F2271" t="s">
        <v>6</v>
      </c>
      <c r="G2271" t="s">
        <v>109</v>
      </c>
      <c r="H2271" s="62">
        <v>2027</v>
      </c>
      <c r="I2271">
        <v>0.2225</v>
      </c>
    </row>
    <row r="2272" spans="1:9">
      <c r="A2272" t="s">
        <v>104</v>
      </c>
      <c r="B2272" t="s">
        <v>105</v>
      </c>
      <c r="C2272" t="s">
        <v>80</v>
      </c>
      <c r="D2272" t="s">
        <v>96</v>
      </c>
      <c r="E2272" t="s">
        <v>89</v>
      </c>
      <c r="F2272" t="s">
        <v>6</v>
      </c>
      <c r="G2272" t="s">
        <v>109</v>
      </c>
      <c r="H2272" s="62">
        <v>2027</v>
      </c>
      <c r="I2272">
        <v>2.5000000000000001E-3</v>
      </c>
    </row>
    <row r="2273" spans="1:9">
      <c r="A2273" t="s">
        <v>104</v>
      </c>
      <c r="B2273" t="s">
        <v>105</v>
      </c>
      <c r="C2273" t="s">
        <v>80</v>
      </c>
      <c r="D2273" t="s">
        <v>97</v>
      </c>
      <c r="E2273" t="s">
        <v>98</v>
      </c>
      <c r="F2273" t="s">
        <v>6</v>
      </c>
      <c r="G2273" t="s">
        <v>109</v>
      </c>
      <c r="H2273" s="62">
        <v>2027</v>
      </c>
      <c r="I2273">
        <v>3.2399999999999998E-2</v>
      </c>
    </row>
    <row r="2274" spans="1:9">
      <c r="A2274" t="s">
        <v>104</v>
      </c>
      <c r="B2274" t="s">
        <v>105</v>
      </c>
      <c r="C2274" t="s">
        <v>80</v>
      </c>
      <c r="D2274" t="s">
        <v>97</v>
      </c>
      <c r="E2274" t="s">
        <v>99</v>
      </c>
      <c r="F2274" t="s">
        <v>6</v>
      </c>
      <c r="G2274" t="s">
        <v>109</v>
      </c>
      <c r="H2274" s="62">
        <v>2027</v>
      </c>
      <c r="I2274">
        <v>0</v>
      </c>
    </row>
    <row r="2275" spans="1:9">
      <c r="A2275" t="s">
        <v>104</v>
      </c>
      <c r="B2275" t="s">
        <v>105</v>
      </c>
      <c r="C2275" t="s">
        <v>80</v>
      </c>
      <c r="D2275" t="s">
        <v>100</v>
      </c>
      <c r="E2275" t="s">
        <v>101</v>
      </c>
      <c r="F2275" t="s">
        <v>6</v>
      </c>
      <c r="G2275" t="s">
        <v>109</v>
      </c>
      <c r="H2275" s="62">
        <v>2027</v>
      </c>
      <c r="I2275">
        <v>4.0000000000000001E-3</v>
      </c>
    </row>
    <row r="2276" spans="1:9">
      <c r="A2276" t="s">
        <v>104</v>
      </c>
      <c r="B2276" t="s">
        <v>105</v>
      </c>
      <c r="C2276" t="s">
        <v>80</v>
      </c>
      <c r="D2276" t="s">
        <v>100</v>
      </c>
      <c r="E2276" t="s">
        <v>102</v>
      </c>
      <c r="F2276" t="s">
        <v>6</v>
      </c>
      <c r="G2276" t="s">
        <v>109</v>
      </c>
      <c r="H2276" s="62">
        <v>2027</v>
      </c>
      <c r="I2276">
        <v>0</v>
      </c>
    </row>
    <row r="2277" spans="1:9">
      <c r="A2277" t="s">
        <v>104</v>
      </c>
      <c r="B2277" t="s">
        <v>105</v>
      </c>
      <c r="C2277" t="s">
        <v>80</v>
      </c>
      <c r="D2277" t="s">
        <v>100</v>
      </c>
      <c r="E2277" t="s">
        <v>111</v>
      </c>
      <c r="F2277" t="s">
        <v>6</v>
      </c>
      <c r="G2277" t="s">
        <v>109</v>
      </c>
      <c r="H2277" s="62">
        <v>2027</v>
      </c>
      <c r="I2277">
        <v>0</v>
      </c>
    </row>
    <row r="2278" spans="1:9">
      <c r="A2278" t="s">
        <v>104</v>
      </c>
      <c r="B2278" t="s">
        <v>105</v>
      </c>
      <c r="C2278" t="s">
        <v>80</v>
      </c>
      <c r="D2278" t="s">
        <v>100</v>
      </c>
      <c r="E2278" t="s">
        <v>112</v>
      </c>
      <c r="F2278" t="s">
        <v>6</v>
      </c>
      <c r="G2278" t="s">
        <v>109</v>
      </c>
      <c r="H2278" s="62">
        <v>2027</v>
      </c>
      <c r="I2278">
        <v>0</v>
      </c>
    </row>
    <row r="2279" spans="1:9">
      <c r="A2279" t="s">
        <v>104</v>
      </c>
      <c r="B2279" t="s">
        <v>105</v>
      </c>
      <c r="C2279" t="s">
        <v>80</v>
      </c>
      <c r="D2279" t="s">
        <v>83</v>
      </c>
      <c r="E2279" t="s">
        <v>84</v>
      </c>
      <c r="F2279" t="s">
        <v>6</v>
      </c>
      <c r="G2279" t="s">
        <v>109</v>
      </c>
      <c r="H2279" s="62">
        <v>2027</v>
      </c>
      <c r="I2279">
        <v>0.1416</v>
      </c>
    </row>
    <row r="2280" spans="1:9">
      <c r="A2280" t="s">
        <v>104</v>
      </c>
      <c r="B2280" t="s">
        <v>105</v>
      </c>
      <c r="C2280" t="s">
        <v>80</v>
      </c>
      <c r="D2280" t="s">
        <v>83</v>
      </c>
      <c r="E2280" t="s">
        <v>85</v>
      </c>
      <c r="F2280" t="s">
        <v>6</v>
      </c>
      <c r="G2280" t="s">
        <v>109</v>
      </c>
      <c r="H2280" s="62">
        <v>2027</v>
      </c>
      <c r="I2280">
        <v>0.26650000000000001</v>
      </c>
    </row>
    <row r="2281" spans="1:9">
      <c r="A2281" t="s">
        <v>104</v>
      </c>
      <c r="B2281" t="s">
        <v>105</v>
      </c>
      <c r="C2281" t="s">
        <v>80</v>
      </c>
      <c r="D2281" t="s">
        <v>86</v>
      </c>
      <c r="E2281" t="s">
        <v>106</v>
      </c>
      <c r="F2281" t="s">
        <v>6</v>
      </c>
      <c r="G2281" t="s">
        <v>109</v>
      </c>
      <c r="H2281" s="62">
        <v>2027</v>
      </c>
      <c r="I2281">
        <v>0.48320000000000002</v>
      </c>
    </row>
    <row r="2282" spans="1:9">
      <c r="A2282" t="s">
        <v>104</v>
      </c>
      <c r="B2282" t="s">
        <v>105</v>
      </c>
      <c r="C2282" t="s">
        <v>80</v>
      </c>
      <c r="D2282" t="s">
        <v>86</v>
      </c>
      <c r="E2282" t="s">
        <v>87</v>
      </c>
      <c r="F2282" t="s">
        <v>6</v>
      </c>
      <c r="G2282" t="s">
        <v>109</v>
      </c>
      <c r="H2282" s="62">
        <v>2027</v>
      </c>
      <c r="I2282">
        <v>0.04</v>
      </c>
    </row>
    <row r="2283" spans="1:9">
      <c r="A2283" t="s">
        <v>104</v>
      </c>
      <c r="B2283" t="s">
        <v>105</v>
      </c>
      <c r="C2283" t="s">
        <v>80</v>
      </c>
      <c r="D2283" t="s">
        <v>103</v>
      </c>
      <c r="E2283" t="s">
        <v>92</v>
      </c>
      <c r="F2283" t="s">
        <v>6</v>
      </c>
      <c r="G2283" t="s">
        <v>109</v>
      </c>
      <c r="H2283" s="62">
        <v>2027</v>
      </c>
      <c r="I2283">
        <v>7.2999999999999995E-2</v>
      </c>
    </row>
    <row r="2284" spans="1:9">
      <c r="A2284" t="s">
        <v>104</v>
      </c>
      <c r="B2284" t="s">
        <v>105</v>
      </c>
      <c r="C2284" t="s">
        <v>80</v>
      </c>
      <c r="D2284" t="s">
        <v>103</v>
      </c>
      <c r="E2284" t="s">
        <v>89</v>
      </c>
      <c r="F2284" t="s">
        <v>6</v>
      </c>
      <c r="G2284" t="s">
        <v>109</v>
      </c>
      <c r="H2284" s="62">
        <v>2027</v>
      </c>
      <c r="I2284">
        <v>0.38829999999999998</v>
      </c>
    </row>
    <row r="2285" spans="1:9">
      <c r="A2285" t="s">
        <v>104</v>
      </c>
      <c r="B2285" t="s">
        <v>105</v>
      </c>
      <c r="C2285" t="s">
        <v>107</v>
      </c>
      <c r="D2285" t="s">
        <v>107</v>
      </c>
      <c r="E2285" t="s">
        <v>107</v>
      </c>
      <c r="F2285" t="s">
        <v>6</v>
      </c>
      <c r="G2285" t="s">
        <v>109</v>
      </c>
      <c r="H2285" s="62">
        <v>2028</v>
      </c>
      <c r="I2285">
        <v>10.5961</v>
      </c>
    </row>
    <row r="2286" spans="1:9">
      <c r="A2286" t="s">
        <v>104</v>
      </c>
      <c r="B2286" t="s">
        <v>105</v>
      </c>
      <c r="C2286" t="s">
        <v>107</v>
      </c>
      <c r="D2286" t="s">
        <v>108</v>
      </c>
      <c r="E2286" t="s">
        <v>108</v>
      </c>
      <c r="F2286" t="s">
        <v>6</v>
      </c>
      <c r="G2286" t="s">
        <v>109</v>
      </c>
      <c r="H2286" s="62">
        <v>2028</v>
      </c>
      <c r="I2286">
        <v>8.2600000000000007E-2</v>
      </c>
    </row>
    <row r="2287" spans="1:9">
      <c r="A2287" t="s">
        <v>104</v>
      </c>
      <c r="B2287" t="s">
        <v>105</v>
      </c>
      <c r="C2287" t="s">
        <v>80</v>
      </c>
      <c r="D2287" t="s">
        <v>80</v>
      </c>
      <c r="E2287" t="s">
        <v>80</v>
      </c>
      <c r="F2287" t="s">
        <v>6</v>
      </c>
      <c r="G2287" t="s">
        <v>109</v>
      </c>
      <c r="H2287" s="62">
        <v>2028</v>
      </c>
      <c r="I2287">
        <v>10.5136</v>
      </c>
    </row>
    <row r="2288" spans="1:9">
      <c r="A2288" t="s">
        <v>104</v>
      </c>
      <c r="B2288" t="s">
        <v>105</v>
      </c>
      <c r="C2288" t="s">
        <v>80</v>
      </c>
      <c r="D2288" t="s">
        <v>89</v>
      </c>
      <c r="E2288" t="s">
        <v>90</v>
      </c>
      <c r="F2288" t="s">
        <v>6</v>
      </c>
      <c r="G2288" t="s">
        <v>109</v>
      </c>
      <c r="H2288" s="62">
        <v>2028</v>
      </c>
      <c r="I2288">
        <v>1.6901999999999999</v>
      </c>
    </row>
    <row r="2289" spans="1:9">
      <c r="A2289" t="s">
        <v>104</v>
      </c>
      <c r="B2289" t="s">
        <v>105</v>
      </c>
      <c r="C2289" t="s">
        <v>80</v>
      </c>
      <c r="D2289" t="s">
        <v>89</v>
      </c>
      <c r="E2289" t="s">
        <v>91</v>
      </c>
      <c r="F2289" t="s">
        <v>6</v>
      </c>
      <c r="G2289" t="s">
        <v>109</v>
      </c>
      <c r="H2289" s="62">
        <v>2028</v>
      </c>
      <c r="I2289">
        <v>-8.6999999999999994E-2</v>
      </c>
    </row>
    <row r="2290" spans="1:9">
      <c r="A2290" t="s">
        <v>104</v>
      </c>
      <c r="B2290" t="s">
        <v>105</v>
      </c>
      <c r="C2290" t="s">
        <v>80</v>
      </c>
      <c r="D2290" t="s">
        <v>92</v>
      </c>
      <c r="E2290" t="s">
        <v>93</v>
      </c>
      <c r="F2290" t="s">
        <v>6</v>
      </c>
      <c r="G2290" t="s">
        <v>109</v>
      </c>
      <c r="H2290" s="62">
        <v>2028</v>
      </c>
      <c r="I2290">
        <v>-0.44629999999999997</v>
      </c>
    </row>
    <row r="2291" spans="1:9">
      <c r="A2291" t="s">
        <v>104</v>
      </c>
      <c r="B2291" t="s">
        <v>105</v>
      </c>
      <c r="C2291" t="s">
        <v>80</v>
      </c>
      <c r="D2291" t="s">
        <v>92</v>
      </c>
      <c r="E2291" t="s">
        <v>94</v>
      </c>
      <c r="F2291" t="s">
        <v>6</v>
      </c>
      <c r="G2291" t="s">
        <v>109</v>
      </c>
      <c r="H2291" s="62">
        <v>2028</v>
      </c>
      <c r="I2291">
        <v>2.3334000000000001</v>
      </c>
    </row>
    <row r="2292" spans="1:9">
      <c r="A2292" t="s">
        <v>104</v>
      </c>
      <c r="B2292" t="s">
        <v>105</v>
      </c>
      <c r="C2292" t="s">
        <v>80</v>
      </c>
      <c r="D2292" t="s">
        <v>92</v>
      </c>
      <c r="E2292" t="s">
        <v>110</v>
      </c>
      <c r="F2292" t="s">
        <v>6</v>
      </c>
      <c r="G2292" t="s">
        <v>109</v>
      </c>
      <c r="H2292" s="62">
        <v>2028</v>
      </c>
      <c r="I2292">
        <v>0</v>
      </c>
    </row>
    <row r="2293" spans="1:9">
      <c r="A2293" t="s">
        <v>104</v>
      </c>
      <c r="B2293" t="s">
        <v>105</v>
      </c>
      <c r="C2293" t="s">
        <v>80</v>
      </c>
      <c r="D2293" t="s">
        <v>92</v>
      </c>
      <c r="E2293" t="s">
        <v>95</v>
      </c>
      <c r="F2293" t="s">
        <v>6</v>
      </c>
      <c r="G2293" t="s">
        <v>109</v>
      </c>
      <c r="H2293" s="62">
        <v>2028</v>
      </c>
      <c r="I2293">
        <v>6.3331</v>
      </c>
    </row>
    <row r="2294" spans="1:9">
      <c r="A2294" t="s">
        <v>104</v>
      </c>
      <c r="B2294" t="s">
        <v>105</v>
      </c>
      <c r="C2294" t="s">
        <v>80</v>
      </c>
      <c r="D2294" t="s">
        <v>96</v>
      </c>
      <c r="E2294" t="s">
        <v>92</v>
      </c>
      <c r="F2294" t="s">
        <v>6</v>
      </c>
      <c r="G2294" t="s">
        <v>109</v>
      </c>
      <c r="H2294" s="62">
        <v>2028</v>
      </c>
      <c r="I2294">
        <v>0.2303</v>
      </c>
    </row>
    <row r="2295" spans="1:9">
      <c r="A2295" t="s">
        <v>104</v>
      </c>
      <c r="B2295" t="s">
        <v>105</v>
      </c>
      <c r="C2295" t="s">
        <v>80</v>
      </c>
      <c r="D2295" t="s">
        <v>96</v>
      </c>
      <c r="E2295" t="s">
        <v>89</v>
      </c>
      <c r="F2295" t="s">
        <v>6</v>
      </c>
      <c r="G2295" t="s">
        <v>109</v>
      </c>
      <c r="H2295" s="62">
        <v>2028</v>
      </c>
      <c r="I2295">
        <v>4.1000000000000003E-3</v>
      </c>
    </row>
    <row r="2296" spans="1:9">
      <c r="A2296" t="s">
        <v>104</v>
      </c>
      <c r="B2296" t="s">
        <v>105</v>
      </c>
      <c r="C2296" t="s">
        <v>80</v>
      </c>
      <c r="D2296" t="s">
        <v>97</v>
      </c>
      <c r="E2296" t="s">
        <v>98</v>
      </c>
      <c r="F2296" t="s">
        <v>6</v>
      </c>
      <c r="G2296" t="s">
        <v>109</v>
      </c>
      <c r="H2296" s="62">
        <v>2028</v>
      </c>
      <c r="I2296">
        <v>4.5900000000000003E-2</v>
      </c>
    </row>
    <row r="2297" spans="1:9">
      <c r="A2297" t="s">
        <v>104</v>
      </c>
      <c r="B2297" t="s">
        <v>105</v>
      </c>
      <c r="C2297" t="s">
        <v>80</v>
      </c>
      <c r="D2297" t="s">
        <v>97</v>
      </c>
      <c r="E2297" t="s">
        <v>99</v>
      </c>
      <c r="F2297" t="s">
        <v>6</v>
      </c>
      <c r="G2297" t="s">
        <v>109</v>
      </c>
      <c r="H2297" s="62">
        <v>2028</v>
      </c>
      <c r="I2297">
        <v>0</v>
      </c>
    </row>
    <row r="2298" spans="1:9">
      <c r="A2298" t="s">
        <v>104</v>
      </c>
      <c r="B2298" t="s">
        <v>105</v>
      </c>
      <c r="C2298" t="s">
        <v>80</v>
      </c>
      <c r="D2298" t="s">
        <v>100</v>
      </c>
      <c r="E2298" t="s">
        <v>101</v>
      </c>
      <c r="F2298" t="s">
        <v>6</v>
      </c>
      <c r="G2298" t="s">
        <v>109</v>
      </c>
      <c r="H2298" s="62">
        <v>2028</v>
      </c>
      <c r="I2298">
        <v>3.8999999999999998E-3</v>
      </c>
    </row>
    <row r="2299" spans="1:9">
      <c r="A2299" t="s">
        <v>104</v>
      </c>
      <c r="B2299" t="s">
        <v>105</v>
      </c>
      <c r="C2299" t="s">
        <v>80</v>
      </c>
      <c r="D2299" t="s">
        <v>100</v>
      </c>
      <c r="E2299" t="s">
        <v>102</v>
      </c>
      <c r="F2299" t="s">
        <v>6</v>
      </c>
      <c r="G2299" t="s">
        <v>109</v>
      </c>
      <c r="H2299" s="62">
        <v>2028</v>
      </c>
      <c r="I2299">
        <v>0</v>
      </c>
    </row>
    <row r="2300" spans="1:9">
      <c r="A2300" t="s">
        <v>104</v>
      </c>
      <c r="B2300" t="s">
        <v>105</v>
      </c>
      <c r="C2300" t="s">
        <v>80</v>
      </c>
      <c r="D2300" t="s">
        <v>100</v>
      </c>
      <c r="E2300" t="s">
        <v>111</v>
      </c>
      <c r="F2300" t="s">
        <v>6</v>
      </c>
      <c r="G2300" t="s">
        <v>109</v>
      </c>
      <c r="H2300" s="62">
        <v>2028</v>
      </c>
      <c r="I2300">
        <v>0</v>
      </c>
    </row>
    <row r="2301" spans="1:9">
      <c r="A2301" t="s">
        <v>104</v>
      </c>
      <c r="B2301" t="s">
        <v>105</v>
      </c>
      <c r="C2301" t="s">
        <v>80</v>
      </c>
      <c r="D2301" t="s">
        <v>100</v>
      </c>
      <c r="E2301" t="s">
        <v>112</v>
      </c>
      <c r="F2301" t="s">
        <v>6</v>
      </c>
      <c r="G2301" t="s">
        <v>109</v>
      </c>
      <c r="H2301" s="62">
        <v>2028</v>
      </c>
      <c r="I2301">
        <v>0</v>
      </c>
    </row>
    <row r="2302" spans="1:9">
      <c r="A2302" t="s">
        <v>104</v>
      </c>
      <c r="B2302" t="s">
        <v>105</v>
      </c>
      <c r="C2302" t="s">
        <v>80</v>
      </c>
      <c r="D2302" t="s">
        <v>83</v>
      </c>
      <c r="E2302" t="s">
        <v>84</v>
      </c>
      <c r="F2302" t="s">
        <v>6</v>
      </c>
      <c r="G2302" t="s">
        <v>109</v>
      </c>
      <c r="H2302" s="62">
        <v>2028</v>
      </c>
      <c r="I2302">
        <v>0.14119999999999999</v>
      </c>
    </row>
    <row r="2303" spans="1:9">
      <c r="A2303" t="s">
        <v>104</v>
      </c>
      <c r="B2303" t="s">
        <v>105</v>
      </c>
      <c r="C2303" t="s">
        <v>80</v>
      </c>
      <c r="D2303" t="s">
        <v>83</v>
      </c>
      <c r="E2303" t="s">
        <v>85</v>
      </c>
      <c r="F2303" t="s">
        <v>6</v>
      </c>
      <c r="G2303" t="s">
        <v>109</v>
      </c>
      <c r="H2303" s="62">
        <v>2028</v>
      </c>
      <c r="I2303">
        <v>0.26490000000000002</v>
      </c>
    </row>
    <row r="2304" spans="1:9">
      <c r="A2304" t="s">
        <v>104</v>
      </c>
      <c r="B2304" t="s">
        <v>105</v>
      </c>
      <c r="C2304" t="s">
        <v>80</v>
      </c>
      <c r="D2304" t="s">
        <v>86</v>
      </c>
      <c r="E2304" t="s">
        <v>106</v>
      </c>
      <c r="F2304" t="s">
        <v>6</v>
      </c>
      <c r="G2304" t="s">
        <v>109</v>
      </c>
      <c r="H2304" s="62">
        <v>2028</v>
      </c>
      <c r="I2304">
        <v>0.48749999999999999</v>
      </c>
    </row>
    <row r="2305" spans="1:9">
      <c r="A2305" t="s">
        <v>104</v>
      </c>
      <c r="B2305" t="s">
        <v>105</v>
      </c>
      <c r="C2305" t="s">
        <v>80</v>
      </c>
      <c r="D2305" t="s">
        <v>86</v>
      </c>
      <c r="E2305" t="s">
        <v>87</v>
      </c>
      <c r="F2305" t="s">
        <v>6</v>
      </c>
      <c r="G2305" t="s">
        <v>109</v>
      </c>
      <c r="H2305" s="62">
        <v>2028</v>
      </c>
      <c r="I2305">
        <v>4.5900000000000003E-2</v>
      </c>
    </row>
    <row r="2306" spans="1:9">
      <c r="A2306" t="s">
        <v>104</v>
      </c>
      <c r="B2306" t="s">
        <v>105</v>
      </c>
      <c r="C2306" t="s">
        <v>80</v>
      </c>
      <c r="D2306" t="s">
        <v>103</v>
      </c>
      <c r="E2306" t="s">
        <v>92</v>
      </c>
      <c r="F2306" t="s">
        <v>6</v>
      </c>
      <c r="G2306" t="s">
        <v>109</v>
      </c>
      <c r="H2306" s="62">
        <v>2028</v>
      </c>
      <c r="I2306">
        <v>7.9299999999999995E-2</v>
      </c>
    </row>
    <row r="2307" spans="1:9">
      <c r="A2307" t="s">
        <v>104</v>
      </c>
      <c r="B2307" t="s">
        <v>105</v>
      </c>
      <c r="C2307" t="s">
        <v>80</v>
      </c>
      <c r="D2307" t="s">
        <v>103</v>
      </c>
      <c r="E2307" t="s">
        <v>89</v>
      </c>
      <c r="F2307" t="s">
        <v>6</v>
      </c>
      <c r="G2307" t="s">
        <v>109</v>
      </c>
      <c r="H2307" s="62">
        <v>2028</v>
      </c>
      <c r="I2307">
        <v>0.43030000000000002</v>
      </c>
    </row>
    <row r="2308" spans="1:9">
      <c r="A2308" t="s">
        <v>104</v>
      </c>
      <c r="B2308" t="s">
        <v>105</v>
      </c>
      <c r="C2308" t="s">
        <v>107</v>
      </c>
      <c r="D2308" t="s">
        <v>107</v>
      </c>
      <c r="E2308" t="s">
        <v>107</v>
      </c>
      <c r="F2308" t="s">
        <v>6</v>
      </c>
      <c r="G2308" t="s">
        <v>109</v>
      </c>
      <c r="H2308" s="62">
        <v>2029</v>
      </c>
      <c r="I2308">
        <v>10.5846</v>
      </c>
    </row>
    <row r="2309" spans="1:9">
      <c r="A2309" t="s">
        <v>104</v>
      </c>
      <c r="B2309" t="s">
        <v>105</v>
      </c>
      <c r="C2309" t="s">
        <v>107</v>
      </c>
      <c r="D2309" t="s">
        <v>108</v>
      </c>
      <c r="E2309" t="s">
        <v>108</v>
      </c>
      <c r="F2309" t="s">
        <v>6</v>
      </c>
      <c r="G2309" t="s">
        <v>109</v>
      </c>
      <c r="H2309" s="62">
        <v>2029</v>
      </c>
      <c r="I2309">
        <v>8.3900000000000002E-2</v>
      </c>
    </row>
    <row r="2310" spans="1:9">
      <c r="A2310" t="s">
        <v>104</v>
      </c>
      <c r="B2310" t="s">
        <v>105</v>
      </c>
      <c r="C2310" t="s">
        <v>80</v>
      </c>
      <c r="D2310" t="s">
        <v>80</v>
      </c>
      <c r="E2310" t="s">
        <v>80</v>
      </c>
      <c r="F2310" t="s">
        <v>6</v>
      </c>
      <c r="G2310" t="s">
        <v>109</v>
      </c>
      <c r="H2310" s="62">
        <v>2029</v>
      </c>
      <c r="I2310">
        <v>10.5008</v>
      </c>
    </row>
    <row r="2311" spans="1:9">
      <c r="A2311" t="s">
        <v>104</v>
      </c>
      <c r="B2311" t="s">
        <v>105</v>
      </c>
      <c r="C2311" t="s">
        <v>80</v>
      </c>
      <c r="D2311" t="s">
        <v>89</v>
      </c>
      <c r="E2311" t="s">
        <v>90</v>
      </c>
      <c r="F2311" t="s">
        <v>6</v>
      </c>
      <c r="G2311" t="s">
        <v>109</v>
      </c>
      <c r="H2311" s="62">
        <v>2029</v>
      </c>
      <c r="I2311">
        <v>1.6356999999999999</v>
      </c>
    </row>
    <row r="2312" spans="1:9">
      <c r="A2312" t="s">
        <v>104</v>
      </c>
      <c r="B2312" t="s">
        <v>105</v>
      </c>
      <c r="C2312" t="s">
        <v>80</v>
      </c>
      <c r="D2312" t="s">
        <v>89</v>
      </c>
      <c r="E2312" t="s">
        <v>91</v>
      </c>
      <c r="F2312" t="s">
        <v>6</v>
      </c>
      <c r="G2312" t="s">
        <v>109</v>
      </c>
      <c r="H2312" s="62">
        <v>2029</v>
      </c>
      <c r="I2312">
        <v>-8.5699999999999998E-2</v>
      </c>
    </row>
    <row r="2313" spans="1:9">
      <c r="A2313" t="s">
        <v>104</v>
      </c>
      <c r="B2313" t="s">
        <v>105</v>
      </c>
      <c r="C2313" t="s">
        <v>80</v>
      </c>
      <c r="D2313" t="s">
        <v>92</v>
      </c>
      <c r="E2313" t="s">
        <v>93</v>
      </c>
      <c r="F2313" t="s">
        <v>6</v>
      </c>
      <c r="G2313" t="s">
        <v>109</v>
      </c>
      <c r="H2313" s="62">
        <v>2029</v>
      </c>
      <c r="I2313">
        <v>-0.45479999999999998</v>
      </c>
    </row>
    <row r="2314" spans="1:9">
      <c r="A2314" t="s">
        <v>104</v>
      </c>
      <c r="B2314" t="s">
        <v>105</v>
      </c>
      <c r="C2314" t="s">
        <v>80</v>
      </c>
      <c r="D2314" t="s">
        <v>92</v>
      </c>
      <c r="E2314" t="s">
        <v>94</v>
      </c>
      <c r="F2314" t="s">
        <v>6</v>
      </c>
      <c r="G2314" t="s">
        <v>109</v>
      </c>
      <c r="H2314" s="62">
        <v>2029</v>
      </c>
      <c r="I2314">
        <v>2.3256999999999999</v>
      </c>
    </row>
    <row r="2315" spans="1:9">
      <c r="A2315" t="s">
        <v>104</v>
      </c>
      <c r="B2315" t="s">
        <v>105</v>
      </c>
      <c r="C2315" t="s">
        <v>80</v>
      </c>
      <c r="D2315" t="s">
        <v>92</v>
      </c>
      <c r="E2315" t="s">
        <v>110</v>
      </c>
      <c r="F2315" t="s">
        <v>6</v>
      </c>
      <c r="G2315" t="s">
        <v>109</v>
      </c>
      <c r="H2315" s="62">
        <v>2029</v>
      </c>
      <c r="I2315">
        <v>0</v>
      </c>
    </row>
    <row r="2316" spans="1:9">
      <c r="A2316" t="s">
        <v>104</v>
      </c>
      <c r="B2316" t="s">
        <v>105</v>
      </c>
      <c r="C2316" t="s">
        <v>80</v>
      </c>
      <c r="D2316" t="s">
        <v>92</v>
      </c>
      <c r="E2316" t="s">
        <v>95</v>
      </c>
      <c r="F2316" t="s">
        <v>6</v>
      </c>
      <c r="G2316" t="s">
        <v>109</v>
      </c>
      <c r="H2316" s="62">
        <v>2029</v>
      </c>
      <c r="I2316">
        <v>6.3532999999999999</v>
      </c>
    </row>
    <row r="2317" spans="1:9">
      <c r="A2317" t="s">
        <v>104</v>
      </c>
      <c r="B2317" t="s">
        <v>105</v>
      </c>
      <c r="C2317" t="s">
        <v>80</v>
      </c>
      <c r="D2317" t="s">
        <v>96</v>
      </c>
      <c r="E2317" t="s">
        <v>92</v>
      </c>
      <c r="F2317" t="s">
        <v>6</v>
      </c>
      <c r="G2317" t="s">
        <v>109</v>
      </c>
      <c r="H2317" s="62">
        <v>2029</v>
      </c>
      <c r="I2317">
        <v>0.2397</v>
      </c>
    </row>
    <row r="2318" spans="1:9">
      <c r="A2318" t="s">
        <v>104</v>
      </c>
      <c r="B2318" t="s">
        <v>105</v>
      </c>
      <c r="C2318" t="s">
        <v>80</v>
      </c>
      <c r="D2318" t="s">
        <v>96</v>
      </c>
      <c r="E2318" t="s">
        <v>89</v>
      </c>
      <c r="F2318" t="s">
        <v>6</v>
      </c>
      <c r="G2318" t="s">
        <v>109</v>
      </c>
      <c r="H2318" s="62">
        <v>2029</v>
      </c>
      <c r="I2318">
        <v>8.3000000000000001E-3</v>
      </c>
    </row>
    <row r="2319" spans="1:9">
      <c r="A2319" t="s">
        <v>104</v>
      </c>
      <c r="B2319" t="s">
        <v>105</v>
      </c>
      <c r="C2319" t="s">
        <v>80</v>
      </c>
      <c r="D2319" t="s">
        <v>97</v>
      </c>
      <c r="E2319" t="s">
        <v>98</v>
      </c>
      <c r="F2319" t="s">
        <v>6</v>
      </c>
      <c r="G2319" t="s">
        <v>109</v>
      </c>
      <c r="H2319" s="62">
        <v>2029</v>
      </c>
      <c r="I2319">
        <v>6.1600000000000002E-2</v>
      </c>
    </row>
    <row r="2320" spans="1:9">
      <c r="A2320" t="s">
        <v>104</v>
      </c>
      <c r="B2320" t="s">
        <v>105</v>
      </c>
      <c r="C2320" t="s">
        <v>80</v>
      </c>
      <c r="D2320" t="s">
        <v>97</v>
      </c>
      <c r="E2320" t="s">
        <v>99</v>
      </c>
      <c r="F2320" t="s">
        <v>6</v>
      </c>
      <c r="G2320" t="s">
        <v>109</v>
      </c>
      <c r="H2320" s="62">
        <v>2029</v>
      </c>
      <c r="I2320">
        <v>0</v>
      </c>
    </row>
    <row r="2321" spans="1:9">
      <c r="A2321" t="s">
        <v>104</v>
      </c>
      <c r="B2321" t="s">
        <v>105</v>
      </c>
      <c r="C2321" t="s">
        <v>80</v>
      </c>
      <c r="D2321" t="s">
        <v>100</v>
      </c>
      <c r="E2321" t="s">
        <v>101</v>
      </c>
      <c r="F2321" t="s">
        <v>6</v>
      </c>
      <c r="G2321" t="s">
        <v>109</v>
      </c>
      <c r="H2321" s="62">
        <v>2029</v>
      </c>
      <c r="I2321">
        <v>1.24E-2</v>
      </c>
    </row>
    <row r="2322" spans="1:9">
      <c r="A2322" t="s">
        <v>104</v>
      </c>
      <c r="B2322" t="s">
        <v>105</v>
      </c>
      <c r="C2322" t="s">
        <v>80</v>
      </c>
      <c r="D2322" t="s">
        <v>100</v>
      </c>
      <c r="E2322" t="s">
        <v>102</v>
      </c>
      <c r="F2322" t="s">
        <v>6</v>
      </c>
      <c r="G2322" t="s">
        <v>109</v>
      </c>
      <c r="H2322" s="62">
        <v>2029</v>
      </c>
      <c r="I2322">
        <v>0</v>
      </c>
    </row>
    <row r="2323" spans="1:9">
      <c r="A2323" t="s">
        <v>104</v>
      </c>
      <c r="B2323" t="s">
        <v>105</v>
      </c>
      <c r="C2323" t="s">
        <v>80</v>
      </c>
      <c r="D2323" t="s">
        <v>100</v>
      </c>
      <c r="E2323" t="s">
        <v>111</v>
      </c>
      <c r="F2323" t="s">
        <v>6</v>
      </c>
      <c r="G2323" t="s">
        <v>109</v>
      </c>
      <c r="H2323" s="62">
        <v>2029</v>
      </c>
      <c r="I2323">
        <v>0</v>
      </c>
    </row>
    <row r="2324" spans="1:9">
      <c r="A2324" t="s">
        <v>104</v>
      </c>
      <c r="B2324" t="s">
        <v>105</v>
      </c>
      <c r="C2324" t="s">
        <v>80</v>
      </c>
      <c r="D2324" t="s">
        <v>100</v>
      </c>
      <c r="E2324" t="s">
        <v>112</v>
      </c>
      <c r="F2324" t="s">
        <v>6</v>
      </c>
      <c r="G2324" t="s">
        <v>109</v>
      </c>
      <c r="H2324" s="62">
        <v>2029</v>
      </c>
      <c r="I2324">
        <v>0</v>
      </c>
    </row>
    <row r="2325" spans="1:9">
      <c r="A2325" t="s">
        <v>104</v>
      </c>
      <c r="B2325" t="s">
        <v>105</v>
      </c>
      <c r="C2325" t="s">
        <v>80</v>
      </c>
      <c r="D2325" t="s">
        <v>83</v>
      </c>
      <c r="E2325" t="s">
        <v>84</v>
      </c>
      <c r="F2325" t="s">
        <v>6</v>
      </c>
      <c r="G2325" t="s">
        <v>109</v>
      </c>
      <c r="H2325" s="62">
        <v>2029</v>
      </c>
      <c r="I2325">
        <v>0.1401</v>
      </c>
    </row>
    <row r="2326" spans="1:9">
      <c r="A2326" t="s">
        <v>104</v>
      </c>
      <c r="B2326" t="s">
        <v>105</v>
      </c>
      <c r="C2326" t="s">
        <v>80</v>
      </c>
      <c r="D2326" t="s">
        <v>83</v>
      </c>
      <c r="E2326" t="s">
        <v>85</v>
      </c>
      <c r="F2326" t="s">
        <v>6</v>
      </c>
      <c r="G2326" t="s">
        <v>109</v>
      </c>
      <c r="H2326" s="62">
        <v>2029</v>
      </c>
      <c r="I2326">
        <v>0.26450000000000001</v>
      </c>
    </row>
    <row r="2327" spans="1:9">
      <c r="A2327" t="s">
        <v>104</v>
      </c>
      <c r="B2327" t="s">
        <v>105</v>
      </c>
      <c r="C2327" t="s">
        <v>80</v>
      </c>
      <c r="D2327" t="s">
        <v>86</v>
      </c>
      <c r="E2327" t="s">
        <v>106</v>
      </c>
      <c r="F2327" t="s">
        <v>6</v>
      </c>
      <c r="G2327" t="s">
        <v>109</v>
      </c>
      <c r="H2327" s="62">
        <v>2029</v>
      </c>
      <c r="I2327">
        <v>0.48909999999999998</v>
      </c>
    </row>
    <row r="2328" spans="1:9">
      <c r="A2328" t="s">
        <v>104</v>
      </c>
      <c r="B2328" t="s">
        <v>105</v>
      </c>
      <c r="C2328" t="s">
        <v>80</v>
      </c>
      <c r="D2328" t="s">
        <v>86</v>
      </c>
      <c r="E2328" t="s">
        <v>87</v>
      </c>
      <c r="F2328" t="s">
        <v>6</v>
      </c>
      <c r="G2328" t="s">
        <v>109</v>
      </c>
      <c r="H2328" s="62">
        <v>2029</v>
      </c>
      <c r="I2328">
        <v>5.1400000000000001E-2</v>
      </c>
    </row>
    <row r="2329" spans="1:9">
      <c r="A2329" t="s">
        <v>104</v>
      </c>
      <c r="B2329" t="s">
        <v>105</v>
      </c>
      <c r="C2329" t="s">
        <v>80</v>
      </c>
      <c r="D2329" t="s">
        <v>103</v>
      </c>
      <c r="E2329" t="s">
        <v>92</v>
      </c>
      <c r="F2329" t="s">
        <v>6</v>
      </c>
      <c r="G2329" t="s">
        <v>109</v>
      </c>
      <c r="H2329" s="62">
        <v>2029</v>
      </c>
      <c r="I2329">
        <v>8.6300000000000002E-2</v>
      </c>
    </row>
    <row r="2330" spans="1:9">
      <c r="A2330" t="s">
        <v>104</v>
      </c>
      <c r="B2330" t="s">
        <v>105</v>
      </c>
      <c r="C2330" t="s">
        <v>80</v>
      </c>
      <c r="D2330" t="s">
        <v>103</v>
      </c>
      <c r="E2330" t="s">
        <v>89</v>
      </c>
      <c r="F2330" t="s">
        <v>6</v>
      </c>
      <c r="G2330" t="s">
        <v>109</v>
      </c>
      <c r="H2330" s="62">
        <v>2029</v>
      </c>
      <c r="I2330">
        <v>0.47210000000000002</v>
      </c>
    </row>
    <row r="2331" spans="1:9">
      <c r="A2331" t="s">
        <v>104</v>
      </c>
      <c r="B2331" t="s">
        <v>105</v>
      </c>
      <c r="C2331" t="s">
        <v>107</v>
      </c>
      <c r="D2331" t="s">
        <v>107</v>
      </c>
      <c r="E2331" t="s">
        <v>107</v>
      </c>
      <c r="F2331" t="s">
        <v>6</v>
      </c>
      <c r="G2331" t="s">
        <v>109</v>
      </c>
      <c r="H2331" s="62">
        <v>2030</v>
      </c>
      <c r="I2331">
        <v>11.160500000000001</v>
      </c>
    </row>
    <row r="2332" spans="1:9">
      <c r="A2332" t="s">
        <v>104</v>
      </c>
      <c r="B2332" t="s">
        <v>105</v>
      </c>
      <c r="C2332" t="s">
        <v>107</v>
      </c>
      <c r="D2332" t="s">
        <v>108</v>
      </c>
      <c r="E2332" t="s">
        <v>108</v>
      </c>
      <c r="F2332" t="s">
        <v>6</v>
      </c>
      <c r="G2332" t="s">
        <v>109</v>
      </c>
      <c r="H2332" s="62">
        <v>2030</v>
      </c>
      <c r="I2332">
        <v>8.4699999999999998E-2</v>
      </c>
    </row>
    <row r="2333" spans="1:9">
      <c r="A2333" t="s">
        <v>104</v>
      </c>
      <c r="B2333" t="s">
        <v>105</v>
      </c>
      <c r="C2333" t="s">
        <v>80</v>
      </c>
      <c r="D2333" t="s">
        <v>80</v>
      </c>
      <c r="E2333" t="s">
        <v>80</v>
      </c>
      <c r="F2333" t="s">
        <v>6</v>
      </c>
      <c r="G2333" t="s">
        <v>109</v>
      </c>
      <c r="H2333" s="62">
        <v>2030</v>
      </c>
      <c r="I2333">
        <v>11.075799999999999</v>
      </c>
    </row>
    <row r="2334" spans="1:9">
      <c r="A2334" t="s">
        <v>104</v>
      </c>
      <c r="B2334" t="s">
        <v>105</v>
      </c>
      <c r="C2334" t="s">
        <v>80</v>
      </c>
      <c r="D2334" t="s">
        <v>89</v>
      </c>
      <c r="E2334" t="s">
        <v>90</v>
      </c>
      <c r="F2334" t="s">
        <v>6</v>
      </c>
      <c r="G2334" t="s">
        <v>109</v>
      </c>
      <c r="H2334" s="62">
        <v>2030</v>
      </c>
      <c r="I2334">
        <v>1.5904</v>
      </c>
    </row>
    <row r="2335" spans="1:9">
      <c r="A2335" t="s">
        <v>104</v>
      </c>
      <c r="B2335" t="s">
        <v>105</v>
      </c>
      <c r="C2335" t="s">
        <v>80</v>
      </c>
      <c r="D2335" t="s">
        <v>89</v>
      </c>
      <c r="E2335" t="s">
        <v>91</v>
      </c>
      <c r="F2335" t="s">
        <v>6</v>
      </c>
      <c r="G2335" t="s">
        <v>109</v>
      </c>
      <c r="H2335" s="62">
        <v>2030</v>
      </c>
      <c r="I2335">
        <v>-8.5000000000000006E-2</v>
      </c>
    </row>
    <row r="2336" spans="1:9">
      <c r="A2336" t="s">
        <v>104</v>
      </c>
      <c r="B2336" t="s">
        <v>105</v>
      </c>
      <c r="C2336" t="s">
        <v>80</v>
      </c>
      <c r="D2336" t="s">
        <v>92</v>
      </c>
      <c r="E2336" t="s">
        <v>93</v>
      </c>
      <c r="F2336" t="s">
        <v>6</v>
      </c>
      <c r="G2336" t="s">
        <v>109</v>
      </c>
      <c r="H2336" s="62">
        <v>2030</v>
      </c>
      <c r="I2336">
        <v>-0.46429999999999999</v>
      </c>
    </row>
    <row r="2337" spans="1:9">
      <c r="A2337" t="s">
        <v>104</v>
      </c>
      <c r="B2337" t="s">
        <v>105</v>
      </c>
      <c r="C2337" t="s">
        <v>80</v>
      </c>
      <c r="D2337" t="s">
        <v>92</v>
      </c>
      <c r="E2337" t="s">
        <v>94</v>
      </c>
      <c r="F2337" t="s">
        <v>6</v>
      </c>
      <c r="G2337" t="s">
        <v>109</v>
      </c>
      <c r="H2337" s="62">
        <v>2030</v>
      </c>
      <c r="I2337">
        <v>2.3208000000000002</v>
      </c>
    </row>
    <row r="2338" spans="1:9">
      <c r="A2338" t="s">
        <v>104</v>
      </c>
      <c r="B2338" t="s">
        <v>105</v>
      </c>
      <c r="C2338" t="s">
        <v>80</v>
      </c>
      <c r="D2338" t="s">
        <v>92</v>
      </c>
      <c r="E2338" t="s">
        <v>110</v>
      </c>
      <c r="F2338" t="s">
        <v>6</v>
      </c>
      <c r="G2338" t="s">
        <v>109</v>
      </c>
      <c r="H2338" s="62">
        <v>2030</v>
      </c>
      <c r="I2338">
        <v>0</v>
      </c>
    </row>
    <row r="2339" spans="1:9">
      <c r="A2339" t="s">
        <v>104</v>
      </c>
      <c r="B2339" t="s">
        <v>105</v>
      </c>
      <c r="C2339" t="s">
        <v>80</v>
      </c>
      <c r="D2339" t="s">
        <v>92</v>
      </c>
      <c r="E2339" t="s">
        <v>95</v>
      </c>
      <c r="F2339" t="s">
        <v>6</v>
      </c>
      <c r="G2339" t="s">
        <v>109</v>
      </c>
      <c r="H2339" s="62">
        <v>2030</v>
      </c>
      <c r="I2339">
        <v>6.3639999999999999</v>
      </c>
    </row>
    <row r="2340" spans="1:9">
      <c r="A2340" t="s">
        <v>104</v>
      </c>
      <c r="B2340" t="s">
        <v>105</v>
      </c>
      <c r="C2340" t="s">
        <v>80</v>
      </c>
      <c r="D2340" t="s">
        <v>96</v>
      </c>
      <c r="E2340" t="s">
        <v>92</v>
      </c>
      <c r="F2340" t="s">
        <v>6</v>
      </c>
      <c r="G2340" t="s">
        <v>109</v>
      </c>
      <c r="H2340" s="62">
        <v>2030</v>
      </c>
      <c r="I2340">
        <v>0.2555</v>
      </c>
    </row>
    <row r="2341" spans="1:9">
      <c r="A2341" t="s">
        <v>104</v>
      </c>
      <c r="B2341" t="s">
        <v>105</v>
      </c>
      <c r="C2341" t="s">
        <v>80</v>
      </c>
      <c r="D2341" t="s">
        <v>96</v>
      </c>
      <c r="E2341" t="s">
        <v>89</v>
      </c>
      <c r="F2341" t="s">
        <v>6</v>
      </c>
      <c r="G2341" t="s">
        <v>109</v>
      </c>
      <c r="H2341" s="62">
        <v>2030</v>
      </c>
      <c r="I2341">
        <v>1.04E-2</v>
      </c>
    </row>
    <row r="2342" spans="1:9">
      <c r="A2342" t="s">
        <v>104</v>
      </c>
      <c r="B2342" t="s">
        <v>105</v>
      </c>
      <c r="C2342" t="s">
        <v>80</v>
      </c>
      <c r="D2342" t="s">
        <v>97</v>
      </c>
      <c r="E2342" t="s">
        <v>98</v>
      </c>
      <c r="F2342" t="s">
        <v>6</v>
      </c>
      <c r="G2342" t="s">
        <v>109</v>
      </c>
      <c r="H2342" s="62">
        <v>2030</v>
      </c>
      <c r="I2342">
        <v>7.9299999999999995E-2</v>
      </c>
    </row>
    <row r="2343" spans="1:9">
      <c r="A2343" t="s">
        <v>104</v>
      </c>
      <c r="B2343" t="s">
        <v>105</v>
      </c>
      <c r="C2343" t="s">
        <v>80</v>
      </c>
      <c r="D2343" t="s">
        <v>97</v>
      </c>
      <c r="E2343" t="s">
        <v>99</v>
      </c>
      <c r="F2343" t="s">
        <v>6</v>
      </c>
      <c r="G2343" t="s">
        <v>109</v>
      </c>
      <c r="H2343" s="62">
        <v>2030</v>
      </c>
      <c r="I2343">
        <v>0</v>
      </c>
    </row>
    <row r="2344" spans="1:9">
      <c r="A2344" t="s">
        <v>104</v>
      </c>
      <c r="B2344" t="s">
        <v>105</v>
      </c>
      <c r="C2344" t="s">
        <v>80</v>
      </c>
      <c r="D2344" t="s">
        <v>100</v>
      </c>
      <c r="E2344" t="s">
        <v>101</v>
      </c>
      <c r="F2344" t="s">
        <v>6</v>
      </c>
      <c r="G2344" t="s">
        <v>109</v>
      </c>
      <c r="H2344" s="62">
        <v>2030</v>
      </c>
      <c r="I2344">
        <v>0.1787</v>
      </c>
    </row>
    <row r="2345" spans="1:9">
      <c r="A2345" t="s">
        <v>104</v>
      </c>
      <c r="B2345" t="s">
        <v>105</v>
      </c>
      <c r="C2345" t="s">
        <v>80</v>
      </c>
      <c r="D2345" t="s">
        <v>100</v>
      </c>
      <c r="E2345" t="s">
        <v>102</v>
      </c>
      <c r="F2345" t="s">
        <v>6</v>
      </c>
      <c r="G2345" t="s">
        <v>109</v>
      </c>
      <c r="H2345" s="62">
        <v>2030</v>
      </c>
      <c r="I2345">
        <v>0.42199999999999999</v>
      </c>
    </row>
    <row r="2346" spans="1:9">
      <c r="A2346" t="s">
        <v>104</v>
      </c>
      <c r="B2346" t="s">
        <v>105</v>
      </c>
      <c r="C2346" t="s">
        <v>80</v>
      </c>
      <c r="D2346" t="s">
        <v>100</v>
      </c>
      <c r="E2346" t="s">
        <v>111</v>
      </c>
      <c r="F2346" t="s">
        <v>6</v>
      </c>
      <c r="G2346" t="s">
        <v>109</v>
      </c>
      <c r="H2346" s="62">
        <v>2030</v>
      </c>
      <c r="I2346">
        <v>0</v>
      </c>
    </row>
    <row r="2347" spans="1:9">
      <c r="A2347" t="s">
        <v>104</v>
      </c>
      <c r="B2347" t="s">
        <v>105</v>
      </c>
      <c r="C2347" t="s">
        <v>80</v>
      </c>
      <c r="D2347" t="s">
        <v>100</v>
      </c>
      <c r="E2347" t="s">
        <v>112</v>
      </c>
      <c r="F2347" t="s">
        <v>6</v>
      </c>
      <c r="G2347" t="s">
        <v>109</v>
      </c>
      <c r="H2347" s="62">
        <v>2030</v>
      </c>
      <c r="I2347">
        <v>0</v>
      </c>
    </row>
    <row r="2348" spans="1:9">
      <c r="A2348" t="s">
        <v>104</v>
      </c>
      <c r="B2348" t="s">
        <v>105</v>
      </c>
      <c r="C2348" t="s">
        <v>80</v>
      </c>
      <c r="D2348" t="s">
        <v>83</v>
      </c>
      <c r="E2348" t="s">
        <v>84</v>
      </c>
      <c r="F2348" t="s">
        <v>6</v>
      </c>
      <c r="G2348" t="s">
        <v>109</v>
      </c>
      <c r="H2348" s="62">
        <v>2030</v>
      </c>
      <c r="I2348">
        <v>0.1396</v>
      </c>
    </row>
    <row r="2349" spans="1:9">
      <c r="A2349" t="s">
        <v>104</v>
      </c>
      <c r="B2349" t="s">
        <v>105</v>
      </c>
      <c r="C2349" t="s">
        <v>80</v>
      </c>
      <c r="D2349" t="s">
        <v>83</v>
      </c>
      <c r="E2349" t="s">
        <v>85</v>
      </c>
      <c r="F2349" t="s">
        <v>6</v>
      </c>
      <c r="G2349" t="s">
        <v>109</v>
      </c>
      <c r="H2349" s="62">
        <v>2030</v>
      </c>
      <c r="I2349">
        <v>0.26440000000000002</v>
      </c>
    </row>
    <row r="2350" spans="1:9">
      <c r="A2350" t="s">
        <v>104</v>
      </c>
      <c r="B2350" t="s">
        <v>105</v>
      </c>
      <c r="C2350" t="s">
        <v>80</v>
      </c>
      <c r="D2350" t="s">
        <v>86</v>
      </c>
      <c r="E2350" t="s">
        <v>106</v>
      </c>
      <c r="F2350" t="s">
        <v>6</v>
      </c>
      <c r="G2350" t="s">
        <v>109</v>
      </c>
      <c r="H2350" s="62">
        <v>2030</v>
      </c>
      <c r="I2350">
        <v>0.49209999999999998</v>
      </c>
    </row>
    <row r="2351" spans="1:9">
      <c r="A2351" t="s">
        <v>104</v>
      </c>
      <c r="B2351" t="s">
        <v>105</v>
      </c>
      <c r="C2351" t="s">
        <v>80</v>
      </c>
      <c r="D2351" t="s">
        <v>86</v>
      </c>
      <c r="E2351" t="s">
        <v>87</v>
      </c>
      <c r="F2351" t="s">
        <v>6</v>
      </c>
      <c r="G2351" t="s">
        <v>109</v>
      </c>
      <c r="H2351" s="62">
        <v>2030</v>
      </c>
      <c r="I2351">
        <v>5.7200000000000001E-2</v>
      </c>
    </row>
    <row r="2352" spans="1:9">
      <c r="A2352" t="s">
        <v>104</v>
      </c>
      <c r="B2352" t="s">
        <v>105</v>
      </c>
      <c r="C2352" t="s">
        <v>80</v>
      </c>
      <c r="D2352" t="s">
        <v>103</v>
      </c>
      <c r="E2352" t="s">
        <v>92</v>
      </c>
      <c r="F2352" t="s">
        <v>6</v>
      </c>
      <c r="G2352" t="s">
        <v>109</v>
      </c>
      <c r="H2352" s="62">
        <v>2030</v>
      </c>
      <c r="I2352">
        <v>9.3200000000000005E-2</v>
      </c>
    </row>
    <row r="2353" spans="1:9">
      <c r="A2353" t="s">
        <v>104</v>
      </c>
      <c r="B2353" t="s">
        <v>105</v>
      </c>
      <c r="C2353" t="s">
        <v>80</v>
      </c>
      <c r="D2353" t="s">
        <v>103</v>
      </c>
      <c r="E2353" t="s">
        <v>89</v>
      </c>
      <c r="F2353" t="s">
        <v>6</v>
      </c>
      <c r="G2353" t="s">
        <v>109</v>
      </c>
      <c r="H2353" s="62">
        <v>2030</v>
      </c>
      <c r="I2353">
        <v>0.51259999999999994</v>
      </c>
    </row>
    <row r="2354" spans="1:9">
      <c r="A2354" t="s">
        <v>104</v>
      </c>
      <c r="B2354" t="s">
        <v>105</v>
      </c>
      <c r="C2354" t="s">
        <v>107</v>
      </c>
      <c r="D2354" t="s">
        <v>107</v>
      </c>
      <c r="E2354" t="s">
        <v>107</v>
      </c>
      <c r="F2354" t="s">
        <v>6</v>
      </c>
      <c r="G2354" t="s">
        <v>109</v>
      </c>
      <c r="H2354" s="62">
        <v>2031</v>
      </c>
      <c r="I2354">
        <v>12.2766</v>
      </c>
    </row>
    <row r="2355" spans="1:9">
      <c r="A2355" t="s">
        <v>104</v>
      </c>
      <c r="B2355" t="s">
        <v>105</v>
      </c>
      <c r="C2355" t="s">
        <v>107</v>
      </c>
      <c r="D2355" t="s">
        <v>108</v>
      </c>
      <c r="E2355" t="s">
        <v>108</v>
      </c>
      <c r="F2355" t="s">
        <v>6</v>
      </c>
      <c r="G2355" t="s">
        <v>109</v>
      </c>
      <c r="H2355" s="62">
        <v>2031</v>
      </c>
      <c r="I2355">
        <v>8.7400000000000005E-2</v>
      </c>
    </row>
    <row r="2356" spans="1:9">
      <c r="A2356" t="s">
        <v>104</v>
      </c>
      <c r="B2356" t="s">
        <v>105</v>
      </c>
      <c r="C2356" t="s">
        <v>80</v>
      </c>
      <c r="D2356" t="s">
        <v>80</v>
      </c>
      <c r="E2356" t="s">
        <v>80</v>
      </c>
      <c r="F2356" t="s">
        <v>6</v>
      </c>
      <c r="G2356" t="s">
        <v>109</v>
      </c>
      <c r="H2356" s="62">
        <v>2031</v>
      </c>
      <c r="I2356">
        <v>12.189299999999999</v>
      </c>
    </row>
    <row r="2357" spans="1:9">
      <c r="A2357" t="s">
        <v>104</v>
      </c>
      <c r="B2357" t="s">
        <v>105</v>
      </c>
      <c r="C2357" t="s">
        <v>80</v>
      </c>
      <c r="D2357" t="s">
        <v>89</v>
      </c>
      <c r="E2357" t="s">
        <v>90</v>
      </c>
      <c r="F2357" t="s">
        <v>6</v>
      </c>
      <c r="G2357" t="s">
        <v>109</v>
      </c>
      <c r="H2357" s="62">
        <v>2031</v>
      </c>
      <c r="I2357">
        <v>1.5366</v>
      </c>
    </row>
    <row r="2358" spans="1:9">
      <c r="A2358" t="s">
        <v>104</v>
      </c>
      <c r="B2358" t="s">
        <v>105</v>
      </c>
      <c r="C2358" t="s">
        <v>80</v>
      </c>
      <c r="D2358" t="s">
        <v>89</v>
      </c>
      <c r="E2358" t="s">
        <v>91</v>
      </c>
      <c r="F2358" t="s">
        <v>6</v>
      </c>
      <c r="G2358" t="s">
        <v>109</v>
      </c>
      <c r="H2358" s="62">
        <v>2031</v>
      </c>
      <c r="I2358">
        <v>-8.4500000000000006E-2</v>
      </c>
    </row>
    <row r="2359" spans="1:9">
      <c r="A2359" t="s">
        <v>104</v>
      </c>
      <c r="B2359" t="s">
        <v>105</v>
      </c>
      <c r="C2359" t="s">
        <v>80</v>
      </c>
      <c r="D2359" t="s">
        <v>92</v>
      </c>
      <c r="E2359" t="s">
        <v>93</v>
      </c>
      <c r="F2359" t="s">
        <v>6</v>
      </c>
      <c r="G2359" t="s">
        <v>109</v>
      </c>
      <c r="H2359" s="62">
        <v>2031</v>
      </c>
      <c r="I2359">
        <v>-0.4778</v>
      </c>
    </row>
    <row r="2360" spans="1:9">
      <c r="A2360" t="s">
        <v>104</v>
      </c>
      <c r="B2360" t="s">
        <v>105</v>
      </c>
      <c r="C2360" t="s">
        <v>80</v>
      </c>
      <c r="D2360" t="s">
        <v>92</v>
      </c>
      <c r="E2360" t="s">
        <v>94</v>
      </c>
      <c r="F2360" t="s">
        <v>6</v>
      </c>
      <c r="G2360" t="s">
        <v>109</v>
      </c>
      <c r="H2360" s="62">
        <v>2031</v>
      </c>
      <c r="I2360">
        <v>2.3117999999999999</v>
      </c>
    </row>
    <row r="2361" spans="1:9">
      <c r="A2361" t="s">
        <v>104</v>
      </c>
      <c r="B2361" t="s">
        <v>105</v>
      </c>
      <c r="C2361" t="s">
        <v>80</v>
      </c>
      <c r="D2361" t="s">
        <v>92</v>
      </c>
      <c r="E2361" t="s">
        <v>110</v>
      </c>
      <c r="F2361" t="s">
        <v>6</v>
      </c>
      <c r="G2361" t="s">
        <v>109</v>
      </c>
      <c r="H2361" s="62">
        <v>2031</v>
      </c>
      <c r="I2361">
        <v>0</v>
      </c>
    </row>
    <row r="2362" spans="1:9">
      <c r="A2362" t="s">
        <v>104</v>
      </c>
      <c r="B2362" t="s">
        <v>105</v>
      </c>
      <c r="C2362" t="s">
        <v>80</v>
      </c>
      <c r="D2362" t="s">
        <v>92</v>
      </c>
      <c r="E2362" t="s">
        <v>95</v>
      </c>
      <c r="F2362" t="s">
        <v>6</v>
      </c>
      <c r="G2362" t="s">
        <v>109</v>
      </c>
      <c r="H2362" s="62">
        <v>2031</v>
      </c>
      <c r="I2362">
        <v>6.3752000000000004</v>
      </c>
    </row>
    <row r="2363" spans="1:9">
      <c r="A2363" t="s">
        <v>104</v>
      </c>
      <c r="B2363" t="s">
        <v>105</v>
      </c>
      <c r="C2363" t="s">
        <v>80</v>
      </c>
      <c r="D2363" t="s">
        <v>96</v>
      </c>
      <c r="E2363" t="s">
        <v>92</v>
      </c>
      <c r="F2363" t="s">
        <v>6</v>
      </c>
      <c r="G2363" t="s">
        <v>109</v>
      </c>
      <c r="H2363" s="62">
        <v>2031</v>
      </c>
      <c r="I2363">
        <v>0.41949999999999998</v>
      </c>
    </row>
    <row r="2364" spans="1:9">
      <c r="A2364" t="s">
        <v>104</v>
      </c>
      <c r="B2364" t="s">
        <v>105</v>
      </c>
      <c r="C2364" t="s">
        <v>80</v>
      </c>
      <c r="D2364" t="s">
        <v>96</v>
      </c>
      <c r="E2364" t="s">
        <v>89</v>
      </c>
      <c r="F2364" t="s">
        <v>6</v>
      </c>
      <c r="G2364" t="s">
        <v>109</v>
      </c>
      <c r="H2364" s="62">
        <v>2031</v>
      </c>
      <c r="I2364">
        <v>1.2800000000000001E-2</v>
      </c>
    </row>
    <row r="2365" spans="1:9">
      <c r="A2365" t="s">
        <v>104</v>
      </c>
      <c r="B2365" t="s">
        <v>105</v>
      </c>
      <c r="C2365" t="s">
        <v>80</v>
      </c>
      <c r="D2365" t="s">
        <v>97</v>
      </c>
      <c r="E2365" t="s">
        <v>98</v>
      </c>
      <c r="F2365" t="s">
        <v>6</v>
      </c>
      <c r="G2365" t="s">
        <v>109</v>
      </c>
      <c r="H2365" s="62">
        <v>2031</v>
      </c>
      <c r="I2365">
        <v>9.8199999999999996E-2</v>
      </c>
    </row>
    <row r="2366" spans="1:9">
      <c r="A2366" t="s">
        <v>104</v>
      </c>
      <c r="B2366" t="s">
        <v>105</v>
      </c>
      <c r="C2366" t="s">
        <v>80</v>
      </c>
      <c r="D2366" t="s">
        <v>97</v>
      </c>
      <c r="E2366" t="s">
        <v>99</v>
      </c>
      <c r="F2366" t="s">
        <v>6</v>
      </c>
      <c r="G2366" t="s">
        <v>109</v>
      </c>
      <c r="H2366" s="62">
        <v>2031</v>
      </c>
      <c r="I2366">
        <v>2.0000000000000001E-4</v>
      </c>
    </row>
    <row r="2367" spans="1:9">
      <c r="A2367" t="s">
        <v>104</v>
      </c>
      <c r="B2367" t="s">
        <v>105</v>
      </c>
      <c r="C2367" t="s">
        <v>80</v>
      </c>
      <c r="D2367" t="s">
        <v>100</v>
      </c>
      <c r="E2367" t="s">
        <v>101</v>
      </c>
      <c r="F2367" t="s">
        <v>6</v>
      </c>
      <c r="G2367" t="s">
        <v>109</v>
      </c>
      <c r="H2367" s="62">
        <v>2031</v>
      </c>
      <c r="I2367">
        <v>0.38769999999999999</v>
      </c>
    </row>
    <row r="2368" spans="1:9">
      <c r="A2368" t="s">
        <v>104</v>
      </c>
      <c r="B2368" t="s">
        <v>105</v>
      </c>
      <c r="C2368" t="s">
        <v>80</v>
      </c>
      <c r="D2368" t="s">
        <v>100</v>
      </c>
      <c r="E2368" t="s">
        <v>102</v>
      </c>
      <c r="F2368" t="s">
        <v>6</v>
      </c>
      <c r="G2368" t="s">
        <v>109</v>
      </c>
      <c r="H2368" s="62">
        <v>2031</v>
      </c>
      <c r="I2368">
        <v>1.1980999999999999</v>
      </c>
    </row>
    <row r="2369" spans="1:9">
      <c r="A2369" t="s">
        <v>104</v>
      </c>
      <c r="B2369" t="s">
        <v>105</v>
      </c>
      <c r="C2369" t="s">
        <v>80</v>
      </c>
      <c r="D2369" t="s">
        <v>100</v>
      </c>
      <c r="E2369" t="s">
        <v>111</v>
      </c>
      <c r="F2369" t="s">
        <v>6</v>
      </c>
      <c r="G2369" t="s">
        <v>109</v>
      </c>
      <c r="H2369" s="62">
        <v>2031</v>
      </c>
      <c r="I2369">
        <v>0</v>
      </c>
    </row>
    <row r="2370" spans="1:9">
      <c r="A2370" t="s">
        <v>104</v>
      </c>
      <c r="B2370" t="s">
        <v>105</v>
      </c>
      <c r="C2370" t="s">
        <v>80</v>
      </c>
      <c r="D2370" t="s">
        <v>100</v>
      </c>
      <c r="E2370" t="s">
        <v>112</v>
      </c>
      <c r="F2370" t="s">
        <v>6</v>
      </c>
      <c r="G2370" t="s">
        <v>109</v>
      </c>
      <c r="H2370" s="62">
        <v>2031</v>
      </c>
      <c r="I2370">
        <v>0</v>
      </c>
    </row>
    <row r="2371" spans="1:9">
      <c r="A2371" t="s">
        <v>104</v>
      </c>
      <c r="B2371" t="s">
        <v>105</v>
      </c>
      <c r="C2371" t="s">
        <v>80</v>
      </c>
      <c r="D2371" t="s">
        <v>83</v>
      </c>
      <c r="E2371" t="s">
        <v>84</v>
      </c>
      <c r="F2371" t="s">
        <v>6</v>
      </c>
      <c r="G2371" t="s">
        <v>109</v>
      </c>
      <c r="H2371" s="62">
        <v>2031</v>
      </c>
      <c r="I2371">
        <v>0.14360000000000001</v>
      </c>
    </row>
    <row r="2372" spans="1:9">
      <c r="A2372" t="s">
        <v>104</v>
      </c>
      <c r="B2372" t="s">
        <v>105</v>
      </c>
      <c r="C2372" t="s">
        <v>80</v>
      </c>
      <c r="D2372" t="s">
        <v>83</v>
      </c>
      <c r="E2372" t="s">
        <v>85</v>
      </c>
      <c r="F2372" t="s">
        <v>6</v>
      </c>
      <c r="G2372" t="s">
        <v>109</v>
      </c>
      <c r="H2372" s="62">
        <v>2031</v>
      </c>
      <c r="I2372">
        <v>0.26779999999999998</v>
      </c>
    </row>
    <row r="2373" spans="1:9">
      <c r="A2373" t="s">
        <v>104</v>
      </c>
      <c r="B2373" t="s">
        <v>105</v>
      </c>
      <c r="C2373" t="s">
        <v>80</v>
      </c>
      <c r="D2373" t="s">
        <v>86</v>
      </c>
      <c r="E2373" t="s">
        <v>106</v>
      </c>
      <c r="F2373" t="s">
        <v>6</v>
      </c>
      <c r="G2373" t="s">
        <v>109</v>
      </c>
      <c r="H2373" s="62">
        <v>2031</v>
      </c>
      <c r="I2373">
        <v>0.49509999999999998</v>
      </c>
    </row>
    <row r="2374" spans="1:9">
      <c r="A2374" t="s">
        <v>104</v>
      </c>
      <c r="B2374" t="s">
        <v>105</v>
      </c>
      <c r="C2374" t="s">
        <v>80</v>
      </c>
      <c r="D2374" t="s">
        <v>86</v>
      </c>
      <c r="E2374" t="s">
        <v>87</v>
      </c>
      <c r="F2374" t="s">
        <v>6</v>
      </c>
      <c r="G2374" t="s">
        <v>109</v>
      </c>
      <c r="H2374" s="62">
        <v>2031</v>
      </c>
      <c r="I2374">
        <v>6.7199999999999996E-2</v>
      </c>
    </row>
    <row r="2375" spans="1:9">
      <c r="A2375" t="s">
        <v>104</v>
      </c>
      <c r="B2375" t="s">
        <v>105</v>
      </c>
      <c r="C2375" t="s">
        <v>80</v>
      </c>
      <c r="D2375" t="s">
        <v>103</v>
      </c>
      <c r="E2375" t="s">
        <v>92</v>
      </c>
      <c r="F2375" t="s">
        <v>6</v>
      </c>
      <c r="G2375" t="s">
        <v>109</v>
      </c>
      <c r="H2375" s="62">
        <v>2031</v>
      </c>
      <c r="I2375">
        <v>0.1002</v>
      </c>
    </row>
    <row r="2376" spans="1:9">
      <c r="A2376" t="s">
        <v>104</v>
      </c>
      <c r="B2376" t="s">
        <v>105</v>
      </c>
      <c r="C2376" t="s">
        <v>80</v>
      </c>
      <c r="D2376" t="s">
        <v>103</v>
      </c>
      <c r="E2376" t="s">
        <v>89</v>
      </c>
      <c r="F2376" t="s">
        <v>6</v>
      </c>
      <c r="G2376" t="s">
        <v>109</v>
      </c>
      <c r="H2376" s="62">
        <v>2031</v>
      </c>
      <c r="I2376">
        <v>0.55479999999999996</v>
      </c>
    </row>
    <row r="2377" spans="1:9">
      <c r="A2377" t="s">
        <v>104</v>
      </c>
      <c r="B2377" t="s">
        <v>105</v>
      </c>
      <c r="C2377" t="s">
        <v>107</v>
      </c>
      <c r="D2377" t="s">
        <v>107</v>
      </c>
      <c r="E2377" t="s">
        <v>107</v>
      </c>
      <c r="F2377" t="s">
        <v>6</v>
      </c>
      <c r="G2377" t="s">
        <v>109</v>
      </c>
      <c r="H2377" s="62">
        <v>2032</v>
      </c>
      <c r="I2377">
        <v>12.7318</v>
      </c>
    </row>
    <row r="2378" spans="1:9">
      <c r="A2378" t="s">
        <v>104</v>
      </c>
      <c r="B2378" t="s">
        <v>105</v>
      </c>
      <c r="C2378" t="s">
        <v>107</v>
      </c>
      <c r="D2378" t="s">
        <v>108</v>
      </c>
      <c r="E2378" t="s">
        <v>108</v>
      </c>
      <c r="F2378" t="s">
        <v>6</v>
      </c>
      <c r="G2378" t="s">
        <v>109</v>
      </c>
      <c r="H2378" s="62">
        <v>2032</v>
      </c>
      <c r="I2378">
        <v>8.9099999999999999E-2</v>
      </c>
    </row>
    <row r="2379" spans="1:9">
      <c r="A2379" t="s">
        <v>104</v>
      </c>
      <c r="B2379" t="s">
        <v>105</v>
      </c>
      <c r="C2379" t="s">
        <v>80</v>
      </c>
      <c r="D2379" t="s">
        <v>80</v>
      </c>
      <c r="E2379" t="s">
        <v>80</v>
      </c>
      <c r="F2379" t="s">
        <v>6</v>
      </c>
      <c r="G2379" t="s">
        <v>109</v>
      </c>
      <c r="H2379" s="62">
        <v>2032</v>
      </c>
      <c r="I2379">
        <v>12.6427</v>
      </c>
    </row>
    <row r="2380" spans="1:9">
      <c r="A2380" t="s">
        <v>104</v>
      </c>
      <c r="B2380" t="s">
        <v>105</v>
      </c>
      <c r="C2380" t="s">
        <v>80</v>
      </c>
      <c r="D2380" t="s">
        <v>89</v>
      </c>
      <c r="E2380" t="s">
        <v>90</v>
      </c>
      <c r="F2380" t="s">
        <v>6</v>
      </c>
      <c r="G2380" t="s">
        <v>109</v>
      </c>
      <c r="H2380" s="62">
        <v>2032</v>
      </c>
      <c r="I2380">
        <v>1.4842</v>
      </c>
    </row>
    <row r="2381" spans="1:9">
      <c r="A2381" t="s">
        <v>104</v>
      </c>
      <c r="B2381" t="s">
        <v>105</v>
      </c>
      <c r="C2381" t="s">
        <v>80</v>
      </c>
      <c r="D2381" t="s">
        <v>89</v>
      </c>
      <c r="E2381" t="s">
        <v>91</v>
      </c>
      <c r="F2381" t="s">
        <v>6</v>
      </c>
      <c r="G2381" t="s">
        <v>109</v>
      </c>
      <c r="H2381" s="62">
        <v>2032</v>
      </c>
      <c r="I2381">
        <v>-8.4500000000000006E-2</v>
      </c>
    </row>
    <row r="2382" spans="1:9">
      <c r="A2382" t="s">
        <v>104</v>
      </c>
      <c r="B2382" t="s">
        <v>105</v>
      </c>
      <c r="C2382" t="s">
        <v>80</v>
      </c>
      <c r="D2382" t="s">
        <v>92</v>
      </c>
      <c r="E2382" t="s">
        <v>93</v>
      </c>
      <c r="F2382" t="s">
        <v>6</v>
      </c>
      <c r="G2382" t="s">
        <v>109</v>
      </c>
      <c r="H2382" s="62">
        <v>2032</v>
      </c>
      <c r="I2382">
        <v>-0.49380000000000002</v>
      </c>
    </row>
    <row r="2383" spans="1:9">
      <c r="A2383" t="s">
        <v>104</v>
      </c>
      <c r="B2383" t="s">
        <v>105</v>
      </c>
      <c r="C2383" t="s">
        <v>80</v>
      </c>
      <c r="D2383" t="s">
        <v>92</v>
      </c>
      <c r="E2383" t="s">
        <v>94</v>
      </c>
      <c r="F2383" t="s">
        <v>6</v>
      </c>
      <c r="G2383" t="s">
        <v>109</v>
      </c>
      <c r="H2383" s="62">
        <v>2032</v>
      </c>
      <c r="I2383">
        <v>2.3275999999999999</v>
      </c>
    </row>
    <row r="2384" spans="1:9">
      <c r="A2384" t="s">
        <v>104</v>
      </c>
      <c r="B2384" t="s">
        <v>105</v>
      </c>
      <c r="C2384" t="s">
        <v>80</v>
      </c>
      <c r="D2384" t="s">
        <v>92</v>
      </c>
      <c r="E2384" t="s">
        <v>110</v>
      </c>
      <c r="F2384" t="s">
        <v>6</v>
      </c>
      <c r="G2384" t="s">
        <v>109</v>
      </c>
      <c r="H2384" s="62">
        <v>2032</v>
      </c>
      <c r="I2384">
        <v>0</v>
      </c>
    </row>
    <row r="2385" spans="1:9">
      <c r="A2385" t="s">
        <v>104</v>
      </c>
      <c r="B2385" t="s">
        <v>105</v>
      </c>
      <c r="C2385" t="s">
        <v>80</v>
      </c>
      <c r="D2385" t="s">
        <v>92</v>
      </c>
      <c r="E2385" t="s">
        <v>95</v>
      </c>
      <c r="F2385" t="s">
        <v>6</v>
      </c>
      <c r="G2385" t="s">
        <v>109</v>
      </c>
      <c r="H2385" s="62">
        <v>2032</v>
      </c>
      <c r="I2385">
        <v>6.3464999999999998</v>
      </c>
    </row>
    <row r="2386" spans="1:9">
      <c r="A2386" t="s">
        <v>104</v>
      </c>
      <c r="B2386" t="s">
        <v>105</v>
      </c>
      <c r="C2386" t="s">
        <v>80</v>
      </c>
      <c r="D2386" t="s">
        <v>96</v>
      </c>
      <c r="E2386" t="s">
        <v>92</v>
      </c>
      <c r="F2386" t="s">
        <v>6</v>
      </c>
      <c r="G2386" t="s">
        <v>109</v>
      </c>
      <c r="H2386" s="62">
        <v>2032</v>
      </c>
      <c r="I2386">
        <v>0.80989999999999995</v>
      </c>
    </row>
    <row r="2387" spans="1:9">
      <c r="A2387" t="s">
        <v>104</v>
      </c>
      <c r="B2387" t="s">
        <v>105</v>
      </c>
      <c r="C2387" t="s">
        <v>80</v>
      </c>
      <c r="D2387" t="s">
        <v>96</v>
      </c>
      <c r="E2387" t="s">
        <v>89</v>
      </c>
      <c r="F2387" t="s">
        <v>6</v>
      </c>
      <c r="G2387" t="s">
        <v>109</v>
      </c>
      <c r="H2387" s="62">
        <v>2032</v>
      </c>
      <c r="I2387">
        <v>1.6500000000000001E-2</v>
      </c>
    </row>
    <row r="2388" spans="1:9">
      <c r="A2388" t="s">
        <v>104</v>
      </c>
      <c r="B2388" t="s">
        <v>105</v>
      </c>
      <c r="C2388" t="s">
        <v>80</v>
      </c>
      <c r="D2388" t="s">
        <v>97</v>
      </c>
      <c r="E2388" t="s">
        <v>98</v>
      </c>
      <c r="F2388" t="s">
        <v>6</v>
      </c>
      <c r="G2388" t="s">
        <v>109</v>
      </c>
      <c r="H2388" s="62">
        <v>2032</v>
      </c>
      <c r="I2388">
        <v>0.11849999999999999</v>
      </c>
    </row>
    <row r="2389" spans="1:9">
      <c r="A2389" t="s">
        <v>104</v>
      </c>
      <c r="B2389" t="s">
        <v>105</v>
      </c>
      <c r="C2389" t="s">
        <v>80</v>
      </c>
      <c r="D2389" t="s">
        <v>97</v>
      </c>
      <c r="E2389" t="s">
        <v>99</v>
      </c>
      <c r="F2389" t="s">
        <v>6</v>
      </c>
      <c r="G2389" t="s">
        <v>109</v>
      </c>
      <c r="H2389" s="62">
        <v>2032</v>
      </c>
      <c r="I2389">
        <v>4.0000000000000002E-4</v>
      </c>
    </row>
    <row r="2390" spans="1:9">
      <c r="A2390" t="s">
        <v>104</v>
      </c>
      <c r="B2390" t="s">
        <v>105</v>
      </c>
      <c r="C2390" t="s">
        <v>80</v>
      </c>
      <c r="D2390" t="s">
        <v>100</v>
      </c>
      <c r="E2390" t="s">
        <v>101</v>
      </c>
      <c r="F2390" t="s">
        <v>6</v>
      </c>
      <c r="G2390" t="s">
        <v>109</v>
      </c>
      <c r="H2390" s="62">
        <v>2032</v>
      </c>
      <c r="I2390">
        <v>0.62849999999999995</v>
      </c>
    </row>
    <row r="2391" spans="1:9">
      <c r="A2391" t="s">
        <v>104</v>
      </c>
      <c r="B2391" t="s">
        <v>105</v>
      </c>
      <c r="C2391" t="s">
        <v>80</v>
      </c>
      <c r="D2391" t="s">
        <v>100</v>
      </c>
      <c r="E2391" t="s">
        <v>102</v>
      </c>
      <c r="F2391" t="s">
        <v>6</v>
      </c>
      <c r="G2391" t="s">
        <v>109</v>
      </c>
      <c r="H2391" s="62">
        <v>2032</v>
      </c>
      <c r="I2391">
        <v>1.0562</v>
      </c>
    </row>
    <row r="2392" spans="1:9">
      <c r="A2392" t="s">
        <v>104</v>
      </c>
      <c r="B2392" t="s">
        <v>105</v>
      </c>
      <c r="C2392" t="s">
        <v>80</v>
      </c>
      <c r="D2392" t="s">
        <v>100</v>
      </c>
      <c r="E2392" t="s">
        <v>111</v>
      </c>
      <c r="F2392" t="s">
        <v>6</v>
      </c>
      <c r="G2392" t="s">
        <v>109</v>
      </c>
      <c r="H2392" s="62">
        <v>2032</v>
      </c>
      <c r="I2392">
        <v>0</v>
      </c>
    </row>
    <row r="2393" spans="1:9">
      <c r="A2393" t="s">
        <v>104</v>
      </c>
      <c r="B2393" t="s">
        <v>105</v>
      </c>
      <c r="C2393" t="s">
        <v>80</v>
      </c>
      <c r="D2393" t="s">
        <v>100</v>
      </c>
      <c r="E2393" t="s">
        <v>112</v>
      </c>
      <c r="F2393" t="s">
        <v>6</v>
      </c>
      <c r="G2393" t="s">
        <v>109</v>
      </c>
      <c r="H2393" s="62">
        <v>2032</v>
      </c>
      <c r="I2393">
        <v>0</v>
      </c>
    </row>
    <row r="2394" spans="1:9">
      <c r="A2394" t="s">
        <v>104</v>
      </c>
      <c r="B2394" t="s">
        <v>105</v>
      </c>
      <c r="C2394" t="s">
        <v>80</v>
      </c>
      <c r="D2394" t="s">
        <v>83</v>
      </c>
      <c r="E2394" t="s">
        <v>84</v>
      </c>
      <c r="F2394" t="s">
        <v>6</v>
      </c>
      <c r="G2394" t="s">
        <v>109</v>
      </c>
      <c r="H2394" s="62">
        <v>2032</v>
      </c>
      <c r="I2394">
        <v>0.156</v>
      </c>
    </row>
    <row r="2395" spans="1:9">
      <c r="A2395" t="s">
        <v>104</v>
      </c>
      <c r="B2395" t="s">
        <v>105</v>
      </c>
      <c r="C2395" t="s">
        <v>80</v>
      </c>
      <c r="D2395" t="s">
        <v>83</v>
      </c>
      <c r="E2395" t="s">
        <v>85</v>
      </c>
      <c r="F2395" t="s">
        <v>6</v>
      </c>
      <c r="G2395" t="s">
        <v>109</v>
      </c>
      <c r="H2395" s="62">
        <v>2032</v>
      </c>
      <c r="I2395">
        <v>0.27650000000000002</v>
      </c>
    </row>
    <row r="2396" spans="1:9">
      <c r="A2396" t="s">
        <v>104</v>
      </c>
      <c r="B2396" t="s">
        <v>105</v>
      </c>
      <c r="C2396" t="s">
        <v>80</v>
      </c>
      <c r="D2396" t="s">
        <v>86</v>
      </c>
      <c r="E2396" t="s">
        <v>106</v>
      </c>
      <c r="F2396" t="s">
        <v>6</v>
      </c>
      <c r="G2396" t="s">
        <v>109</v>
      </c>
      <c r="H2396" s="62">
        <v>2032</v>
      </c>
      <c r="I2396">
        <v>0.49940000000000001</v>
      </c>
    </row>
    <row r="2397" spans="1:9">
      <c r="A2397" t="s">
        <v>104</v>
      </c>
      <c r="B2397" t="s">
        <v>105</v>
      </c>
      <c r="C2397" t="s">
        <v>80</v>
      </c>
      <c r="D2397" t="s">
        <v>86</v>
      </c>
      <c r="E2397" t="s">
        <v>87</v>
      </c>
      <c r="F2397" t="s">
        <v>6</v>
      </c>
      <c r="G2397" t="s">
        <v>109</v>
      </c>
      <c r="H2397" s="62">
        <v>2032</v>
      </c>
      <c r="I2397">
        <v>7.8799999999999995E-2</v>
      </c>
    </row>
    <row r="2398" spans="1:9">
      <c r="A2398" t="s">
        <v>104</v>
      </c>
      <c r="B2398" t="s">
        <v>105</v>
      </c>
      <c r="C2398" t="s">
        <v>80</v>
      </c>
      <c r="D2398" t="s">
        <v>103</v>
      </c>
      <c r="E2398" t="s">
        <v>92</v>
      </c>
      <c r="F2398" t="s">
        <v>6</v>
      </c>
      <c r="G2398" t="s">
        <v>109</v>
      </c>
      <c r="H2398" s="62">
        <v>2032</v>
      </c>
      <c r="I2398">
        <v>0.10730000000000001</v>
      </c>
    </row>
    <row r="2399" spans="1:9">
      <c r="A2399" t="s">
        <v>104</v>
      </c>
      <c r="B2399" t="s">
        <v>105</v>
      </c>
      <c r="C2399" t="s">
        <v>80</v>
      </c>
      <c r="D2399" t="s">
        <v>103</v>
      </c>
      <c r="E2399" t="s">
        <v>89</v>
      </c>
      <c r="F2399" t="s">
        <v>6</v>
      </c>
      <c r="G2399" t="s">
        <v>109</v>
      </c>
      <c r="H2399" s="62">
        <v>2032</v>
      </c>
      <c r="I2399">
        <v>0.59919999999999995</v>
      </c>
    </row>
    <row r="2400" spans="1:9">
      <c r="A2400" t="s">
        <v>104</v>
      </c>
      <c r="B2400" t="s">
        <v>105</v>
      </c>
      <c r="C2400" t="s">
        <v>107</v>
      </c>
      <c r="D2400" t="s">
        <v>107</v>
      </c>
      <c r="E2400" t="s">
        <v>107</v>
      </c>
      <c r="F2400" t="s">
        <v>6</v>
      </c>
      <c r="G2400" t="s">
        <v>109</v>
      </c>
      <c r="H2400" s="62">
        <v>2033</v>
      </c>
      <c r="I2400">
        <v>13.991400000000001</v>
      </c>
    </row>
    <row r="2401" spans="1:9">
      <c r="A2401" t="s">
        <v>104</v>
      </c>
      <c r="B2401" t="s">
        <v>105</v>
      </c>
      <c r="C2401" t="s">
        <v>107</v>
      </c>
      <c r="D2401" t="s">
        <v>108</v>
      </c>
      <c r="E2401" t="s">
        <v>108</v>
      </c>
      <c r="F2401" t="s">
        <v>6</v>
      </c>
      <c r="G2401" t="s">
        <v>109</v>
      </c>
      <c r="H2401" s="62">
        <v>2033</v>
      </c>
      <c r="I2401">
        <v>8.8599999999999998E-2</v>
      </c>
    </row>
    <row r="2402" spans="1:9">
      <c r="A2402" t="s">
        <v>104</v>
      </c>
      <c r="B2402" t="s">
        <v>105</v>
      </c>
      <c r="C2402" t="s">
        <v>80</v>
      </c>
      <c r="D2402" t="s">
        <v>80</v>
      </c>
      <c r="E2402" t="s">
        <v>80</v>
      </c>
      <c r="F2402" t="s">
        <v>6</v>
      </c>
      <c r="G2402" t="s">
        <v>109</v>
      </c>
      <c r="H2402" s="62">
        <v>2033</v>
      </c>
      <c r="I2402">
        <v>13.902799999999999</v>
      </c>
    </row>
    <row r="2403" spans="1:9">
      <c r="A2403" t="s">
        <v>104</v>
      </c>
      <c r="B2403" t="s">
        <v>105</v>
      </c>
      <c r="C2403" t="s">
        <v>80</v>
      </c>
      <c r="D2403" t="s">
        <v>89</v>
      </c>
      <c r="E2403" t="s">
        <v>90</v>
      </c>
      <c r="F2403" t="s">
        <v>6</v>
      </c>
      <c r="G2403" t="s">
        <v>109</v>
      </c>
      <c r="H2403" s="62">
        <v>2033</v>
      </c>
      <c r="I2403">
        <v>1.4248000000000001</v>
      </c>
    </row>
    <row r="2404" spans="1:9">
      <c r="A2404" t="s">
        <v>104</v>
      </c>
      <c r="B2404" t="s">
        <v>105</v>
      </c>
      <c r="C2404" t="s">
        <v>80</v>
      </c>
      <c r="D2404" t="s">
        <v>89</v>
      </c>
      <c r="E2404" t="s">
        <v>91</v>
      </c>
      <c r="F2404" t="s">
        <v>6</v>
      </c>
      <c r="G2404" t="s">
        <v>109</v>
      </c>
      <c r="H2404" s="62">
        <v>2033</v>
      </c>
      <c r="I2404">
        <v>-8.4000000000000005E-2</v>
      </c>
    </row>
    <row r="2405" spans="1:9">
      <c r="A2405" t="s">
        <v>104</v>
      </c>
      <c r="B2405" t="s">
        <v>105</v>
      </c>
      <c r="C2405" t="s">
        <v>80</v>
      </c>
      <c r="D2405" t="s">
        <v>92</v>
      </c>
      <c r="E2405" t="s">
        <v>93</v>
      </c>
      <c r="F2405" t="s">
        <v>6</v>
      </c>
      <c r="G2405" t="s">
        <v>109</v>
      </c>
      <c r="H2405" s="62">
        <v>2033</v>
      </c>
      <c r="I2405">
        <v>-0.51070000000000004</v>
      </c>
    </row>
    <row r="2406" spans="1:9">
      <c r="A2406" t="s">
        <v>104</v>
      </c>
      <c r="B2406" t="s">
        <v>105</v>
      </c>
      <c r="C2406" t="s">
        <v>80</v>
      </c>
      <c r="D2406" t="s">
        <v>92</v>
      </c>
      <c r="E2406" t="s">
        <v>94</v>
      </c>
      <c r="F2406" t="s">
        <v>6</v>
      </c>
      <c r="G2406" t="s">
        <v>109</v>
      </c>
      <c r="H2406" s="62">
        <v>2033</v>
      </c>
      <c r="I2406">
        <v>2.3313999999999999</v>
      </c>
    </row>
    <row r="2407" spans="1:9">
      <c r="A2407" t="s">
        <v>104</v>
      </c>
      <c r="B2407" t="s">
        <v>105</v>
      </c>
      <c r="C2407" t="s">
        <v>80</v>
      </c>
      <c r="D2407" t="s">
        <v>92</v>
      </c>
      <c r="E2407" t="s">
        <v>110</v>
      </c>
      <c r="F2407" t="s">
        <v>6</v>
      </c>
      <c r="G2407" t="s">
        <v>109</v>
      </c>
      <c r="H2407" s="62">
        <v>2033</v>
      </c>
      <c r="I2407">
        <v>0</v>
      </c>
    </row>
    <row r="2408" spans="1:9">
      <c r="A2408" t="s">
        <v>104</v>
      </c>
      <c r="B2408" t="s">
        <v>105</v>
      </c>
      <c r="C2408" t="s">
        <v>80</v>
      </c>
      <c r="D2408" t="s">
        <v>92</v>
      </c>
      <c r="E2408" t="s">
        <v>95</v>
      </c>
      <c r="F2408" t="s">
        <v>6</v>
      </c>
      <c r="G2408" t="s">
        <v>109</v>
      </c>
      <c r="H2408" s="62">
        <v>2033</v>
      </c>
      <c r="I2408">
        <v>6.33</v>
      </c>
    </row>
    <row r="2409" spans="1:9">
      <c r="A2409" t="s">
        <v>104</v>
      </c>
      <c r="B2409" t="s">
        <v>105</v>
      </c>
      <c r="C2409" t="s">
        <v>80</v>
      </c>
      <c r="D2409" t="s">
        <v>96</v>
      </c>
      <c r="E2409" t="s">
        <v>92</v>
      </c>
      <c r="F2409" t="s">
        <v>6</v>
      </c>
      <c r="G2409" t="s">
        <v>109</v>
      </c>
      <c r="H2409" s="62">
        <v>2033</v>
      </c>
      <c r="I2409">
        <v>1.1808000000000001</v>
      </c>
    </row>
    <row r="2410" spans="1:9">
      <c r="A2410" t="s">
        <v>104</v>
      </c>
      <c r="B2410" t="s">
        <v>105</v>
      </c>
      <c r="C2410" t="s">
        <v>80</v>
      </c>
      <c r="D2410" t="s">
        <v>96</v>
      </c>
      <c r="E2410" t="s">
        <v>89</v>
      </c>
      <c r="F2410" t="s">
        <v>6</v>
      </c>
      <c r="G2410" t="s">
        <v>109</v>
      </c>
      <c r="H2410" s="62">
        <v>2033</v>
      </c>
      <c r="I2410">
        <v>1.8200000000000001E-2</v>
      </c>
    </row>
    <row r="2411" spans="1:9">
      <c r="A2411" t="s">
        <v>104</v>
      </c>
      <c r="B2411" t="s">
        <v>105</v>
      </c>
      <c r="C2411" t="s">
        <v>80</v>
      </c>
      <c r="D2411" t="s">
        <v>97</v>
      </c>
      <c r="E2411" t="s">
        <v>98</v>
      </c>
      <c r="F2411" t="s">
        <v>6</v>
      </c>
      <c r="G2411" t="s">
        <v>109</v>
      </c>
      <c r="H2411" s="62">
        <v>2033</v>
      </c>
      <c r="I2411">
        <v>0.1391</v>
      </c>
    </row>
    <row r="2412" spans="1:9">
      <c r="A2412" t="s">
        <v>104</v>
      </c>
      <c r="B2412" t="s">
        <v>105</v>
      </c>
      <c r="C2412" t="s">
        <v>80</v>
      </c>
      <c r="D2412" t="s">
        <v>97</v>
      </c>
      <c r="E2412" t="s">
        <v>99</v>
      </c>
      <c r="F2412" t="s">
        <v>6</v>
      </c>
      <c r="G2412" t="s">
        <v>109</v>
      </c>
      <c r="H2412" s="62">
        <v>2033</v>
      </c>
      <c r="I2412">
        <v>8.0000000000000004E-4</v>
      </c>
    </row>
    <row r="2413" spans="1:9">
      <c r="A2413" t="s">
        <v>104</v>
      </c>
      <c r="B2413" t="s">
        <v>105</v>
      </c>
      <c r="C2413" t="s">
        <v>80</v>
      </c>
      <c r="D2413" t="s">
        <v>100</v>
      </c>
      <c r="E2413" t="s">
        <v>101</v>
      </c>
      <c r="F2413" t="s">
        <v>6</v>
      </c>
      <c r="G2413" t="s">
        <v>109</v>
      </c>
      <c r="H2413" s="62">
        <v>2033</v>
      </c>
      <c r="I2413">
        <v>0.99139999999999995</v>
      </c>
    </row>
    <row r="2414" spans="1:9">
      <c r="A2414" t="s">
        <v>104</v>
      </c>
      <c r="B2414" t="s">
        <v>105</v>
      </c>
      <c r="C2414" t="s">
        <v>80</v>
      </c>
      <c r="D2414" t="s">
        <v>100</v>
      </c>
      <c r="E2414" t="s">
        <v>102</v>
      </c>
      <c r="F2414" t="s">
        <v>6</v>
      </c>
      <c r="G2414" t="s">
        <v>109</v>
      </c>
      <c r="H2414" s="62">
        <v>2033</v>
      </c>
      <c r="I2414">
        <v>1.6294999999999999</v>
      </c>
    </row>
    <row r="2415" spans="1:9">
      <c r="A2415" t="s">
        <v>104</v>
      </c>
      <c r="B2415" t="s">
        <v>105</v>
      </c>
      <c r="C2415" t="s">
        <v>80</v>
      </c>
      <c r="D2415" t="s">
        <v>100</v>
      </c>
      <c r="E2415" t="s">
        <v>111</v>
      </c>
      <c r="F2415" t="s">
        <v>6</v>
      </c>
      <c r="G2415" t="s">
        <v>109</v>
      </c>
      <c r="H2415" s="62">
        <v>2033</v>
      </c>
      <c r="I2415">
        <v>0</v>
      </c>
    </row>
    <row r="2416" spans="1:9">
      <c r="A2416" t="s">
        <v>104</v>
      </c>
      <c r="B2416" t="s">
        <v>105</v>
      </c>
      <c r="C2416" t="s">
        <v>80</v>
      </c>
      <c r="D2416" t="s">
        <v>100</v>
      </c>
      <c r="E2416" t="s">
        <v>112</v>
      </c>
      <c r="F2416" t="s">
        <v>6</v>
      </c>
      <c r="G2416" t="s">
        <v>109</v>
      </c>
      <c r="H2416" s="62">
        <v>2033</v>
      </c>
      <c r="I2416">
        <v>0</v>
      </c>
    </row>
    <row r="2417" spans="1:9">
      <c r="A2417" t="s">
        <v>104</v>
      </c>
      <c r="B2417" t="s">
        <v>105</v>
      </c>
      <c r="C2417" t="s">
        <v>80</v>
      </c>
      <c r="D2417" t="s">
        <v>83</v>
      </c>
      <c r="E2417" t="s">
        <v>84</v>
      </c>
      <c r="F2417" t="s">
        <v>6</v>
      </c>
      <c r="G2417" t="s">
        <v>109</v>
      </c>
      <c r="H2417" s="62">
        <v>2033</v>
      </c>
      <c r="I2417">
        <v>0.1671</v>
      </c>
    </row>
    <row r="2418" spans="1:9">
      <c r="A2418" t="s">
        <v>104</v>
      </c>
      <c r="B2418" t="s">
        <v>105</v>
      </c>
      <c r="C2418" t="s">
        <v>80</v>
      </c>
      <c r="D2418" t="s">
        <v>83</v>
      </c>
      <c r="E2418" t="s">
        <v>85</v>
      </c>
      <c r="F2418" t="s">
        <v>6</v>
      </c>
      <c r="G2418" t="s">
        <v>109</v>
      </c>
      <c r="H2418" s="62">
        <v>2033</v>
      </c>
      <c r="I2418">
        <v>0.28449999999999998</v>
      </c>
    </row>
    <row r="2419" spans="1:9">
      <c r="A2419" t="s">
        <v>104</v>
      </c>
      <c r="B2419" t="s">
        <v>105</v>
      </c>
      <c r="C2419" t="s">
        <v>80</v>
      </c>
      <c r="D2419" t="s">
        <v>86</v>
      </c>
      <c r="E2419" t="s">
        <v>106</v>
      </c>
      <c r="F2419" t="s">
        <v>6</v>
      </c>
      <c r="G2419" t="s">
        <v>109</v>
      </c>
      <c r="H2419" s="62">
        <v>2033</v>
      </c>
      <c r="I2419">
        <v>0.501</v>
      </c>
    </row>
    <row r="2420" spans="1:9">
      <c r="A2420" t="s">
        <v>104</v>
      </c>
      <c r="B2420" t="s">
        <v>105</v>
      </c>
      <c r="C2420" t="s">
        <v>80</v>
      </c>
      <c r="D2420" t="s">
        <v>86</v>
      </c>
      <c r="E2420" t="s">
        <v>87</v>
      </c>
      <c r="F2420" t="s">
        <v>6</v>
      </c>
      <c r="G2420" t="s">
        <v>109</v>
      </c>
      <c r="H2420" s="62">
        <v>2033</v>
      </c>
      <c r="I2420">
        <v>9.3600000000000003E-2</v>
      </c>
    </row>
    <row r="2421" spans="1:9">
      <c r="A2421" t="s">
        <v>104</v>
      </c>
      <c r="B2421" t="s">
        <v>105</v>
      </c>
      <c r="C2421" t="s">
        <v>80</v>
      </c>
      <c r="D2421" t="s">
        <v>103</v>
      </c>
      <c r="E2421" t="s">
        <v>92</v>
      </c>
      <c r="F2421" t="s">
        <v>6</v>
      </c>
      <c r="G2421" t="s">
        <v>109</v>
      </c>
      <c r="H2421" s="62">
        <v>2033</v>
      </c>
      <c r="I2421">
        <v>0.11459999999999999</v>
      </c>
    </row>
    <row r="2422" spans="1:9">
      <c r="A2422" t="s">
        <v>104</v>
      </c>
      <c r="B2422" t="s">
        <v>105</v>
      </c>
      <c r="C2422" t="s">
        <v>80</v>
      </c>
      <c r="D2422" t="s">
        <v>103</v>
      </c>
      <c r="E2422" t="s">
        <v>89</v>
      </c>
      <c r="F2422" t="s">
        <v>6</v>
      </c>
      <c r="G2422" t="s">
        <v>109</v>
      </c>
      <c r="H2422" s="62">
        <v>2033</v>
      </c>
      <c r="I2422">
        <v>0.6472</v>
      </c>
    </row>
    <row r="2423" spans="1:9">
      <c r="A2423" t="s">
        <v>104</v>
      </c>
      <c r="B2423" t="s">
        <v>105</v>
      </c>
      <c r="C2423" t="s">
        <v>107</v>
      </c>
      <c r="D2423" t="s">
        <v>107</v>
      </c>
      <c r="E2423" t="s">
        <v>107</v>
      </c>
      <c r="F2423" t="s">
        <v>6</v>
      </c>
      <c r="G2423" t="s">
        <v>109</v>
      </c>
      <c r="H2423" s="62">
        <v>2034</v>
      </c>
      <c r="I2423">
        <v>15.408799999999999</v>
      </c>
    </row>
    <row r="2424" spans="1:9">
      <c r="A2424" t="s">
        <v>104</v>
      </c>
      <c r="B2424" t="s">
        <v>105</v>
      </c>
      <c r="C2424" t="s">
        <v>107</v>
      </c>
      <c r="D2424" t="s">
        <v>108</v>
      </c>
      <c r="E2424" t="s">
        <v>108</v>
      </c>
      <c r="F2424" t="s">
        <v>6</v>
      </c>
      <c r="G2424" t="s">
        <v>109</v>
      </c>
      <c r="H2424" s="62">
        <v>2034</v>
      </c>
      <c r="I2424">
        <v>9.2200000000000004E-2</v>
      </c>
    </row>
    <row r="2425" spans="1:9">
      <c r="A2425" t="s">
        <v>104</v>
      </c>
      <c r="B2425" t="s">
        <v>105</v>
      </c>
      <c r="C2425" t="s">
        <v>80</v>
      </c>
      <c r="D2425" t="s">
        <v>80</v>
      </c>
      <c r="E2425" t="s">
        <v>80</v>
      </c>
      <c r="F2425" t="s">
        <v>6</v>
      </c>
      <c r="G2425" t="s">
        <v>109</v>
      </c>
      <c r="H2425" s="62">
        <v>2034</v>
      </c>
      <c r="I2425">
        <v>15.316599999999999</v>
      </c>
    </row>
    <row r="2426" spans="1:9">
      <c r="A2426" t="s">
        <v>104</v>
      </c>
      <c r="B2426" t="s">
        <v>105</v>
      </c>
      <c r="C2426" t="s">
        <v>80</v>
      </c>
      <c r="D2426" t="s">
        <v>89</v>
      </c>
      <c r="E2426" t="s">
        <v>90</v>
      </c>
      <c r="F2426" t="s">
        <v>6</v>
      </c>
      <c r="G2426" t="s">
        <v>109</v>
      </c>
      <c r="H2426" s="62">
        <v>2034</v>
      </c>
      <c r="I2426">
        <v>1.3601000000000001</v>
      </c>
    </row>
    <row r="2427" spans="1:9">
      <c r="A2427" t="s">
        <v>104</v>
      </c>
      <c r="B2427" t="s">
        <v>105</v>
      </c>
      <c r="C2427" t="s">
        <v>80</v>
      </c>
      <c r="D2427" t="s">
        <v>89</v>
      </c>
      <c r="E2427" t="s">
        <v>91</v>
      </c>
      <c r="F2427" t="s">
        <v>6</v>
      </c>
      <c r="G2427" t="s">
        <v>109</v>
      </c>
      <c r="H2427" s="62">
        <v>2034</v>
      </c>
      <c r="I2427">
        <v>-8.3500000000000005E-2</v>
      </c>
    </row>
    <row r="2428" spans="1:9">
      <c r="A2428" t="s">
        <v>104</v>
      </c>
      <c r="B2428" t="s">
        <v>105</v>
      </c>
      <c r="C2428" t="s">
        <v>80</v>
      </c>
      <c r="D2428" t="s">
        <v>92</v>
      </c>
      <c r="E2428" t="s">
        <v>93</v>
      </c>
      <c r="F2428" t="s">
        <v>6</v>
      </c>
      <c r="G2428" t="s">
        <v>109</v>
      </c>
      <c r="H2428" s="62">
        <v>2034</v>
      </c>
      <c r="I2428">
        <v>-0.52810000000000001</v>
      </c>
    </row>
    <row r="2429" spans="1:9">
      <c r="A2429" t="s">
        <v>104</v>
      </c>
      <c r="B2429" t="s">
        <v>105</v>
      </c>
      <c r="C2429" t="s">
        <v>80</v>
      </c>
      <c r="D2429" t="s">
        <v>92</v>
      </c>
      <c r="E2429" t="s">
        <v>94</v>
      </c>
      <c r="F2429" t="s">
        <v>6</v>
      </c>
      <c r="G2429" t="s">
        <v>109</v>
      </c>
      <c r="H2429" s="62">
        <v>2034</v>
      </c>
      <c r="I2429">
        <v>2.2948</v>
      </c>
    </row>
    <row r="2430" spans="1:9">
      <c r="A2430" t="s">
        <v>104</v>
      </c>
      <c r="B2430" t="s">
        <v>105</v>
      </c>
      <c r="C2430" t="s">
        <v>80</v>
      </c>
      <c r="D2430" t="s">
        <v>92</v>
      </c>
      <c r="E2430" t="s">
        <v>110</v>
      </c>
      <c r="F2430" t="s">
        <v>6</v>
      </c>
      <c r="G2430" t="s">
        <v>109</v>
      </c>
      <c r="H2430" s="62">
        <v>2034</v>
      </c>
      <c r="I2430">
        <v>0</v>
      </c>
    </row>
    <row r="2431" spans="1:9">
      <c r="A2431" t="s">
        <v>104</v>
      </c>
      <c r="B2431" t="s">
        <v>105</v>
      </c>
      <c r="C2431" t="s">
        <v>80</v>
      </c>
      <c r="D2431" t="s">
        <v>92</v>
      </c>
      <c r="E2431" t="s">
        <v>95</v>
      </c>
      <c r="F2431" t="s">
        <v>6</v>
      </c>
      <c r="G2431" t="s">
        <v>109</v>
      </c>
      <c r="H2431" s="62">
        <v>2034</v>
      </c>
      <c r="I2431">
        <v>6.3018999999999998</v>
      </c>
    </row>
    <row r="2432" spans="1:9">
      <c r="A2432" t="s">
        <v>104</v>
      </c>
      <c r="B2432" t="s">
        <v>105</v>
      </c>
      <c r="C2432" t="s">
        <v>80</v>
      </c>
      <c r="D2432" t="s">
        <v>96</v>
      </c>
      <c r="E2432" t="s">
        <v>92</v>
      </c>
      <c r="F2432" t="s">
        <v>6</v>
      </c>
      <c r="G2432" t="s">
        <v>109</v>
      </c>
      <c r="H2432" s="62">
        <v>2034</v>
      </c>
      <c r="I2432">
        <v>1.4247000000000001</v>
      </c>
    </row>
    <row r="2433" spans="1:9">
      <c r="A2433" t="s">
        <v>104</v>
      </c>
      <c r="B2433" t="s">
        <v>105</v>
      </c>
      <c r="C2433" t="s">
        <v>80</v>
      </c>
      <c r="D2433" t="s">
        <v>96</v>
      </c>
      <c r="E2433" t="s">
        <v>89</v>
      </c>
      <c r="F2433" t="s">
        <v>6</v>
      </c>
      <c r="G2433" t="s">
        <v>109</v>
      </c>
      <c r="H2433" s="62">
        <v>2034</v>
      </c>
      <c r="I2433">
        <v>2.2200000000000001E-2</v>
      </c>
    </row>
    <row r="2434" spans="1:9">
      <c r="A2434" t="s">
        <v>104</v>
      </c>
      <c r="B2434" t="s">
        <v>105</v>
      </c>
      <c r="C2434" t="s">
        <v>80</v>
      </c>
      <c r="D2434" t="s">
        <v>97</v>
      </c>
      <c r="E2434" t="s">
        <v>98</v>
      </c>
      <c r="F2434" t="s">
        <v>6</v>
      </c>
      <c r="G2434" t="s">
        <v>109</v>
      </c>
      <c r="H2434" s="62">
        <v>2034</v>
      </c>
      <c r="I2434">
        <v>0.16089999999999999</v>
      </c>
    </row>
    <row r="2435" spans="1:9">
      <c r="A2435" t="s">
        <v>104</v>
      </c>
      <c r="B2435" t="s">
        <v>105</v>
      </c>
      <c r="C2435" t="s">
        <v>80</v>
      </c>
      <c r="D2435" t="s">
        <v>97</v>
      </c>
      <c r="E2435" t="s">
        <v>99</v>
      </c>
      <c r="F2435" t="s">
        <v>6</v>
      </c>
      <c r="G2435" t="s">
        <v>109</v>
      </c>
      <c r="H2435" s="62">
        <v>2034</v>
      </c>
      <c r="I2435">
        <v>1.1000000000000001E-3</v>
      </c>
    </row>
    <row r="2436" spans="1:9">
      <c r="A2436" t="s">
        <v>104</v>
      </c>
      <c r="B2436" t="s">
        <v>105</v>
      </c>
      <c r="C2436" t="s">
        <v>80</v>
      </c>
      <c r="D2436" t="s">
        <v>100</v>
      </c>
      <c r="E2436" t="s">
        <v>101</v>
      </c>
      <c r="F2436" t="s">
        <v>6</v>
      </c>
      <c r="G2436" t="s">
        <v>109</v>
      </c>
      <c r="H2436" s="62">
        <v>2034</v>
      </c>
      <c r="I2436">
        <v>1.2597</v>
      </c>
    </row>
    <row r="2437" spans="1:9">
      <c r="A2437" t="s">
        <v>104</v>
      </c>
      <c r="B2437" t="s">
        <v>105</v>
      </c>
      <c r="C2437" t="s">
        <v>80</v>
      </c>
      <c r="D2437" t="s">
        <v>100</v>
      </c>
      <c r="E2437" t="s">
        <v>102</v>
      </c>
      <c r="F2437" t="s">
        <v>6</v>
      </c>
      <c r="G2437" t="s">
        <v>109</v>
      </c>
      <c r="H2437" s="62">
        <v>2034</v>
      </c>
      <c r="I2437">
        <v>2.6421000000000001</v>
      </c>
    </row>
    <row r="2438" spans="1:9">
      <c r="A2438" t="s">
        <v>104</v>
      </c>
      <c r="B2438" t="s">
        <v>105</v>
      </c>
      <c r="C2438" t="s">
        <v>80</v>
      </c>
      <c r="D2438" t="s">
        <v>100</v>
      </c>
      <c r="E2438" t="s">
        <v>111</v>
      </c>
      <c r="F2438" t="s">
        <v>6</v>
      </c>
      <c r="G2438" t="s">
        <v>109</v>
      </c>
      <c r="H2438" s="62">
        <v>2034</v>
      </c>
      <c r="I2438">
        <v>0</v>
      </c>
    </row>
    <row r="2439" spans="1:9">
      <c r="A2439" t="s">
        <v>104</v>
      </c>
      <c r="B2439" t="s">
        <v>105</v>
      </c>
      <c r="C2439" t="s">
        <v>80</v>
      </c>
      <c r="D2439" t="s">
        <v>100</v>
      </c>
      <c r="E2439" t="s">
        <v>112</v>
      </c>
      <c r="F2439" t="s">
        <v>6</v>
      </c>
      <c r="G2439" t="s">
        <v>109</v>
      </c>
      <c r="H2439" s="62">
        <v>2034</v>
      </c>
      <c r="I2439">
        <v>0</v>
      </c>
    </row>
    <row r="2440" spans="1:9">
      <c r="A2440" t="s">
        <v>104</v>
      </c>
      <c r="B2440" t="s">
        <v>105</v>
      </c>
      <c r="C2440" t="s">
        <v>80</v>
      </c>
      <c r="D2440" t="s">
        <v>83</v>
      </c>
      <c r="E2440" t="s">
        <v>84</v>
      </c>
      <c r="F2440" t="s">
        <v>6</v>
      </c>
      <c r="G2440" t="s">
        <v>109</v>
      </c>
      <c r="H2440" s="62">
        <v>2034</v>
      </c>
      <c r="I2440">
        <v>0.17269999999999999</v>
      </c>
    </row>
    <row r="2441" spans="1:9">
      <c r="A2441" t="s">
        <v>104</v>
      </c>
      <c r="B2441" t="s">
        <v>105</v>
      </c>
      <c r="C2441" t="s">
        <v>80</v>
      </c>
      <c r="D2441" t="s">
        <v>83</v>
      </c>
      <c r="E2441" t="s">
        <v>85</v>
      </c>
      <c r="F2441" t="s">
        <v>6</v>
      </c>
      <c r="G2441" t="s">
        <v>109</v>
      </c>
      <c r="H2441" s="62">
        <v>2034</v>
      </c>
      <c r="I2441">
        <v>0.28799999999999998</v>
      </c>
    </row>
    <row r="2442" spans="1:9">
      <c r="A2442" t="s">
        <v>104</v>
      </c>
      <c r="B2442" t="s">
        <v>105</v>
      </c>
      <c r="C2442" t="s">
        <v>80</v>
      </c>
      <c r="D2442" t="s">
        <v>86</v>
      </c>
      <c r="E2442" t="s">
        <v>106</v>
      </c>
      <c r="F2442" t="s">
        <v>6</v>
      </c>
      <c r="G2442" t="s">
        <v>109</v>
      </c>
      <c r="H2442" s="62">
        <v>2034</v>
      </c>
      <c r="I2442">
        <v>0.504</v>
      </c>
    </row>
    <row r="2443" spans="1:9">
      <c r="A2443" t="s">
        <v>104</v>
      </c>
      <c r="B2443" t="s">
        <v>105</v>
      </c>
      <c r="C2443" t="s">
        <v>80</v>
      </c>
      <c r="D2443" t="s">
        <v>86</v>
      </c>
      <c r="E2443" t="s">
        <v>87</v>
      </c>
      <c r="F2443" t="s">
        <v>6</v>
      </c>
      <c r="G2443" t="s">
        <v>109</v>
      </c>
      <c r="H2443" s="62">
        <v>2034</v>
      </c>
      <c r="I2443">
        <v>0.1076</v>
      </c>
    </row>
    <row r="2444" spans="1:9">
      <c r="A2444" t="s">
        <v>104</v>
      </c>
      <c r="B2444" t="s">
        <v>105</v>
      </c>
      <c r="C2444" t="s">
        <v>80</v>
      </c>
      <c r="D2444" t="s">
        <v>103</v>
      </c>
      <c r="E2444" t="s">
        <v>92</v>
      </c>
      <c r="F2444" t="s">
        <v>6</v>
      </c>
      <c r="G2444" t="s">
        <v>109</v>
      </c>
      <c r="H2444" s="62">
        <v>2034</v>
      </c>
      <c r="I2444">
        <v>0.1217</v>
      </c>
    </row>
    <row r="2445" spans="1:9">
      <c r="A2445" t="s">
        <v>104</v>
      </c>
      <c r="B2445" t="s">
        <v>105</v>
      </c>
      <c r="C2445" t="s">
        <v>80</v>
      </c>
      <c r="D2445" t="s">
        <v>103</v>
      </c>
      <c r="E2445" t="s">
        <v>89</v>
      </c>
      <c r="F2445" t="s">
        <v>6</v>
      </c>
      <c r="G2445" t="s">
        <v>109</v>
      </c>
      <c r="H2445" s="62">
        <v>2034</v>
      </c>
      <c r="I2445">
        <v>0.69410000000000005</v>
      </c>
    </row>
    <row r="2446" spans="1:9">
      <c r="A2446" t="s">
        <v>104</v>
      </c>
      <c r="B2446" t="s">
        <v>105</v>
      </c>
      <c r="C2446" t="s">
        <v>107</v>
      </c>
      <c r="D2446" t="s">
        <v>107</v>
      </c>
      <c r="E2446" t="s">
        <v>107</v>
      </c>
      <c r="F2446" t="s">
        <v>6</v>
      </c>
      <c r="G2446" t="s">
        <v>109</v>
      </c>
      <c r="H2446" s="62">
        <v>2035</v>
      </c>
      <c r="I2446">
        <v>14.345000000000001</v>
      </c>
    </row>
    <row r="2447" spans="1:9">
      <c r="A2447" t="s">
        <v>104</v>
      </c>
      <c r="B2447" t="s">
        <v>105</v>
      </c>
      <c r="C2447" t="s">
        <v>107</v>
      </c>
      <c r="D2447" t="s">
        <v>108</v>
      </c>
      <c r="E2447" t="s">
        <v>108</v>
      </c>
      <c r="F2447" t="s">
        <v>6</v>
      </c>
      <c r="G2447" t="s">
        <v>109</v>
      </c>
      <c r="H2447" s="62">
        <v>2035</v>
      </c>
      <c r="I2447">
        <v>9.2899999999999996E-2</v>
      </c>
    </row>
    <row r="2448" spans="1:9">
      <c r="A2448" t="s">
        <v>104</v>
      </c>
      <c r="B2448" t="s">
        <v>105</v>
      </c>
      <c r="C2448" t="s">
        <v>80</v>
      </c>
      <c r="D2448" t="s">
        <v>80</v>
      </c>
      <c r="E2448" t="s">
        <v>80</v>
      </c>
      <c r="F2448" t="s">
        <v>6</v>
      </c>
      <c r="G2448" t="s">
        <v>109</v>
      </c>
      <c r="H2448" s="62">
        <v>2035</v>
      </c>
      <c r="I2448">
        <v>14.2521</v>
      </c>
    </row>
    <row r="2449" spans="1:9">
      <c r="A2449" t="s">
        <v>104</v>
      </c>
      <c r="B2449" t="s">
        <v>105</v>
      </c>
      <c r="C2449" t="s">
        <v>80</v>
      </c>
      <c r="D2449" t="s">
        <v>89</v>
      </c>
      <c r="E2449" t="s">
        <v>90</v>
      </c>
      <c r="F2449" t="s">
        <v>6</v>
      </c>
      <c r="G2449" t="s">
        <v>109</v>
      </c>
      <c r="H2449" s="62">
        <v>2035</v>
      </c>
      <c r="I2449">
        <v>1.2989999999999999</v>
      </c>
    </row>
    <row r="2450" spans="1:9">
      <c r="A2450" t="s">
        <v>104</v>
      </c>
      <c r="B2450" t="s">
        <v>105</v>
      </c>
      <c r="C2450" t="s">
        <v>80</v>
      </c>
      <c r="D2450" t="s">
        <v>89</v>
      </c>
      <c r="E2450" t="s">
        <v>91</v>
      </c>
      <c r="F2450" t="s">
        <v>6</v>
      </c>
      <c r="G2450" t="s">
        <v>109</v>
      </c>
      <c r="H2450" s="62">
        <v>2035</v>
      </c>
      <c r="I2450">
        <v>-8.2199999999999995E-2</v>
      </c>
    </row>
    <row r="2451" spans="1:9">
      <c r="A2451" t="s">
        <v>104</v>
      </c>
      <c r="B2451" t="s">
        <v>105</v>
      </c>
      <c r="C2451" t="s">
        <v>80</v>
      </c>
      <c r="D2451" t="s">
        <v>92</v>
      </c>
      <c r="E2451" t="s">
        <v>93</v>
      </c>
      <c r="F2451" t="s">
        <v>6</v>
      </c>
      <c r="G2451" t="s">
        <v>109</v>
      </c>
      <c r="H2451" s="62">
        <v>2035</v>
      </c>
      <c r="I2451">
        <v>-0.54249999999999998</v>
      </c>
    </row>
    <row r="2452" spans="1:9">
      <c r="A2452" t="s">
        <v>104</v>
      </c>
      <c r="B2452" t="s">
        <v>105</v>
      </c>
      <c r="C2452" t="s">
        <v>80</v>
      </c>
      <c r="D2452" t="s">
        <v>92</v>
      </c>
      <c r="E2452" t="s">
        <v>94</v>
      </c>
      <c r="F2452" t="s">
        <v>6</v>
      </c>
      <c r="G2452" t="s">
        <v>109</v>
      </c>
      <c r="H2452" s="62">
        <v>2035</v>
      </c>
      <c r="I2452">
        <v>2.2755999999999998</v>
      </c>
    </row>
    <row r="2453" spans="1:9">
      <c r="A2453" t="s">
        <v>104</v>
      </c>
      <c r="B2453" t="s">
        <v>105</v>
      </c>
      <c r="C2453" t="s">
        <v>80</v>
      </c>
      <c r="D2453" t="s">
        <v>92</v>
      </c>
      <c r="E2453" t="s">
        <v>110</v>
      </c>
      <c r="F2453" t="s">
        <v>6</v>
      </c>
      <c r="G2453" t="s">
        <v>109</v>
      </c>
      <c r="H2453" s="62">
        <v>2035</v>
      </c>
      <c r="I2453">
        <v>0</v>
      </c>
    </row>
    <row r="2454" spans="1:9">
      <c r="A2454" t="s">
        <v>104</v>
      </c>
      <c r="B2454" t="s">
        <v>105</v>
      </c>
      <c r="C2454" t="s">
        <v>80</v>
      </c>
      <c r="D2454" t="s">
        <v>92</v>
      </c>
      <c r="E2454" t="s">
        <v>95</v>
      </c>
      <c r="F2454" t="s">
        <v>6</v>
      </c>
      <c r="G2454" t="s">
        <v>109</v>
      </c>
      <c r="H2454" s="62">
        <v>2035</v>
      </c>
      <c r="I2454">
        <v>6.3015999999999996</v>
      </c>
    </row>
    <row r="2455" spans="1:9">
      <c r="A2455" t="s">
        <v>104</v>
      </c>
      <c r="B2455" t="s">
        <v>105</v>
      </c>
      <c r="C2455" t="s">
        <v>80</v>
      </c>
      <c r="D2455" t="s">
        <v>96</v>
      </c>
      <c r="E2455" t="s">
        <v>92</v>
      </c>
      <c r="F2455" t="s">
        <v>6</v>
      </c>
      <c r="G2455" t="s">
        <v>109</v>
      </c>
      <c r="H2455" s="62">
        <v>2035</v>
      </c>
      <c r="I2455">
        <v>1.4511000000000001</v>
      </c>
    </row>
    <row r="2456" spans="1:9">
      <c r="A2456" t="s">
        <v>104</v>
      </c>
      <c r="B2456" t="s">
        <v>105</v>
      </c>
      <c r="C2456" t="s">
        <v>80</v>
      </c>
      <c r="D2456" t="s">
        <v>96</v>
      </c>
      <c r="E2456" t="s">
        <v>89</v>
      </c>
      <c r="F2456" t="s">
        <v>6</v>
      </c>
      <c r="G2456" t="s">
        <v>109</v>
      </c>
      <c r="H2456" s="62">
        <v>2035</v>
      </c>
      <c r="I2456">
        <v>2.5399999999999999E-2</v>
      </c>
    </row>
    <row r="2457" spans="1:9">
      <c r="A2457" t="s">
        <v>104</v>
      </c>
      <c r="B2457" t="s">
        <v>105</v>
      </c>
      <c r="C2457" t="s">
        <v>80</v>
      </c>
      <c r="D2457" t="s">
        <v>97</v>
      </c>
      <c r="E2457" t="s">
        <v>98</v>
      </c>
      <c r="F2457" t="s">
        <v>6</v>
      </c>
      <c r="G2457" t="s">
        <v>109</v>
      </c>
      <c r="H2457" s="62">
        <v>2035</v>
      </c>
      <c r="I2457">
        <v>0.18379999999999999</v>
      </c>
    </row>
    <row r="2458" spans="1:9">
      <c r="A2458" t="s">
        <v>104</v>
      </c>
      <c r="B2458" t="s">
        <v>105</v>
      </c>
      <c r="C2458" t="s">
        <v>80</v>
      </c>
      <c r="D2458" t="s">
        <v>97</v>
      </c>
      <c r="E2458" t="s">
        <v>99</v>
      </c>
      <c r="F2458" t="s">
        <v>6</v>
      </c>
      <c r="G2458" t="s">
        <v>109</v>
      </c>
      <c r="H2458" s="62">
        <v>2035</v>
      </c>
      <c r="I2458">
        <v>1.6000000000000001E-3</v>
      </c>
    </row>
    <row r="2459" spans="1:9">
      <c r="A2459" t="s">
        <v>104</v>
      </c>
      <c r="B2459" t="s">
        <v>105</v>
      </c>
      <c r="C2459" t="s">
        <v>80</v>
      </c>
      <c r="D2459" t="s">
        <v>100</v>
      </c>
      <c r="E2459" t="s">
        <v>101</v>
      </c>
      <c r="F2459" t="s">
        <v>6</v>
      </c>
      <c r="G2459" t="s">
        <v>109</v>
      </c>
      <c r="H2459" s="62">
        <v>2035</v>
      </c>
      <c r="I2459">
        <v>1.3173999999999999</v>
      </c>
    </row>
    <row r="2460" spans="1:9">
      <c r="A2460" t="s">
        <v>104</v>
      </c>
      <c r="B2460" t="s">
        <v>105</v>
      </c>
      <c r="C2460" t="s">
        <v>80</v>
      </c>
      <c r="D2460" t="s">
        <v>100</v>
      </c>
      <c r="E2460" t="s">
        <v>102</v>
      </c>
      <c r="F2460" t="s">
        <v>6</v>
      </c>
      <c r="G2460" t="s">
        <v>109</v>
      </c>
      <c r="H2460" s="62">
        <v>2035</v>
      </c>
      <c r="I2460">
        <v>1.5622</v>
      </c>
    </row>
    <row r="2461" spans="1:9">
      <c r="A2461" t="s">
        <v>104</v>
      </c>
      <c r="B2461" t="s">
        <v>105</v>
      </c>
      <c r="C2461" t="s">
        <v>80</v>
      </c>
      <c r="D2461" t="s">
        <v>100</v>
      </c>
      <c r="E2461" t="s">
        <v>111</v>
      </c>
      <c r="F2461" t="s">
        <v>6</v>
      </c>
      <c r="G2461" t="s">
        <v>109</v>
      </c>
      <c r="H2461" s="62">
        <v>2035</v>
      </c>
      <c r="I2461">
        <v>0</v>
      </c>
    </row>
    <row r="2462" spans="1:9">
      <c r="A2462" t="s">
        <v>104</v>
      </c>
      <c r="B2462" t="s">
        <v>105</v>
      </c>
      <c r="C2462" t="s">
        <v>80</v>
      </c>
      <c r="D2462" t="s">
        <v>100</v>
      </c>
      <c r="E2462" t="s">
        <v>112</v>
      </c>
      <c r="F2462" t="s">
        <v>6</v>
      </c>
      <c r="G2462" t="s">
        <v>109</v>
      </c>
      <c r="H2462" s="62">
        <v>2035</v>
      </c>
      <c r="I2462">
        <v>0</v>
      </c>
    </row>
    <row r="2463" spans="1:9">
      <c r="A2463" t="s">
        <v>104</v>
      </c>
      <c r="B2463" t="s">
        <v>105</v>
      </c>
      <c r="C2463" t="s">
        <v>80</v>
      </c>
      <c r="D2463" t="s">
        <v>83</v>
      </c>
      <c r="E2463" t="s">
        <v>84</v>
      </c>
      <c r="F2463" t="s">
        <v>6</v>
      </c>
      <c r="G2463" t="s">
        <v>109</v>
      </c>
      <c r="H2463" s="62">
        <v>2035</v>
      </c>
      <c r="I2463">
        <v>0.17180000000000001</v>
      </c>
    </row>
    <row r="2464" spans="1:9">
      <c r="A2464" t="s">
        <v>104</v>
      </c>
      <c r="B2464" t="s">
        <v>105</v>
      </c>
      <c r="C2464" t="s">
        <v>80</v>
      </c>
      <c r="D2464" t="s">
        <v>83</v>
      </c>
      <c r="E2464" t="s">
        <v>85</v>
      </c>
      <c r="F2464" t="s">
        <v>6</v>
      </c>
      <c r="G2464" t="s">
        <v>109</v>
      </c>
      <c r="H2464" s="62">
        <v>2035</v>
      </c>
      <c r="I2464">
        <v>0.2873</v>
      </c>
    </row>
    <row r="2465" spans="1:9">
      <c r="A2465" t="s">
        <v>104</v>
      </c>
      <c r="B2465" t="s">
        <v>105</v>
      </c>
      <c r="C2465" t="s">
        <v>80</v>
      </c>
      <c r="D2465" t="s">
        <v>86</v>
      </c>
      <c r="E2465" t="s">
        <v>106</v>
      </c>
      <c r="F2465" t="s">
        <v>6</v>
      </c>
      <c r="G2465" t="s">
        <v>109</v>
      </c>
      <c r="H2465" s="62">
        <v>2035</v>
      </c>
      <c r="I2465">
        <v>0.50700000000000001</v>
      </c>
    </row>
    <row r="2466" spans="1:9">
      <c r="A2466" t="s">
        <v>104</v>
      </c>
      <c r="B2466" t="s">
        <v>105</v>
      </c>
      <c r="C2466" t="s">
        <v>80</v>
      </c>
      <c r="D2466" t="s">
        <v>86</v>
      </c>
      <c r="E2466" t="s">
        <v>87</v>
      </c>
      <c r="F2466" t="s">
        <v>6</v>
      </c>
      <c r="G2466" t="s">
        <v>109</v>
      </c>
      <c r="H2466" s="62">
        <v>2035</v>
      </c>
      <c r="I2466">
        <v>0.1177</v>
      </c>
    </row>
    <row r="2467" spans="1:9">
      <c r="A2467" t="s">
        <v>104</v>
      </c>
      <c r="B2467" t="s">
        <v>105</v>
      </c>
      <c r="C2467" t="s">
        <v>80</v>
      </c>
      <c r="D2467" t="s">
        <v>103</v>
      </c>
      <c r="E2467" t="s">
        <v>92</v>
      </c>
      <c r="F2467" t="s">
        <v>6</v>
      </c>
      <c r="G2467" t="s">
        <v>109</v>
      </c>
      <c r="H2467" s="62">
        <v>2035</v>
      </c>
      <c r="I2467">
        <v>0.12920000000000001</v>
      </c>
    </row>
    <row r="2468" spans="1:9">
      <c r="A2468" t="s">
        <v>104</v>
      </c>
      <c r="B2468" t="s">
        <v>105</v>
      </c>
      <c r="C2468" t="s">
        <v>80</v>
      </c>
      <c r="D2468" t="s">
        <v>103</v>
      </c>
      <c r="E2468" t="s">
        <v>89</v>
      </c>
      <c r="F2468" t="s">
        <v>6</v>
      </c>
      <c r="G2468" t="s">
        <v>109</v>
      </c>
      <c r="H2468" s="62">
        <v>2035</v>
      </c>
      <c r="I2468">
        <v>0.74170000000000003</v>
      </c>
    </row>
    <row r="2469" spans="1:9">
      <c r="A2469" t="s">
        <v>104</v>
      </c>
      <c r="B2469" t="s">
        <v>105</v>
      </c>
      <c r="C2469" t="s">
        <v>107</v>
      </c>
      <c r="D2469" t="s">
        <v>107</v>
      </c>
      <c r="E2469" t="s">
        <v>107</v>
      </c>
      <c r="F2469" t="s">
        <v>6</v>
      </c>
      <c r="G2469" t="s">
        <v>109</v>
      </c>
      <c r="H2469" s="62">
        <v>2036</v>
      </c>
      <c r="I2469">
        <v>14.4216</v>
      </c>
    </row>
    <row r="2470" spans="1:9">
      <c r="A2470" t="s">
        <v>104</v>
      </c>
      <c r="B2470" t="s">
        <v>105</v>
      </c>
      <c r="C2470" t="s">
        <v>107</v>
      </c>
      <c r="D2470" t="s">
        <v>108</v>
      </c>
      <c r="E2470" t="s">
        <v>108</v>
      </c>
      <c r="F2470" t="s">
        <v>6</v>
      </c>
      <c r="G2470" t="s">
        <v>109</v>
      </c>
      <c r="H2470" s="62">
        <v>2036</v>
      </c>
      <c r="I2470">
        <v>0.09</v>
      </c>
    </row>
    <row r="2471" spans="1:9">
      <c r="A2471" t="s">
        <v>104</v>
      </c>
      <c r="B2471" t="s">
        <v>105</v>
      </c>
      <c r="C2471" t="s">
        <v>80</v>
      </c>
      <c r="D2471" t="s">
        <v>80</v>
      </c>
      <c r="E2471" t="s">
        <v>80</v>
      </c>
      <c r="F2471" t="s">
        <v>6</v>
      </c>
      <c r="G2471" t="s">
        <v>109</v>
      </c>
      <c r="H2471" s="62">
        <v>2036</v>
      </c>
      <c r="I2471">
        <v>14.3315</v>
      </c>
    </row>
    <row r="2472" spans="1:9">
      <c r="A2472" t="s">
        <v>104</v>
      </c>
      <c r="B2472" t="s">
        <v>105</v>
      </c>
      <c r="C2472" t="s">
        <v>80</v>
      </c>
      <c r="D2472" t="s">
        <v>89</v>
      </c>
      <c r="E2472" t="s">
        <v>90</v>
      </c>
      <c r="F2472" t="s">
        <v>6</v>
      </c>
      <c r="G2472" t="s">
        <v>109</v>
      </c>
      <c r="H2472" s="62">
        <v>2036</v>
      </c>
      <c r="I2472">
        <v>1.2482</v>
      </c>
    </row>
    <row r="2473" spans="1:9">
      <c r="A2473" t="s">
        <v>104</v>
      </c>
      <c r="B2473" t="s">
        <v>105</v>
      </c>
      <c r="C2473" t="s">
        <v>80</v>
      </c>
      <c r="D2473" t="s">
        <v>89</v>
      </c>
      <c r="E2473" t="s">
        <v>91</v>
      </c>
      <c r="F2473" t="s">
        <v>6</v>
      </c>
      <c r="G2473" t="s">
        <v>109</v>
      </c>
      <c r="H2473" s="62">
        <v>2036</v>
      </c>
      <c r="I2473">
        <v>-8.1299999999999997E-2</v>
      </c>
    </row>
    <row r="2474" spans="1:9">
      <c r="A2474" t="s">
        <v>104</v>
      </c>
      <c r="B2474" t="s">
        <v>105</v>
      </c>
      <c r="C2474" t="s">
        <v>80</v>
      </c>
      <c r="D2474" t="s">
        <v>92</v>
      </c>
      <c r="E2474" t="s">
        <v>93</v>
      </c>
      <c r="F2474" t="s">
        <v>6</v>
      </c>
      <c r="G2474" t="s">
        <v>109</v>
      </c>
      <c r="H2474" s="62">
        <v>2036</v>
      </c>
      <c r="I2474">
        <v>-0.5585</v>
      </c>
    </row>
    <row r="2475" spans="1:9">
      <c r="A2475" t="s">
        <v>104</v>
      </c>
      <c r="B2475" t="s">
        <v>105</v>
      </c>
      <c r="C2475" t="s">
        <v>80</v>
      </c>
      <c r="D2475" t="s">
        <v>92</v>
      </c>
      <c r="E2475" t="s">
        <v>94</v>
      </c>
      <c r="F2475" t="s">
        <v>6</v>
      </c>
      <c r="G2475" t="s">
        <v>109</v>
      </c>
      <c r="H2475" s="62">
        <v>2036</v>
      </c>
      <c r="I2475">
        <v>2.2734000000000001</v>
      </c>
    </row>
    <row r="2476" spans="1:9">
      <c r="A2476" t="s">
        <v>104</v>
      </c>
      <c r="B2476" t="s">
        <v>105</v>
      </c>
      <c r="C2476" t="s">
        <v>80</v>
      </c>
      <c r="D2476" t="s">
        <v>92</v>
      </c>
      <c r="E2476" t="s">
        <v>110</v>
      </c>
      <c r="F2476" t="s">
        <v>6</v>
      </c>
      <c r="G2476" t="s">
        <v>109</v>
      </c>
      <c r="H2476" s="62">
        <v>2036</v>
      </c>
      <c r="I2476">
        <v>0</v>
      </c>
    </row>
    <row r="2477" spans="1:9">
      <c r="A2477" t="s">
        <v>104</v>
      </c>
      <c r="B2477" t="s">
        <v>105</v>
      </c>
      <c r="C2477" t="s">
        <v>80</v>
      </c>
      <c r="D2477" t="s">
        <v>92</v>
      </c>
      <c r="E2477" t="s">
        <v>95</v>
      </c>
      <c r="F2477" t="s">
        <v>6</v>
      </c>
      <c r="G2477" t="s">
        <v>109</v>
      </c>
      <c r="H2477" s="62">
        <v>2036</v>
      </c>
      <c r="I2477">
        <v>6.2992999999999997</v>
      </c>
    </row>
    <row r="2478" spans="1:9">
      <c r="A2478" t="s">
        <v>104</v>
      </c>
      <c r="B2478" t="s">
        <v>105</v>
      </c>
      <c r="C2478" t="s">
        <v>80</v>
      </c>
      <c r="D2478" t="s">
        <v>96</v>
      </c>
      <c r="E2478" t="s">
        <v>92</v>
      </c>
      <c r="F2478" t="s">
        <v>6</v>
      </c>
      <c r="G2478" t="s">
        <v>109</v>
      </c>
      <c r="H2478" s="62">
        <v>2036</v>
      </c>
      <c r="I2478">
        <v>1.4817</v>
      </c>
    </row>
    <row r="2479" spans="1:9">
      <c r="A2479" t="s">
        <v>104</v>
      </c>
      <c r="B2479" t="s">
        <v>105</v>
      </c>
      <c r="C2479" t="s">
        <v>80</v>
      </c>
      <c r="D2479" t="s">
        <v>96</v>
      </c>
      <c r="E2479" t="s">
        <v>89</v>
      </c>
      <c r="F2479" t="s">
        <v>6</v>
      </c>
      <c r="G2479" t="s">
        <v>109</v>
      </c>
      <c r="H2479" s="62">
        <v>2036</v>
      </c>
      <c r="I2479">
        <v>2.87E-2</v>
      </c>
    </row>
    <row r="2480" spans="1:9">
      <c r="A2480" t="s">
        <v>104</v>
      </c>
      <c r="B2480" t="s">
        <v>105</v>
      </c>
      <c r="C2480" t="s">
        <v>80</v>
      </c>
      <c r="D2480" t="s">
        <v>97</v>
      </c>
      <c r="E2480" t="s">
        <v>98</v>
      </c>
      <c r="F2480" t="s">
        <v>6</v>
      </c>
      <c r="G2480" t="s">
        <v>109</v>
      </c>
      <c r="H2480" s="62">
        <v>2036</v>
      </c>
      <c r="I2480">
        <v>0.2273</v>
      </c>
    </row>
    <row r="2481" spans="1:9">
      <c r="A2481" t="s">
        <v>104</v>
      </c>
      <c r="B2481" t="s">
        <v>105</v>
      </c>
      <c r="C2481" t="s">
        <v>80</v>
      </c>
      <c r="D2481" t="s">
        <v>97</v>
      </c>
      <c r="E2481" t="s">
        <v>99</v>
      </c>
      <c r="F2481" t="s">
        <v>6</v>
      </c>
      <c r="G2481" t="s">
        <v>109</v>
      </c>
      <c r="H2481" s="62">
        <v>2036</v>
      </c>
      <c r="I2481">
        <v>2.3E-3</v>
      </c>
    </row>
    <row r="2482" spans="1:9">
      <c r="A2482" t="s">
        <v>104</v>
      </c>
      <c r="B2482" t="s">
        <v>105</v>
      </c>
      <c r="C2482" t="s">
        <v>80</v>
      </c>
      <c r="D2482" t="s">
        <v>100</v>
      </c>
      <c r="E2482" t="s">
        <v>101</v>
      </c>
      <c r="F2482" t="s">
        <v>6</v>
      </c>
      <c r="G2482" t="s">
        <v>109</v>
      </c>
      <c r="H2482" s="62">
        <v>2036</v>
      </c>
      <c r="I2482">
        <v>1.3363</v>
      </c>
    </row>
    <row r="2483" spans="1:9">
      <c r="A2483" t="s">
        <v>104</v>
      </c>
      <c r="B2483" t="s">
        <v>105</v>
      </c>
      <c r="C2483" t="s">
        <v>80</v>
      </c>
      <c r="D2483" t="s">
        <v>100</v>
      </c>
      <c r="E2483" t="s">
        <v>102</v>
      </c>
      <c r="F2483" t="s">
        <v>6</v>
      </c>
      <c r="G2483" t="s">
        <v>109</v>
      </c>
      <c r="H2483" s="62">
        <v>2036</v>
      </c>
      <c r="I2483">
        <v>1.6137999999999999</v>
      </c>
    </row>
    <row r="2484" spans="1:9">
      <c r="A2484" t="s">
        <v>104</v>
      </c>
      <c r="B2484" t="s">
        <v>105</v>
      </c>
      <c r="C2484" t="s">
        <v>80</v>
      </c>
      <c r="D2484" t="s">
        <v>100</v>
      </c>
      <c r="E2484" t="s">
        <v>111</v>
      </c>
      <c r="F2484" t="s">
        <v>6</v>
      </c>
      <c r="G2484" t="s">
        <v>109</v>
      </c>
      <c r="H2484" s="62">
        <v>2036</v>
      </c>
      <c r="I2484">
        <v>0</v>
      </c>
    </row>
    <row r="2485" spans="1:9">
      <c r="A2485" t="s">
        <v>104</v>
      </c>
      <c r="B2485" t="s">
        <v>105</v>
      </c>
      <c r="C2485" t="s">
        <v>80</v>
      </c>
      <c r="D2485" t="s">
        <v>100</v>
      </c>
      <c r="E2485" t="s">
        <v>112</v>
      </c>
      <c r="F2485" t="s">
        <v>6</v>
      </c>
      <c r="G2485" t="s">
        <v>109</v>
      </c>
      <c r="H2485" s="62">
        <v>2036</v>
      </c>
      <c r="I2485">
        <v>0</v>
      </c>
    </row>
    <row r="2486" spans="1:9">
      <c r="A2486" t="s">
        <v>104</v>
      </c>
      <c r="B2486" t="s">
        <v>105</v>
      </c>
      <c r="C2486" t="s">
        <v>80</v>
      </c>
      <c r="D2486" t="s">
        <v>83</v>
      </c>
      <c r="E2486" t="s">
        <v>84</v>
      </c>
      <c r="F2486" t="s">
        <v>6</v>
      </c>
      <c r="G2486" t="s">
        <v>109</v>
      </c>
      <c r="H2486" s="62">
        <v>2036</v>
      </c>
      <c r="I2486">
        <v>0.1726</v>
      </c>
    </row>
    <row r="2487" spans="1:9">
      <c r="A2487" t="s">
        <v>104</v>
      </c>
      <c r="B2487" t="s">
        <v>105</v>
      </c>
      <c r="C2487" t="s">
        <v>80</v>
      </c>
      <c r="D2487" t="s">
        <v>83</v>
      </c>
      <c r="E2487" t="s">
        <v>85</v>
      </c>
      <c r="F2487" t="s">
        <v>6</v>
      </c>
      <c r="G2487" t="s">
        <v>109</v>
      </c>
      <c r="H2487" s="62">
        <v>2036</v>
      </c>
      <c r="I2487">
        <v>0.28789999999999999</v>
      </c>
    </row>
    <row r="2488" spans="1:9">
      <c r="A2488" t="s">
        <v>104</v>
      </c>
      <c r="B2488" t="s">
        <v>105</v>
      </c>
      <c r="C2488" t="s">
        <v>80</v>
      </c>
      <c r="D2488" t="s">
        <v>86</v>
      </c>
      <c r="E2488" t="s">
        <v>106</v>
      </c>
      <c r="F2488" t="s">
        <v>6</v>
      </c>
      <c r="G2488" t="s">
        <v>109</v>
      </c>
      <c r="H2488" s="62">
        <v>2036</v>
      </c>
      <c r="I2488">
        <v>0.51129999999999998</v>
      </c>
    </row>
    <row r="2489" spans="1:9">
      <c r="A2489" t="s">
        <v>104</v>
      </c>
      <c r="B2489" t="s">
        <v>105</v>
      </c>
      <c r="C2489" t="s">
        <v>80</v>
      </c>
      <c r="D2489" t="s">
        <v>86</v>
      </c>
      <c r="E2489" t="s">
        <v>87</v>
      </c>
      <c r="F2489" t="s">
        <v>6</v>
      </c>
      <c r="G2489" t="s">
        <v>109</v>
      </c>
      <c r="H2489" s="62">
        <v>2036</v>
      </c>
      <c r="I2489">
        <v>0.12839999999999999</v>
      </c>
    </row>
    <row r="2490" spans="1:9">
      <c r="A2490" t="s">
        <v>104</v>
      </c>
      <c r="B2490" t="s">
        <v>105</v>
      </c>
      <c r="C2490" t="s">
        <v>80</v>
      </c>
      <c r="D2490" t="s">
        <v>103</v>
      </c>
      <c r="E2490" t="s">
        <v>92</v>
      </c>
      <c r="F2490" t="s">
        <v>6</v>
      </c>
      <c r="G2490" t="s">
        <v>109</v>
      </c>
      <c r="H2490" s="62">
        <v>2036</v>
      </c>
      <c r="I2490">
        <v>0.1371</v>
      </c>
    </row>
    <row r="2491" spans="1:9">
      <c r="A2491" t="s">
        <v>104</v>
      </c>
      <c r="B2491" t="s">
        <v>105</v>
      </c>
      <c r="C2491" t="s">
        <v>80</v>
      </c>
      <c r="D2491" t="s">
        <v>103</v>
      </c>
      <c r="E2491" t="s">
        <v>89</v>
      </c>
      <c r="F2491" t="s">
        <v>6</v>
      </c>
      <c r="G2491" t="s">
        <v>109</v>
      </c>
      <c r="H2491" s="62">
        <v>2036</v>
      </c>
      <c r="I2491">
        <v>0.79090000000000005</v>
      </c>
    </row>
    <row r="2492" spans="1:9">
      <c r="A2492" t="s">
        <v>104</v>
      </c>
      <c r="B2492" t="s">
        <v>105</v>
      </c>
      <c r="C2492" t="s">
        <v>107</v>
      </c>
      <c r="D2492" t="s">
        <v>107</v>
      </c>
      <c r="E2492" t="s">
        <v>107</v>
      </c>
      <c r="F2492" t="s">
        <v>6</v>
      </c>
      <c r="G2492" t="s">
        <v>109</v>
      </c>
      <c r="H2492" s="62">
        <v>2037</v>
      </c>
      <c r="I2492">
        <v>15.526999999999999</v>
      </c>
    </row>
    <row r="2493" spans="1:9">
      <c r="A2493" t="s">
        <v>104</v>
      </c>
      <c r="B2493" t="s">
        <v>105</v>
      </c>
      <c r="C2493" t="s">
        <v>107</v>
      </c>
      <c r="D2493" t="s">
        <v>108</v>
      </c>
      <c r="E2493" t="s">
        <v>108</v>
      </c>
      <c r="F2493" t="s">
        <v>6</v>
      </c>
      <c r="G2493" t="s">
        <v>109</v>
      </c>
      <c r="H2493" s="62">
        <v>2037</v>
      </c>
      <c r="I2493">
        <v>9.0399999999999994E-2</v>
      </c>
    </row>
    <row r="2494" spans="1:9">
      <c r="A2494" t="s">
        <v>104</v>
      </c>
      <c r="B2494" t="s">
        <v>105</v>
      </c>
      <c r="C2494" t="s">
        <v>80</v>
      </c>
      <c r="D2494" t="s">
        <v>80</v>
      </c>
      <c r="E2494" t="s">
        <v>80</v>
      </c>
      <c r="F2494" t="s">
        <v>6</v>
      </c>
      <c r="G2494" t="s">
        <v>109</v>
      </c>
      <c r="H2494" s="62">
        <v>2037</v>
      </c>
      <c r="I2494">
        <v>15.4366</v>
      </c>
    </row>
    <row r="2495" spans="1:9">
      <c r="A2495" t="s">
        <v>104</v>
      </c>
      <c r="B2495" t="s">
        <v>105</v>
      </c>
      <c r="C2495" t="s">
        <v>80</v>
      </c>
      <c r="D2495" t="s">
        <v>89</v>
      </c>
      <c r="E2495" t="s">
        <v>90</v>
      </c>
      <c r="F2495" t="s">
        <v>6</v>
      </c>
      <c r="G2495" t="s">
        <v>109</v>
      </c>
      <c r="H2495" s="62">
        <v>2037</v>
      </c>
      <c r="I2495">
        <v>1.1932</v>
      </c>
    </row>
    <row r="2496" spans="1:9">
      <c r="A2496" t="s">
        <v>104</v>
      </c>
      <c r="B2496" t="s">
        <v>105</v>
      </c>
      <c r="C2496" t="s">
        <v>80</v>
      </c>
      <c r="D2496" t="s">
        <v>89</v>
      </c>
      <c r="E2496" t="s">
        <v>91</v>
      </c>
      <c r="F2496" t="s">
        <v>6</v>
      </c>
      <c r="G2496" t="s">
        <v>109</v>
      </c>
      <c r="H2496" s="62">
        <v>2037</v>
      </c>
      <c r="I2496">
        <v>-8.0199999999999994E-2</v>
      </c>
    </row>
    <row r="2497" spans="1:9">
      <c r="A2497" t="s">
        <v>104</v>
      </c>
      <c r="B2497" t="s">
        <v>105</v>
      </c>
      <c r="C2497" t="s">
        <v>80</v>
      </c>
      <c r="D2497" t="s">
        <v>92</v>
      </c>
      <c r="E2497" t="s">
        <v>93</v>
      </c>
      <c r="F2497" t="s">
        <v>6</v>
      </c>
      <c r="G2497" t="s">
        <v>109</v>
      </c>
      <c r="H2497" s="62">
        <v>2037</v>
      </c>
      <c r="I2497">
        <v>-0.57709999999999995</v>
      </c>
    </row>
    <row r="2498" spans="1:9">
      <c r="A2498" t="s">
        <v>104</v>
      </c>
      <c r="B2498" t="s">
        <v>105</v>
      </c>
      <c r="C2498" t="s">
        <v>80</v>
      </c>
      <c r="D2498" t="s">
        <v>92</v>
      </c>
      <c r="E2498" t="s">
        <v>94</v>
      </c>
      <c r="F2498" t="s">
        <v>6</v>
      </c>
      <c r="G2498" t="s">
        <v>109</v>
      </c>
      <c r="H2498" s="62">
        <v>2037</v>
      </c>
      <c r="I2498">
        <v>2.2808999999999999</v>
      </c>
    </row>
    <row r="2499" spans="1:9">
      <c r="A2499" t="s">
        <v>104</v>
      </c>
      <c r="B2499" t="s">
        <v>105</v>
      </c>
      <c r="C2499" t="s">
        <v>80</v>
      </c>
      <c r="D2499" t="s">
        <v>92</v>
      </c>
      <c r="E2499" t="s">
        <v>110</v>
      </c>
      <c r="F2499" t="s">
        <v>6</v>
      </c>
      <c r="G2499" t="s">
        <v>109</v>
      </c>
      <c r="H2499" s="62">
        <v>2037</v>
      </c>
      <c r="I2499">
        <v>0</v>
      </c>
    </row>
    <row r="2500" spans="1:9">
      <c r="A2500" t="s">
        <v>104</v>
      </c>
      <c r="B2500" t="s">
        <v>105</v>
      </c>
      <c r="C2500" t="s">
        <v>80</v>
      </c>
      <c r="D2500" t="s">
        <v>92</v>
      </c>
      <c r="E2500" t="s">
        <v>95</v>
      </c>
      <c r="F2500" t="s">
        <v>6</v>
      </c>
      <c r="G2500" t="s">
        <v>109</v>
      </c>
      <c r="H2500" s="62">
        <v>2037</v>
      </c>
      <c r="I2500">
        <v>6.3089000000000004</v>
      </c>
    </row>
    <row r="2501" spans="1:9">
      <c r="A2501" t="s">
        <v>104</v>
      </c>
      <c r="B2501" t="s">
        <v>105</v>
      </c>
      <c r="C2501" t="s">
        <v>80</v>
      </c>
      <c r="D2501" t="s">
        <v>96</v>
      </c>
      <c r="E2501" t="s">
        <v>92</v>
      </c>
      <c r="F2501" t="s">
        <v>6</v>
      </c>
      <c r="G2501" t="s">
        <v>109</v>
      </c>
      <c r="H2501" s="62">
        <v>2037</v>
      </c>
      <c r="I2501">
        <v>1.5117</v>
      </c>
    </row>
    <row r="2502" spans="1:9">
      <c r="A2502" t="s">
        <v>104</v>
      </c>
      <c r="B2502" t="s">
        <v>105</v>
      </c>
      <c r="C2502" t="s">
        <v>80</v>
      </c>
      <c r="D2502" t="s">
        <v>96</v>
      </c>
      <c r="E2502" t="s">
        <v>89</v>
      </c>
      <c r="F2502" t="s">
        <v>6</v>
      </c>
      <c r="G2502" t="s">
        <v>109</v>
      </c>
      <c r="H2502" s="62">
        <v>2037</v>
      </c>
      <c r="I2502">
        <v>3.09E-2</v>
      </c>
    </row>
    <row r="2503" spans="1:9">
      <c r="A2503" t="s">
        <v>104</v>
      </c>
      <c r="B2503" t="s">
        <v>105</v>
      </c>
      <c r="C2503" t="s">
        <v>80</v>
      </c>
      <c r="D2503" t="s">
        <v>97</v>
      </c>
      <c r="E2503" t="s">
        <v>98</v>
      </c>
      <c r="F2503" t="s">
        <v>6</v>
      </c>
      <c r="G2503" t="s">
        <v>109</v>
      </c>
      <c r="H2503" s="62">
        <v>2037</v>
      </c>
      <c r="I2503">
        <v>0.28670000000000001</v>
      </c>
    </row>
    <row r="2504" spans="1:9">
      <c r="A2504" t="s">
        <v>104</v>
      </c>
      <c r="B2504" t="s">
        <v>105</v>
      </c>
      <c r="C2504" t="s">
        <v>80</v>
      </c>
      <c r="D2504" t="s">
        <v>97</v>
      </c>
      <c r="E2504" t="s">
        <v>99</v>
      </c>
      <c r="F2504" t="s">
        <v>6</v>
      </c>
      <c r="G2504" t="s">
        <v>109</v>
      </c>
      <c r="H2504" s="62">
        <v>2037</v>
      </c>
      <c r="I2504">
        <v>3.0999999999999999E-3</v>
      </c>
    </row>
    <row r="2505" spans="1:9">
      <c r="A2505" t="s">
        <v>104</v>
      </c>
      <c r="B2505" t="s">
        <v>105</v>
      </c>
      <c r="C2505" t="s">
        <v>80</v>
      </c>
      <c r="D2505" t="s">
        <v>100</v>
      </c>
      <c r="E2505" t="s">
        <v>101</v>
      </c>
      <c r="F2505" t="s">
        <v>6</v>
      </c>
      <c r="G2505" t="s">
        <v>109</v>
      </c>
      <c r="H2505" s="62">
        <v>2037</v>
      </c>
      <c r="I2505">
        <v>1.3181</v>
      </c>
    </row>
    <row r="2506" spans="1:9">
      <c r="A2506" t="s">
        <v>104</v>
      </c>
      <c r="B2506" t="s">
        <v>105</v>
      </c>
      <c r="C2506" t="s">
        <v>80</v>
      </c>
      <c r="D2506" t="s">
        <v>100</v>
      </c>
      <c r="E2506" t="s">
        <v>102</v>
      </c>
      <c r="F2506" t="s">
        <v>6</v>
      </c>
      <c r="G2506" t="s">
        <v>109</v>
      </c>
      <c r="H2506" s="62">
        <v>2037</v>
      </c>
      <c r="I2506">
        <v>2.6970000000000001</v>
      </c>
    </row>
    <row r="2507" spans="1:9">
      <c r="A2507" t="s">
        <v>104</v>
      </c>
      <c r="B2507" t="s">
        <v>105</v>
      </c>
      <c r="C2507" t="s">
        <v>80</v>
      </c>
      <c r="D2507" t="s">
        <v>100</v>
      </c>
      <c r="E2507" t="s">
        <v>111</v>
      </c>
      <c r="F2507" t="s">
        <v>6</v>
      </c>
      <c r="G2507" t="s">
        <v>109</v>
      </c>
      <c r="H2507" s="62">
        <v>2037</v>
      </c>
      <c r="I2507">
        <v>0</v>
      </c>
    </row>
    <row r="2508" spans="1:9">
      <c r="A2508" t="s">
        <v>104</v>
      </c>
      <c r="B2508" t="s">
        <v>105</v>
      </c>
      <c r="C2508" t="s">
        <v>80</v>
      </c>
      <c r="D2508" t="s">
        <v>100</v>
      </c>
      <c r="E2508" t="s">
        <v>112</v>
      </c>
      <c r="F2508" t="s">
        <v>6</v>
      </c>
      <c r="G2508" t="s">
        <v>109</v>
      </c>
      <c r="H2508" s="62">
        <v>2037</v>
      </c>
      <c r="I2508">
        <v>0</v>
      </c>
    </row>
    <row r="2509" spans="1:9">
      <c r="A2509" t="s">
        <v>104</v>
      </c>
      <c r="B2509" t="s">
        <v>105</v>
      </c>
      <c r="C2509" t="s">
        <v>80</v>
      </c>
      <c r="D2509" t="s">
        <v>83</v>
      </c>
      <c r="E2509" t="s">
        <v>84</v>
      </c>
      <c r="F2509" t="s">
        <v>6</v>
      </c>
      <c r="G2509" t="s">
        <v>109</v>
      </c>
      <c r="H2509" s="62">
        <v>2037</v>
      </c>
      <c r="I2509">
        <v>0.1741</v>
      </c>
    </row>
    <row r="2510" spans="1:9">
      <c r="A2510" t="s">
        <v>104</v>
      </c>
      <c r="B2510" t="s">
        <v>105</v>
      </c>
      <c r="C2510" t="s">
        <v>80</v>
      </c>
      <c r="D2510" t="s">
        <v>83</v>
      </c>
      <c r="E2510" t="s">
        <v>85</v>
      </c>
      <c r="F2510" t="s">
        <v>6</v>
      </c>
      <c r="G2510" t="s">
        <v>109</v>
      </c>
      <c r="H2510" s="62">
        <v>2037</v>
      </c>
      <c r="I2510">
        <v>0.28920000000000001</v>
      </c>
    </row>
    <row r="2511" spans="1:9">
      <c r="A2511" t="s">
        <v>104</v>
      </c>
      <c r="B2511" t="s">
        <v>105</v>
      </c>
      <c r="C2511" t="s">
        <v>80</v>
      </c>
      <c r="D2511" t="s">
        <v>86</v>
      </c>
      <c r="E2511" t="s">
        <v>106</v>
      </c>
      <c r="F2511" t="s">
        <v>6</v>
      </c>
      <c r="G2511" t="s">
        <v>109</v>
      </c>
      <c r="H2511" s="62">
        <v>2037</v>
      </c>
      <c r="I2511">
        <v>0.51290000000000002</v>
      </c>
    </row>
    <row r="2512" spans="1:9">
      <c r="A2512" t="s">
        <v>104</v>
      </c>
      <c r="B2512" t="s">
        <v>105</v>
      </c>
      <c r="C2512" t="s">
        <v>80</v>
      </c>
      <c r="D2512" t="s">
        <v>86</v>
      </c>
      <c r="E2512" t="s">
        <v>87</v>
      </c>
      <c r="F2512" t="s">
        <v>6</v>
      </c>
      <c r="G2512" t="s">
        <v>109</v>
      </c>
      <c r="H2512" s="62">
        <v>2037</v>
      </c>
      <c r="I2512">
        <v>0.1444</v>
      </c>
    </row>
    <row r="2513" spans="1:9">
      <c r="A2513" t="s">
        <v>104</v>
      </c>
      <c r="B2513" t="s">
        <v>105</v>
      </c>
      <c r="C2513" t="s">
        <v>80</v>
      </c>
      <c r="D2513" t="s">
        <v>103</v>
      </c>
      <c r="E2513" t="s">
        <v>92</v>
      </c>
      <c r="F2513" t="s">
        <v>6</v>
      </c>
      <c r="G2513" t="s">
        <v>109</v>
      </c>
      <c r="H2513" s="62">
        <v>2037</v>
      </c>
      <c r="I2513">
        <v>0.14580000000000001</v>
      </c>
    </row>
    <row r="2514" spans="1:9">
      <c r="A2514" t="s">
        <v>104</v>
      </c>
      <c r="B2514" t="s">
        <v>105</v>
      </c>
      <c r="C2514" t="s">
        <v>80</v>
      </c>
      <c r="D2514" t="s">
        <v>103</v>
      </c>
      <c r="E2514" t="s">
        <v>89</v>
      </c>
      <c r="F2514" t="s">
        <v>6</v>
      </c>
      <c r="G2514" t="s">
        <v>109</v>
      </c>
      <c r="H2514" s="62">
        <v>2037</v>
      </c>
      <c r="I2514">
        <v>0.84379999999999999</v>
      </c>
    </row>
    <row r="2515" spans="1:9">
      <c r="A2515" t="s">
        <v>104</v>
      </c>
      <c r="B2515" t="s">
        <v>105</v>
      </c>
      <c r="C2515" t="s">
        <v>107</v>
      </c>
      <c r="D2515" t="s">
        <v>107</v>
      </c>
      <c r="E2515" t="s">
        <v>107</v>
      </c>
      <c r="F2515" t="s">
        <v>6</v>
      </c>
      <c r="G2515" t="s">
        <v>109</v>
      </c>
      <c r="H2515" s="62">
        <v>2038</v>
      </c>
      <c r="I2515">
        <v>17.267600000000002</v>
      </c>
    </row>
    <row r="2516" spans="1:9">
      <c r="A2516" t="s">
        <v>104</v>
      </c>
      <c r="B2516" t="s">
        <v>105</v>
      </c>
      <c r="C2516" t="s">
        <v>107</v>
      </c>
      <c r="D2516" t="s">
        <v>108</v>
      </c>
      <c r="E2516" t="s">
        <v>108</v>
      </c>
      <c r="F2516" t="s">
        <v>6</v>
      </c>
      <c r="G2516" t="s">
        <v>109</v>
      </c>
      <c r="H2516" s="62">
        <v>2038</v>
      </c>
      <c r="I2516">
        <v>9.0499999999999997E-2</v>
      </c>
    </row>
    <row r="2517" spans="1:9">
      <c r="A2517" t="s">
        <v>104</v>
      </c>
      <c r="B2517" t="s">
        <v>105</v>
      </c>
      <c r="C2517" t="s">
        <v>80</v>
      </c>
      <c r="D2517" t="s">
        <v>80</v>
      </c>
      <c r="E2517" t="s">
        <v>80</v>
      </c>
      <c r="F2517" t="s">
        <v>6</v>
      </c>
      <c r="G2517" t="s">
        <v>109</v>
      </c>
      <c r="H2517" s="62">
        <v>2038</v>
      </c>
      <c r="I2517">
        <v>17.177099999999999</v>
      </c>
    </row>
    <row r="2518" spans="1:9">
      <c r="A2518" t="s">
        <v>104</v>
      </c>
      <c r="B2518" t="s">
        <v>105</v>
      </c>
      <c r="C2518" t="s">
        <v>80</v>
      </c>
      <c r="D2518" t="s">
        <v>89</v>
      </c>
      <c r="E2518" t="s">
        <v>90</v>
      </c>
      <c r="F2518" t="s">
        <v>6</v>
      </c>
      <c r="G2518" t="s">
        <v>109</v>
      </c>
      <c r="H2518" s="62">
        <v>2038</v>
      </c>
      <c r="I2518">
        <v>1.1412</v>
      </c>
    </row>
    <row r="2519" spans="1:9">
      <c r="A2519" t="s">
        <v>104</v>
      </c>
      <c r="B2519" t="s">
        <v>105</v>
      </c>
      <c r="C2519" t="s">
        <v>80</v>
      </c>
      <c r="D2519" t="s">
        <v>89</v>
      </c>
      <c r="E2519" t="s">
        <v>91</v>
      </c>
      <c r="F2519" t="s">
        <v>6</v>
      </c>
      <c r="G2519" t="s">
        <v>109</v>
      </c>
      <c r="H2519" s="62">
        <v>2038</v>
      </c>
      <c r="I2519">
        <v>-7.9799999999999996E-2</v>
      </c>
    </row>
    <row r="2520" spans="1:9">
      <c r="A2520" t="s">
        <v>104</v>
      </c>
      <c r="B2520" t="s">
        <v>105</v>
      </c>
      <c r="C2520" t="s">
        <v>80</v>
      </c>
      <c r="D2520" t="s">
        <v>92</v>
      </c>
      <c r="E2520" t="s">
        <v>93</v>
      </c>
      <c r="F2520" t="s">
        <v>6</v>
      </c>
      <c r="G2520" t="s">
        <v>109</v>
      </c>
      <c r="H2520" s="62">
        <v>2038</v>
      </c>
      <c r="I2520">
        <v>-0.6008</v>
      </c>
    </row>
    <row r="2521" spans="1:9">
      <c r="A2521" t="s">
        <v>104</v>
      </c>
      <c r="B2521" t="s">
        <v>105</v>
      </c>
      <c r="C2521" t="s">
        <v>80</v>
      </c>
      <c r="D2521" t="s">
        <v>92</v>
      </c>
      <c r="E2521" t="s">
        <v>94</v>
      </c>
      <c r="F2521" t="s">
        <v>6</v>
      </c>
      <c r="G2521" t="s">
        <v>109</v>
      </c>
      <c r="H2521" s="62">
        <v>2038</v>
      </c>
      <c r="I2521">
        <v>2.2862</v>
      </c>
    </row>
    <row r="2522" spans="1:9">
      <c r="A2522" t="s">
        <v>104</v>
      </c>
      <c r="B2522" t="s">
        <v>105</v>
      </c>
      <c r="C2522" t="s">
        <v>80</v>
      </c>
      <c r="D2522" t="s">
        <v>92</v>
      </c>
      <c r="E2522" t="s">
        <v>110</v>
      </c>
      <c r="F2522" t="s">
        <v>6</v>
      </c>
      <c r="G2522" t="s">
        <v>109</v>
      </c>
      <c r="H2522" s="62">
        <v>2038</v>
      </c>
      <c r="I2522">
        <v>0</v>
      </c>
    </row>
    <row r="2523" spans="1:9">
      <c r="A2523" t="s">
        <v>104</v>
      </c>
      <c r="B2523" t="s">
        <v>105</v>
      </c>
      <c r="C2523" t="s">
        <v>80</v>
      </c>
      <c r="D2523" t="s">
        <v>92</v>
      </c>
      <c r="E2523" t="s">
        <v>95</v>
      </c>
      <c r="F2523" t="s">
        <v>6</v>
      </c>
      <c r="G2523" t="s">
        <v>109</v>
      </c>
      <c r="H2523" s="62">
        <v>2038</v>
      </c>
      <c r="I2523">
        <v>6.3074000000000003</v>
      </c>
    </row>
    <row r="2524" spans="1:9">
      <c r="A2524" t="s">
        <v>104</v>
      </c>
      <c r="B2524" t="s">
        <v>105</v>
      </c>
      <c r="C2524" t="s">
        <v>80</v>
      </c>
      <c r="D2524" t="s">
        <v>96</v>
      </c>
      <c r="E2524" t="s">
        <v>92</v>
      </c>
      <c r="F2524" t="s">
        <v>6</v>
      </c>
      <c r="G2524" t="s">
        <v>109</v>
      </c>
      <c r="H2524" s="62">
        <v>2038</v>
      </c>
      <c r="I2524">
        <v>1.5569999999999999</v>
      </c>
    </row>
    <row r="2525" spans="1:9">
      <c r="A2525" t="s">
        <v>104</v>
      </c>
      <c r="B2525" t="s">
        <v>105</v>
      </c>
      <c r="C2525" t="s">
        <v>80</v>
      </c>
      <c r="D2525" t="s">
        <v>96</v>
      </c>
      <c r="E2525" t="s">
        <v>89</v>
      </c>
      <c r="F2525" t="s">
        <v>6</v>
      </c>
      <c r="G2525" t="s">
        <v>109</v>
      </c>
      <c r="H2525" s="62">
        <v>2038</v>
      </c>
      <c r="I2525">
        <v>3.4299999999999997E-2</v>
      </c>
    </row>
    <row r="2526" spans="1:9">
      <c r="A2526" t="s">
        <v>104</v>
      </c>
      <c r="B2526" t="s">
        <v>105</v>
      </c>
      <c r="C2526" t="s">
        <v>80</v>
      </c>
      <c r="D2526" t="s">
        <v>97</v>
      </c>
      <c r="E2526" t="s">
        <v>98</v>
      </c>
      <c r="F2526" t="s">
        <v>6</v>
      </c>
      <c r="G2526" t="s">
        <v>109</v>
      </c>
      <c r="H2526" s="62">
        <v>2038</v>
      </c>
      <c r="I2526">
        <v>0.34670000000000001</v>
      </c>
    </row>
    <row r="2527" spans="1:9">
      <c r="A2527" t="s">
        <v>104</v>
      </c>
      <c r="B2527" t="s">
        <v>105</v>
      </c>
      <c r="C2527" t="s">
        <v>80</v>
      </c>
      <c r="D2527" t="s">
        <v>97</v>
      </c>
      <c r="E2527" t="s">
        <v>99</v>
      </c>
      <c r="F2527" t="s">
        <v>6</v>
      </c>
      <c r="G2527" t="s">
        <v>109</v>
      </c>
      <c r="H2527" s="62">
        <v>2038</v>
      </c>
      <c r="I2527">
        <v>4.1000000000000003E-3</v>
      </c>
    </row>
    <row r="2528" spans="1:9">
      <c r="A2528" t="s">
        <v>104</v>
      </c>
      <c r="B2528" t="s">
        <v>105</v>
      </c>
      <c r="C2528" t="s">
        <v>80</v>
      </c>
      <c r="D2528" t="s">
        <v>100</v>
      </c>
      <c r="E2528" t="s">
        <v>101</v>
      </c>
      <c r="F2528" t="s">
        <v>6</v>
      </c>
      <c r="G2528" t="s">
        <v>109</v>
      </c>
      <c r="H2528" s="62">
        <v>2038</v>
      </c>
      <c r="I2528">
        <v>1.3392999999999999</v>
      </c>
    </row>
    <row r="2529" spans="1:9">
      <c r="A2529" t="s">
        <v>104</v>
      </c>
      <c r="B2529" t="s">
        <v>105</v>
      </c>
      <c r="C2529" t="s">
        <v>80</v>
      </c>
      <c r="D2529" t="s">
        <v>100</v>
      </c>
      <c r="E2529" t="s">
        <v>102</v>
      </c>
      <c r="F2529" t="s">
        <v>6</v>
      </c>
      <c r="G2529" t="s">
        <v>109</v>
      </c>
      <c r="H2529" s="62">
        <v>2038</v>
      </c>
      <c r="I2529">
        <v>4.3746</v>
      </c>
    </row>
    <row r="2530" spans="1:9">
      <c r="A2530" t="s">
        <v>104</v>
      </c>
      <c r="B2530" t="s">
        <v>105</v>
      </c>
      <c r="C2530" t="s">
        <v>80</v>
      </c>
      <c r="D2530" t="s">
        <v>100</v>
      </c>
      <c r="E2530" t="s">
        <v>111</v>
      </c>
      <c r="F2530" t="s">
        <v>6</v>
      </c>
      <c r="G2530" t="s">
        <v>109</v>
      </c>
      <c r="H2530" s="62">
        <v>2038</v>
      </c>
      <c r="I2530">
        <v>0</v>
      </c>
    </row>
    <row r="2531" spans="1:9">
      <c r="A2531" t="s">
        <v>104</v>
      </c>
      <c r="B2531" t="s">
        <v>105</v>
      </c>
      <c r="C2531" t="s">
        <v>80</v>
      </c>
      <c r="D2531" t="s">
        <v>100</v>
      </c>
      <c r="E2531" t="s">
        <v>112</v>
      </c>
      <c r="F2531" t="s">
        <v>6</v>
      </c>
      <c r="G2531" t="s">
        <v>109</v>
      </c>
      <c r="H2531" s="62">
        <v>2038</v>
      </c>
      <c r="I2531">
        <v>0</v>
      </c>
    </row>
    <row r="2532" spans="1:9">
      <c r="A2532" t="s">
        <v>104</v>
      </c>
      <c r="B2532" t="s">
        <v>105</v>
      </c>
      <c r="C2532" t="s">
        <v>80</v>
      </c>
      <c r="D2532" t="s">
        <v>83</v>
      </c>
      <c r="E2532" t="s">
        <v>84</v>
      </c>
      <c r="F2532" t="s">
        <v>6</v>
      </c>
      <c r="G2532" t="s">
        <v>109</v>
      </c>
      <c r="H2532" s="62">
        <v>2038</v>
      </c>
      <c r="I2532">
        <v>0.17610000000000001</v>
      </c>
    </row>
    <row r="2533" spans="1:9">
      <c r="A2533" t="s">
        <v>104</v>
      </c>
      <c r="B2533" t="s">
        <v>105</v>
      </c>
      <c r="C2533" t="s">
        <v>80</v>
      </c>
      <c r="D2533" t="s">
        <v>83</v>
      </c>
      <c r="E2533" t="s">
        <v>85</v>
      </c>
      <c r="F2533" t="s">
        <v>6</v>
      </c>
      <c r="G2533" t="s">
        <v>109</v>
      </c>
      <c r="H2533" s="62">
        <v>2038</v>
      </c>
      <c r="I2533">
        <v>0.2908</v>
      </c>
    </row>
    <row r="2534" spans="1:9">
      <c r="A2534" t="s">
        <v>104</v>
      </c>
      <c r="B2534" t="s">
        <v>105</v>
      </c>
      <c r="C2534" t="s">
        <v>80</v>
      </c>
      <c r="D2534" t="s">
        <v>86</v>
      </c>
      <c r="E2534" t="s">
        <v>106</v>
      </c>
      <c r="F2534" t="s">
        <v>6</v>
      </c>
      <c r="G2534" t="s">
        <v>109</v>
      </c>
      <c r="H2534" s="62">
        <v>2038</v>
      </c>
      <c r="I2534">
        <v>0.51590000000000003</v>
      </c>
    </row>
    <row r="2535" spans="1:9">
      <c r="A2535" t="s">
        <v>104</v>
      </c>
      <c r="B2535" t="s">
        <v>105</v>
      </c>
      <c r="C2535" t="s">
        <v>80</v>
      </c>
      <c r="D2535" t="s">
        <v>86</v>
      </c>
      <c r="E2535" t="s">
        <v>87</v>
      </c>
      <c r="F2535" t="s">
        <v>6</v>
      </c>
      <c r="G2535" t="s">
        <v>109</v>
      </c>
      <c r="H2535" s="62">
        <v>2038</v>
      </c>
      <c r="I2535">
        <v>0.1646</v>
      </c>
    </row>
    <row r="2536" spans="1:9">
      <c r="A2536" t="s">
        <v>104</v>
      </c>
      <c r="B2536" t="s">
        <v>105</v>
      </c>
      <c r="C2536" t="s">
        <v>80</v>
      </c>
      <c r="D2536" t="s">
        <v>103</v>
      </c>
      <c r="E2536" t="s">
        <v>92</v>
      </c>
      <c r="F2536" t="s">
        <v>6</v>
      </c>
      <c r="G2536" t="s">
        <v>109</v>
      </c>
      <c r="H2536" s="62">
        <v>2038</v>
      </c>
      <c r="I2536">
        <v>0.15529999999999999</v>
      </c>
    </row>
    <row r="2537" spans="1:9">
      <c r="A2537" t="s">
        <v>104</v>
      </c>
      <c r="B2537" t="s">
        <v>105</v>
      </c>
      <c r="C2537" t="s">
        <v>80</v>
      </c>
      <c r="D2537" t="s">
        <v>103</v>
      </c>
      <c r="E2537" t="s">
        <v>89</v>
      </c>
      <c r="F2537" t="s">
        <v>6</v>
      </c>
      <c r="G2537" t="s">
        <v>109</v>
      </c>
      <c r="H2537" s="62">
        <v>2038</v>
      </c>
      <c r="I2537">
        <v>0.89939999999999998</v>
      </c>
    </row>
    <row r="2538" spans="1:9">
      <c r="A2538" t="s">
        <v>104</v>
      </c>
      <c r="B2538" t="s">
        <v>105</v>
      </c>
      <c r="C2538" t="s">
        <v>107</v>
      </c>
      <c r="D2538" t="s">
        <v>107</v>
      </c>
      <c r="E2538" t="s">
        <v>107</v>
      </c>
      <c r="F2538" t="s">
        <v>6</v>
      </c>
      <c r="G2538" t="s">
        <v>109</v>
      </c>
      <c r="H2538" s="62">
        <v>2039</v>
      </c>
      <c r="I2538">
        <v>16.573499999999999</v>
      </c>
    </row>
    <row r="2539" spans="1:9">
      <c r="A2539" t="s">
        <v>104</v>
      </c>
      <c r="B2539" t="s">
        <v>105</v>
      </c>
      <c r="C2539" t="s">
        <v>107</v>
      </c>
      <c r="D2539" t="s">
        <v>108</v>
      </c>
      <c r="E2539" t="s">
        <v>108</v>
      </c>
      <c r="F2539" t="s">
        <v>6</v>
      </c>
      <c r="G2539" t="s">
        <v>109</v>
      </c>
      <c r="H2539" s="62">
        <v>2039</v>
      </c>
      <c r="I2539">
        <v>8.9599999999999999E-2</v>
      </c>
    </row>
    <row r="2540" spans="1:9">
      <c r="A2540" t="s">
        <v>104</v>
      </c>
      <c r="B2540" t="s">
        <v>105</v>
      </c>
      <c r="C2540" t="s">
        <v>80</v>
      </c>
      <c r="D2540" t="s">
        <v>80</v>
      </c>
      <c r="E2540" t="s">
        <v>80</v>
      </c>
      <c r="F2540" t="s">
        <v>6</v>
      </c>
      <c r="G2540" t="s">
        <v>109</v>
      </c>
      <c r="H2540" s="62">
        <v>2039</v>
      </c>
      <c r="I2540">
        <v>16.483899999999998</v>
      </c>
    </row>
    <row r="2541" spans="1:9">
      <c r="A2541" t="s">
        <v>104</v>
      </c>
      <c r="B2541" t="s">
        <v>105</v>
      </c>
      <c r="C2541" t="s">
        <v>80</v>
      </c>
      <c r="D2541" t="s">
        <v>89</v>
      </c>
      <c r="E2541" t="s">
        <v>90</v>
      </c>
      <c r="F2541" t="s">
        <v>6</v>
      </c>
      <c r="G2541" t="s">
        <v>109</v>
      </c>
      <c r="H2541" s="62">
        <v>2039</v>
      </c>
      <c r="I2541">
        <v>1.0781000000000001</v>
      </c>
    </row>
    <row r="2542" spans="1:9">
      <c r="A2542" t="s">
        <v>104</v>
      </c>
      <c r="B2542" t="s">
        <v>105</v>
      </c>
      <c r="C2542" t="s">
        <v>80</v>
      </c>
      <c r="D2542" t="s">
        <v>89</v>
      </c>
      <c r="E2542" t="s">
        <v>91</v>
      </c>
      <c r="F2542" t="s">
        <v>6</v>
      </c>
      <c r="G2542" t="s">
        <v>109</v>
      </c>
      <c r="H2542" s="62">
        <v>2039</v>
      </c>
      <c r="I2542">
        <v>-0.08</v>
      </c>
    </row>
    <row r="2543" spans="1:9">
      <c r="A2543" t="s">
        <v>104</v>
      </c>
      <c r="B2543" t="s">
        <v>105</v>
      </c>
      <c r="C2543" t="s">
        <v>80</v>
      </c>
      <c r="D2543" t="s">
        <v>92</v>
      </c>
      <c r="E2543" t="s">
        <v>93</v>
      </c>
      <c r="F2543" t="s">
        <v>6</v>
      </c>
      <c r="G2543" t="s">
        <v>109</v>
      </c>
      <c r="H2543" s="62">
        <v>2039</v>
      </c>
      <c r="I2543">
        <v>-0.62809999999999999</v>
      </c>
    </row>
    <row r="2544" spans="1:9">
      <c r="A2544" t="s">
        <v>104</v>
      </c>
      <c r="B2544" t="s">
        <v>105</v>
      </c>
      <c r="C2544" t="s">
        <v>80</v>
      </c>
      <c r="D2544" t="s">
        <v>92</v>
      </c>
      <c r="E2544" t="s">
        <v>94</v>
      </c>
      <c r="F2544" t="s">
        <v>6</v>
      </c>
      <c r="G2544" t="s">
        <v>109</v>
      </c>
      <c r="H2544" s="62">
        <v>2039</v>
      </c>
      <c r="I2544">
        <v>2.2726000000000002</v>
      </c>
    </row>
    <row r="2545" spans="1:9">
      <c r="A2545" t="s">
        <v>104</v>
      </c>
      <c r="B2545" t="s">
        <v>105</v>
      </c>
      <c r="C2545" t="s">
        <v>80</v>
      </c>
      <c r="D2545" t="s">
        <v>92</v>
      </c>
      <c r="E2545" t="s">
        <v>110</v>
      </c>
      <c r="F2545" t="s">
        <v>6</v>
      </c>
      <c r="G2545" t="s">
        <v>109</v>
      </c>
      <c r="H2545" s="62">
        <v>2039</v>
      </c>
      <c r="I2545">
        <v>0</v>
      </c>
    </row>
    <row r="2546" spans="1:9">
      <c r="A2546" t="s">
        <v>104</v>
      </c>
      <c r="B2546" t="s">
        <v>105</v>
      </c>
      <c r="C2546" t="s">
        <v>80</v>
      </c>
      <c r="D2546" t="s">
        <v>92</v>
      </c>
      <c r="E2546" t="s">
        <v>95</v>
      </c>
      <c r="F2546" t="s">
        <v>6</v>
      </c>
      <c r="G2546" t="s">
        <v>109</v>
      </c>
      <c r="H2546" s="62">
        <v>2039</v>
      </c>
      <c r="I2546">
        <v>6.1951000000000001</v>
      </c>
    </row>
    <row r="2547" spans="1:9">
      <c r="A2547" t="s">
        <v>104</v>
      </c>
      <c r="B2547" t="s">
        <v>105</v>
      </c>
      <c r="C2547" t="s">
        <v>80</v>
      </c>
      <c r="D2547" t="s">
        <v>96</v>
      </c>
      <c r="E2547" t="s">
        <v>92</v>
      </c>
      <c r="F2547" t="s">
        <v>6</v>
      </c>
      <c r="G2547" t="s">
        <v>109</v>
      </c>
      <c r="H2547" s="62">
        <v>2039</v>
      </c>
      <c r="I2547">
        <v>1.6044</v>
      </c>
    </row>
    <row r="2548" spans="1:9">
      <c r="A2548" t="s">
        <v>104</v>
      </c>
      <c r="B2548" t="s">
        <v>105</v>
      </c>
      <c r="C2548" t="s">
        <v>80</v>
      </c>
      <c r="D2548" t="s">
        <v>96</v>
      </c>
      <c r="E2548" t="s">
        <v>89</v>
      </c>
      <c r="F2548" t="s">
        <v>6</v>
      </c>
      <c r="G2548" t="s">
        <v>109</v>
      </c>
      <c r="H2548" s="62">
        <v>2039</v>
      </c>
      <c r="I2548">
        <v>3.78E-2</v>
      </c>
    </row>
    <row r="2549" spans="1:9">
      <c r="A2549" t="s">
        <v>104</v>
      </c>
      <c r="B2549" t="s">
        <v>105</v>
      </c>
      <c r="C2549" t="s">
        <v>80</v>
      </c>
      <c r="D2549" t="s">
        <v>97</v>
      </c>
      <c r="E2549" t="s">
        <v>98</v>
      </c>
      <c r="F2549" t="s">
        <v>6</v>
      </c>
      <c r="G2549" t="s">
        <v>109</v>
      </c>
      <c r="H2549" s="62">
        <v>2039</v>
      </c>
      <c r="I2549">
        <v>0.40670000000000001</v>
      </c>
    </row>
    <row r="2550" spans="1:9">
      <c r="A2550" t="s">
        <v>104</v>
      </c>
      <c r="B2550" t="s">
        <v>105</v>
      </c>
      <c r="C2550" t="s">
        <v>80</v>
      </c>
      <c r="D2550" t="s">
        <v>97</v>
      </c>
      <c r="E2550" t="s">
        <v>99</v>
      </c>
      <c r="F2550" t="s">
        <v>6</v>
      </c>
      <c r="G2550" t="s">
        <v>109</v>
      </c>
      <c r="H2550" s="62">
        <v>2039</v>
      </c>
      <c r="I2550">
        <v>5.1999999999999998E-3</v>
      </c>
    </row>
    <row r="2551" spans="1:9">
      <c r="A2551" t="s">
        <v>104</v>
      </c>
      <c r="B2551" t="s">
        <v>105</v>
      </c>
      <c r="C2551" t="s">
        <v>80</v>
      </c>
      <c r="D2551" t="s">
        <v>100</v>
      </c>
      <c r="E2551" t="s">
        <v>101</v>
      </c>
      <c r="F2551" t="s">
        <v>6</v>
      </c>
      <c r="G2551" t="s">
        <v>109</v>
      </c>
      <c r="H2551" s="62">
        <v>2039</v>
      </c>
      <c r="I2551">
        <v>1.3534999999999999</v>
      </c>
    </row>
    <row r="2552" spans="1:9">
      <c r="A2552" t="s">
        <v>104</v>
      </c>
      <c r="B2552" t="s">
        <v>105</v>
      </c>
      <c r="C2552" t="s">
        <v>80</v>
      </c>
      <c r="D2552" t="s">
        <v>100</v>
      </c>
      <c r="E2552" t="s">
        <v>102</v>
      </c>
      <c r="F2552" t="s">
        <v>6</v>
      </c>
      <c r="G2552" t="s">
        <v>109</v>
      </c>
      <c r="H2552" s="62">
        <v>2039</v>
      </c>
      <c r="I2552">
        <v>3.7723</v>
      </c>
    </row>
    <row r="2553" spans="1:9">
      <c r="A2553" t="s">
        <v>104</v>
      </c>
      <c r="B2553" t="s">
        <v>105</v>
      </c>
      <c r="C2553" t="s">
        <v>80</v>
      </c>
      <c r="D2553" t="s">
        <v>100</v>
      </c>
      <c r="E2553" t="s">
        <v>111</v>
      </c>
      <c r="F2553" t="s">
        <v>6</v>
      </c>
      <c r="G2553" t="s">
        <v>109</v>
      </c>
      <c r="H2553" s="62">
        <v>2039</v>
      </c>
      <c r="I2553">
        <v>0</v>
      </c>
    </row>
    <row r="2554" spans="1:9">
      <c r="A2554" t="s">
        <v>104</v>
      </c>
      <c r="B2554" t="s">
        <v>105</v>
      </c>
      <c r="C2554" t="s">
        <v>80</v>
      </c>
      <c r="D2554" t="s">
        <v>100</v>
      </c>
      <c r="E2554" t="s">
        <v>112</v>
      </c>
      <c r="F2554" t="s">
        <v>6</v>
      </c>
      <c r="G2554" t="s">
        <v>109</v>
      </c>
      <c r="H2554" s="62">
        <v>2039</v>
      </c>
      <c r="I2554">
        <v>0</v>
      </c>
    </row>
    <row r="2555" spans="1:9">
      <c r="A2555" t="s">
        <v>104</v>
      </c>
      <c r="B2555" t="s">
        <v>105</v>
      </c>
      <c r="C2555" t="s">
        <v>80</v>
      </c>
      <c r="D2555" t="s">
        <v>83</v>
      </c>
      <c r="E2555" t="s">
        <v>84</v>
      </c>
      <c r="F2555" t="s">
        <v>6</v>
      </c>
      <c r="G2555" t="s">
        <v>109</v>
      </c>
      <c r="H2555" s="62">
        <v>2039</v>
      </c>
      <c r="I2555">
        <v>0.17730000000000001</v>
      </c>
    </row>
    <row r="2556" spans="1:9">
      <c r="A2556" t="s">
        <v>104</v>
      </c>
      <c r="B2556" t="s">
        <v>105</v>
      </c>
      <c r="C2556" t="s">
        <v>80</v>
      </c>
      <c r="D2556" t="s">
        <v>83</v>
      </c>
      <c r="E2556" t="s">
        <v>85</v>
      </c>
      <c r="F2556" t="s">
        <v>6</v>
      </c>
      <c r="G2556" t="s">
        <v>109</v>
      </c>
      <c r="H2556" s="62">
        <v>2039</v>
      </c>
      <c r="I2556">
        <v>0.2888</v>
      </c>
    </row>
    <row r="2557" spans="1:9">
      <c r="A2557" t="s">
        <v>104</v>
      </c>
      <c r="B2557" t="s">
        <v>105</v>
      </c>
      <c r="C2557" t="s">
        <v>80</v>
      </c>
      <c r="D2557" t="s">
        <v>86</v>
      </c>
      <c r="E2557" t="s">
        <v>106</v>
      </c>
      <c r="F2557" t="s">
        <v>6</v>
      </c>
      <c r="G2557" t="s">
        <v>109</v>
      </c>
      <c r="H2557" s="62">
        <v>2039</v>
      </c>
      <c r="I2557">
        <v>0.51890000000000003</v>
      </c>
    </row>
    <row r="2558" spans="1:9">
      <c r="A2558" t="s">
        <v>104</v>
      </c>
      <c r="B2558" t="s">
        <v>105</v>
      </c>
      <c r="C2558" t="s">
        <v>80</v>
      </c>
      <c r="D2558" t="s">
        <v>86</v>
      </c>
      <c r="E2558" t="s">
        <v>87</v>
      </c>
      <c r="F2558" t="s">
        <v>6</v>
      </c>
      <c r="G2558" t="s">
        <v>109</v>
      </c>
      <c r="H2558" s="62">
        <v>2039</v>
      </c>
      <c r="I2558">
        <v>0.18920000000000001</v>
      </c>
    </row>
    <row r="2559" spans="1:9">
      <c r="A2559" t="s">
        <v>104</v>
      </c>
      <c r="B2559" t="s">
        <v>105</v>
      </c>
      <c r="C2559" t="s">
        <v>80</v>
      </c>
      <c r="D2559" t="s">
        <v>103</v>
      </c>
      <c r="E2559" t="s">
        <v>92</v>
      </c>
      <c r="F2559" t="s">
        <v>6</v>
      </c>
      <c r="G2559" t="s">
        <v>109</v>
      </c>
      <c r="H2559" s="62">
        <v>2039</v>
      </c>
      <c r="I2559">
        <v>0.16600000000000001</v>
      </c>
    </row>
    <row r="2560" spans="1:9">
      <c r="A2560" t="s">
        <v>104</v>
      </c>
      <c r="B2560" t="s">
        <v>105</v>
      </c>
      <c r="C2560" t="s">
        <v>80</v>
      </c>
      <c r="D2560" t="s">
        <v>103</v>
      </c>
      <c r="E2560" t="s">
        <v>89</v>
      </c>
      <c r="F2560" t="s">
        <v>6</v>
      </c>
      <c r="G2560" t="s">
        <v>109</v>
      </c>
      <c r="H2560" s="62">
        <v>2039</v>
      </c>
      <c r="I2560">
        <v>0.96</v>
      </c>
    </row>
    <row r="2561" spans="1:9">
      <c r="A2561" t="s">
        <v>104</v>
      </c>
      <c r="B2561" t="s">
        <v>105</v>
      </c>
      <c r="C2561" t="s">
        <v>107</v>
      </c>
      <c r="D2561" t="s">
        <v>107</v>
      </c>
      <c r="E2561" t="s">
        <v>107</v>
      </c>
      <c r="F2561" t="s">
        <v>6</v>
      </c>
      <c r="G2561" t="s">
        <v>109</v>
      </c>
      <c r="H2561" s="62">
        <v>2040</v>
      </c>
      <c r="I2561">
        <v>16.357700000000001</v>
      </c>
    </row>
    <row r="2562" spans="1:9">
      <c r="A2562" t="s">
        <v>104</v>
      </c>
      <c r="B2562" t="s">
        <v>105</v>
      </c>
      <c r="C2562" t="s">
        <v>107</v>
      </c>
      <c r="D2562" t="s">
        <v>108</v>
      </c>
      <c r="E2562" t="s">
        <v>108</v>
      </c>
      <c r="F2562" t="s">
        <v>6</v>
      </c>
      <c r="G2562" t="s">
        <v>109</v>
      </c>
      <c r="H2562" s="62">
        <v>2040</v>
      </c>
      <c r="I2562">
        <v>9.01E-2</v>
      </c>
    </row>
    <row r="2563" spans="1:9">
      <c r="A2563" t="s">
        <v>104</v>
      </c>
      <c r="B2563" t="s">
        <v>105</v>
      </c>
      <c r="C2563" t="s">
        <v>80</v>
      </c>
      <c r="D2563" t="s">
        <v>80</v>
      </c>
      <c r="E2563" t="s">
        <v>80</v>
      </c>
      <c r="F2563" t="s">
        <v>6</v>
      </c>
      <c r="G2563" t="s">
        <v>109</v>
      </c>
      <c r="H2563" s="62">
        <v>2040</v>
      </c>
      <c r="I2563">
        <v>16.267600000000002</v>
      </c>
    </row>
    <row r="2564" spans="1:9">
      <c r="A2564" t="s">
        <v>104</v>
      </c>
      <c r="B2564" t="s">
        <v>105</v>
      </c>
      <c r="C2564" t="s">
        <v>80</v>
      </c>
      <c r="D2564" t="s">
        <v>89</v>
      </c>
      <c r="E2564" t="s">
        <v>90</v>
      </c>
      <c r="F2564" t="s">
        <v>6</v>
      </c>
      <c r="G2564" t="s">
        <v>109</v>
      </c>
      <c r="H2564" s="62">
        <v>2040</v>
      </c>
      <c r="I2564">
        <v>1.0271999999999999</v>
      </c>
    </row>
    <row r="2565" spans="1:9">
      <c r="A2565" t="s">
        <v>104</v>
      </c>
      <c r="B2565" t="s">
        <v>105</v>
      </c>
      <c r="C2565" t="s">
        <v>80</v>
      </c>
      <c r="D2565" t="s">
        <v>89</v>
      </c>
      <c r="E2565" t="s">
        <v>91</v>
      </c>
      <c r="F2565" t="s">
        <v>6</v>
      </c>
      <c r="G2565" t="s">
        <v>109</v>
      </c>
      <c r="H2565" s="62">
        <v>2040</v>
      </c>
      <c r="I2565">
        <v>-8.1199999999999994E-2</v>
      </c>
    </row>
    <row r="2566" spans="1:9">
      <c r="A2566" t="s">
        <v>104</v>
      </c>
      <c r="B2566" t="s">
        <v>105</v>
      </c>
      <c r="C2566" t="s">
        <v>80</v>
      </c>
      <c r="D2566" t="s">
        <v>92</v>
      </c>
      <c r="E2566" t="s">
        <v>93</v>
      </c>
      <c r="F2566" t="s">
        <v>6</v>
      </c>
      <c r="G2566" t="s">
        <v>109</v>
      </c>
      <c r="H2566" s="62">
        <v>2040</v>
      </c>
      <c r="I2566">
        <v>-0.66069999999999995</v>
      </c>
    </row>
    <row r="2567" spans="1:9">
      <c r="A2567" t="s">
        <v>104</v>
      </c>
      <c r="B2567" t="s">
        <v>105</v>
      </c>
      <c r="C2567" t="s">
        <v>80</v>
      </c>
      <c r="D2567" t="s">
        <v>92</v>
      </c>
      <c r="E2567" t="s">
        <v>94</v>
      </c>
      <c r="F2567" t="s">
        <v>6</v>
      </c>
      <c r="G2567" t="s">
        <v>109</v>
      </c>
      <c r="H2567" s="62">
        <v>2040</v>
      </c>
      <c r="I2567">
        <v>2.2593000000000001</v>
      </c>
    </row>
    <row r="2568" spans="1:9">
      <c r="A2568" t="s">
        <v>104</v>
      </c>
      <c r="B2568" t="s">
        <v>105</v>
      </c>
      <c r="C2568" t="s">
        <v>80</v>
      </c>
      <c r="D2568" t="s">
        <v>92</v>
      </c>
      <c r="E2568" t="s">
        <v>110</v>
      </c>
      <c r="F2568" t="s">
        <v>6</v>
      </c>
      <c r="G2568" t="s">
        <v>109</v>
      </c>
      <c r="H2568" s="62">
        <v>2040</v>
      </c>
      <c r="I2568">
        <v>0</v>
      </c>
    </row>
    <row r="2569" spans="1:9">
      <c r="A2569" t="s">
        <v>104</v>
      </c>
      <c r="B2569" t="s">
        <v>105</v>
      </c>
      <c r="C2569" t="s">
        <v>80</v>
      </c>
      <c r="D2569" t="s">
        <v>92</v>
      </c>
      <c r="E2569" t="s">
        <v>95</v>
      </c>
      <c r="F2569" t="s">
        <v>6</v>
      </c>
      <c r="G2569" t="s">
        <v>109</v>
      </c>
      <c r="H2569" s="62">
        <v>2040</v>
      </c>
      <c r="I2569">
        <v>6.1013000000000002</v>
      </c>
    </row>
    <row r="2570" spans="1:9">
      <c r="A2570" t="s">
        <v>104</v>
      </c>
      <c r="B2570" t="s">
        <v>105</v>
      </c>
      <c r="C2570" t="s">
        <v>80</v>
      </c>
      <c r="D2570" t="s">
        <v>96</v>
      </c>
      <c r="E2570" t="s">
        <v>92</v>
      </c>
      <c r="F2570" t="s">
        <v>6</v>
      </c>
      <c r="G2570" t="s">
        <v>109</v>
      </c>
      <c r="H2570" s="62">
        <v>2040</v>
      </c>
      <c r="I2570">
        <v>1.6353</v>
      </c>
    </row>
    <row r="2571" spans="1:9">
      <c r="A2571" t="s">
        <v>104</v>
      </c>
      <c r="B2571" t="s">
        <v>105</v>
      </c>
      <c r="C2571" t="s">
        <v>80</v>
      </c>
      <c r="D2571" t="s">
        <v>96</v>
      </c>
      <c r="E2571" t="s">
        <v>89</v>
      </c>
      <c r="F2571" t="s">
        <v>6</v>
      </c>
      <c r="G2571" t="s">
        <v>109</v>
      </c>
      <c r="H2571" s="62">
        <v>2040</v>
      </c>
      <c r="I2571">
        <v>4.1500000000000002E-2</v>
      </c>
    </row>
    <row r="2572" spans="1:9">
      <c r="A2572" t="s">
        <v>104</v>
      </c>
      <c r="B2572" t="s">
        <v>105</v>
      </c>
      <c r="C2572" t="s">
        <v>80</v>
      </c>
      <c r="D2572" t="s">
        <v>97</v>
      </c>
      <c r="E2572" t="s">
        <v>98</v>
      </c>
      <c r="F2572" t="s">
        <v>6</v>
      </c>
      <c r="G2572" t="s">
        <v>109</v>
      </c>
      <c r="H2572" s="62">
        <v>2040</v>
      </c>
      <c r="I2572">
        <v>0.46820000000000001</v>
      </c>
    </row>
    <row r="2573" spans="1:9">
      <c r="A2573" t="s">
        <v>104</v>
      </c>
      <c r="B2573" t="s">
        <v>105</v>
      </c>
      <c r="C2573" t="s">
        <v>80</v>
      </c>
      <c r="D2573" t="s">
        <v>97</v>
      </c>
      <c r="E2573" t="s">
        <v>99</v>
      </c>
      <c r="F2573" t="s">
        <v>6</v>
      </c>
      <c r="G2573" t="s">
        <v>109</v>
      </c>
      <c r="H2573" s="62">
        <v>2040</v>
      </c>
      <c r="I2573">
        <v>6.4999999999999997E-3</v>
      </c>
    </row>
    <row r="2574" spans="1:9">
      <c r="A2574" t="s">
        <v>104</v>
      </c>
      <c r="B2574" t="s">
        <v>105</v>
      </c>
      <c r="C2574" t="s">
        <v>80</v>
      </c>
      <c r="D2574" t="s">
        <v>100</v>
      </c>
      <c r="E2574" t="s">
        <v>101</v>
      </c>
      <c r="F2574" t="s">
        <v>6</v>
      </c>
      <c r="G2574" t="s">
        <v>109</v>
      </c>
      <c r="H2574" s="62">
        <v>2040</v>
      </c>
      <c r="I2574">
        <v>1.3458000000000001</v>
      </c>
    </row>
    <row r="2575" spans="1:9">
      <c r="A2575" t="s">
        <v>104</v>
      </c>
      <c r="B2575" t="s">
        <v>105</v>
      </c>
      <c r="C2575" t="s">
        <v>80</v>
      </c>
      <c r="D2575" t="s">
        <v>100</v>
      </c>
      <c r="E2575" t="s">
        <v>102</v>
      </c>
      <c r="F2575" t="s">
        <v>6</v>
      </c>
      <c r="G2575" t="s">
        <v>109</v>
      </c>
      <c r="H2575" s="62">
        <v>2040</v>
      </c>
      <c r="I2575">
        <v>3.6585000000000001</v>
      </c>
    </row>
    <row r="2576" spans="1:9">
      <c r="A2576" t="s">
        <v>104</v>
      </c>
      <c r="B2576" t="s">
        <v>105</v>
      </c>
      <c r="C2576" t="s">
        <v>80</v>
      </c>
      <c r="D2576" t="s">
        <v>100</v>
      </c>
      <c r="E2576" t="s">
        <v>111</v>
      </c>
      <c r="F2576" t="s">
        <v>6</v>
      </c>
      <c r="G2576" t="s">
        <v>109</v>
      </c>
      <c r="H2576" s="62">
        <v>2040</v>
      </c>
      <c r="I2576">
        <v>0</v>
      </c>
    </row>
    <row r="2577" spans="1:9">
      <c r="A2577" t="s">
        <v>104</v>
      </c>
      <c r="B2577" t="s">
        <v>105</v>
      </c>
      <c r="C2577" t="s">
        <v>80</v>
      </c>
      <c r="D2577" t="s">
        <v>100</v>
      </c>
      <c r="E2577" t="s">
        <v>112</v>
      </c>
      <c r="F2577" t="s">
        <v>6</v>
      </c>
      <c r="G2577" t="s">
        <v>109</v>
      </c>
      <c r="H2577" s="62">
        <v>2040</v>
      </c>
      <c r="I2577">
        <v>0</v>
      </c>
    </row>
    <row r="2578" spans="1:9">
      <c r="A2578" t="s">
        <v>104</v>
      </c>
      <c r="B2578" t="s">
        <v>105</v>
      </c>
      <c r="C2578" t="s">
        <v>80</v>
      </c>
      <c r="D2578" t="s">
        <v>83</v>
      </c>
      <c r="E2578" t="s">
        <v>84</v>
      </c>
      <c r="F2578" t="s">
        <v>6</v>
      </c>
      <c r="G2578" t="s">
        <v>109</v>
      </c>
      <c r="H2578" s="62">
        <v>2040</v>
      </c>
      <c r="I2578">
        <v>0.1784</v>
      </c>
    </row>
    <row r="2579" spans="1:9">
      <c r="A2579" t="s">
        <v>104</v>
      </c>
      <c r="B2579" t="s">
        <v>105</v>
      </c>
      <c r="C2579" t="s">
        <v>80</v>
      </c>
      <c r="D2579" t="s">
        <v>83</v>
      </c>
      <c r="E2579" t="s">
        <v>85</v>
      </c>
      <c r="F2579" t="s">
        <v>6</v>
      </c>
      <c r="G2579" t="s">
        <v>109</v>
      </c>
      <c r="H2579" s="62">
        <v>2040</v>
      </c>
      <c r="I2579">
        <v>0.2873</v>
      </c>
    </row>
    <row r="2580" spans="1:9">
      <c r="A2580" t="s">
        <v>104</v>
      </c>
      <c r="B2580" t="s">
        <v>105</v>
      </c>
      <c r="C2580" t="s">
        <v>80</v>
      </c>
      <c r="D2580" t="s">
        <v>86</v>
      </c>
      <c r="E2580" t="s">
        <v>106</v>
      </c>
      <c r="F2580" t="s">
        <v>6</v>
      </c>
      <c r="G2580" t="s">
        <v>109</v>
      </c>
      <c r="H2580" s="62">
        <v>2040</v>
      </c>
      <c r="I2580">
        <v>0.52329999999999999</v>
      </c>
    </row>
    <row r="2581" spans="1:9">
      <c r="A2581" t="s">
        <v>104</v>
      </c>
      <c r="B2581" t="s">
        <v>105</v>
      </c>
      <c r="C2581" t="s">
        <v>80</v>
      </c>
      <c r="D2581" t="s">
        <v>86</v>
      </c>
      <c r="E2581" t="s">
        <v>87</v>
      </c>
      <c r="F2581" t="s">
        <v>6</v>
      </c>
      <c r="G2581" t="s">
        <v>109</v>
      </c>
      <c r="H2581" s="62">
        <v>2040</v>
      </c>
      <c r="I2581">
        <v>0.21859999999999999</v>
      </c>
    </row>
    <row r="2582" spans="1:9">
      <c r="A2582" t="s">
        <v>104</v>
      </c>
      <c r="B2582" t="s">
        <v>105</v>
      </c>
      <c r="C2582" t="s">
        <v>80</v>
      </c>
      <c r="D2582" t="s">
        <v>103</v>
      </c>
      <c r="E2582" t="s">
        <v>92</v>
      </c>
      <c r="F2582" t="s">
        <v>6</v>
      </c>
      <c r="G2582" t="s">
        <v>109</v>
      </c>
      <c r="H2582" s="62">
        <v>2040</v>
      </c>
      <c r="I2582">
        <v>0.17780000000000001</v>
      </c>
    </row>
    <row r="2583" spans="1:9">
      <c r="A2583" t="s">
        <v>104</v>
      </c>
      <c r="B2583" t="s">
        <v>105</v>
      </c>
      <c r="C2583" t="s">
        <v>80</v>
      </c>
      <c r="D2583" t="s">
        <v>103</v>
      </c>
      <c r="E2583" t="s">
        <v>89</v>
      </c>
      <c r="F2583" t="s">
        <v>6</v>
      </c>
      <c r="G2583" t="s">
        <v>109</v>
      </c>
      <c r="H2583" s="62">
        <v>2040</v>
      </c>
      <c r="I2583">
        <v>1.0242</v>
      </c>
    </row>
    <row r="2584" spans="1:9">
      <c r="A2584" t="s">
        <v>104</v>
      </c>
      <c r="B2584" t="s">
        <v>105</v>
      </c>
      <c r="C2584" t="s">
        <v>107</v>
      </c>
      <c r="D2584" t="s">
        <v>107</v>
      </c>
      <c r="E2584" t="s">
        <v>107</v>
      </c>
      <c r="F2584" t="s">
        <v>6</v>
      </c>
      <c r="G2584" t="s">
        <v>109</v>
      </c>
      <c r="H2584" s="62">
        <v>2041</v>
      </c>
      <c r="I2584">
        <v>17.5624</v>
      </c>
    </row>
    <row r="2585" spans="1:9">
      <c r="A2585" t="s">
        <v>104</v>
      </c>
      <c r="B2585" t="s">
        <v>105</v>
      </c>
      <c r="C2585" t="s">
        <v>107</v>
      </c>
      <c r="D2585" t="s">
        <v>108</v>
      </c>
      <c r="E2585" t="s">
        <v>108</v>
      </c>
      <c r="F2585" t="s">
        <v>6</v>
      </c>
      <c r="G2585" t="s">
        <v>109</v>
      </c>
      <c r="H2585" s="62">
        <v>2041</v>
      </c>
      <c r="I2585">
        <v>8.9300000000000004E-2</v>
      </c>
    </row>
    <row r="2586" spans="1:9">
      <c r="A2586" t="s">
        <v>104</v>
      </c>
      <c r="B2586" t="s">
        <v>105</v>
      </c>
      <c r="C2586" t="s">
        <v>80</v>
      </c>
      <c r="D2586" t="s">
        <v>80</v>
      </c>
      <c r="E2586" t="s">
        <v>80</v>
      </c>
      <c r="F2586" t="s">
        <v>6</v>
      </c>
      <c r="G2586" t="s">
        <v>109</v>
      </c>
      <c r="H2586" s="62">
        <v>2041</v>
      </c>
      <c r="I2586">
        <v>17.473199999999999</v>
      </c>
    </row>
    <row r="2587" spans="1:9">
      <c r="A2587" t="s">
        <v>104</v>
      </c>
      <c r="B2587" t="s">
        <v>105</v>
      </c>
      <c r="C2587" t="s">
        <v>80</v>
      </c>
      <c r="D2587" t="s">
        <v>89</v>
      </c>
      <c r="E2587" t="s">
        <v>90</v>
      </c>
      <c r="F2587" t="s">
        <v>6</v>
      </c>
      <c r="G2587" t="s">
        <v>109</v>
      </c>
      <c r="H2587" s="62">
        <v>2041</v>
      </c>
      <c r="I2587">
        <v>0.96440000000000003</v>
      </c>
    </row>
    <row r="2588" spans="1:9">
      <c r="A2588" t="s">
        <v>104</v>
      </c>
      <c r="B2588" t="s">
        <v>105</v>
      </c>
      <c r="C2588" t="s">
        <v>80</v>
      </c>
      <c r="D2588" t="s">
        <v>89</v>
      </c>
      <c r="E2588" t="s">
        <v>91</v>
      </c>
      <c r="F2588" t="s">
        <v>6</v>
      </c>
      <c r="G2588" t="s">
        <v>109</v>
      </c>
      <c r="H2588" s="62">
        <v>2041</v>
      </c>
      <c r="I2588">
        <v>-8.0299999999999996E-2</v>
      </c>
    </row>
    <row r="2589" spans="1:9">
      <c r="A2589" t="s">
        <v>104</v>
      </c>
      <c r="B2589" t="s">
        <v>105</v>
      </c>
      <c r="C2589" t="s">
        <v>80</v>
      </c>
      <c r="D2589" t="s">
        <v>92</v>
      </c>
      <c r="E2589" t="s">
        <v>93</v>
      </c>
      <c r="F2589" t="s">
        <v>6</v>
      </c>
      <c r="G2589" t="s">
        <v>109</v>
      </c>
      <c r="H2589" s="62">
        <v>2041</v>
      </c>
      <c r="I2589">
        <v>-0.68540000000000001</v>
      </c>
    </row>
    <row r="2590" spans="1:9">
      <c r="A2590" t="s">
        <v>104</v>
      </c>
      <c r="B2590" t="s">
        <v>105</v>
      </c>
      <c r="C2590" t="s">
        <v>80</v>
      </c>
      <c r="D2590" t="s">
        <v>92</v>
      </c>
      <c r="E2590" t="s">
        <v>94</v>
      </c>
      <c r="F2590" t="s">
        <v>6</v>
      </c>
      <c r="G2590" t="s">
        <v>109</v>
      </c>
      <c r="H2590" s="62">
        <v>2041</v>
      </c>
      <c r="I2590">
        <v>2.2444999999999999</v>
      </c>
    </row>
    <row r="2591" spans="1:9">
      <c r="A2591" t="s">
        <v>104</v>
      </c>
      <c r="B2591" t="s">
        <v>105</v>
      </c>
      <c r="C2591" t="s">
        <v>80</v>
      </c>
      <c r="D2591" t="s">
        <v>92</v>
      </c>
      <c r="E2591" t="s">
        <v>110</v>
      </c>
      <c r="F2591" t="s">
        <v>6</v>
      </c>
      <c r="G2591" t="s">
        <v>109</v>
      </c>
      <c r="H2591" s="62">
        <v>2041</v>
      </c>
      <c r="I2591">
        <v>0</v>
      </c>
    </row>
    <row r="2592" spans="1:9">
      <c r="A2592" t="s">
        <v>104</v>
      </c>
      <c r="B2592" t="s">
        <v>105</v>
      </c>
      <c r="C2592" t="s">
        <v>80</v>
      </c>
      <c r="D2592" t="s">
        <v>92</v>
      </c>
      <c r="E2592" t="s">
        <v>95</v>
      </c>
      <c r="F2592" t="s">
        <v>6</v>
      </c>
      <c r="G2592" t="s">
        <v>109</v>
      </c>
      <c r="H2592" s="62">
        <v>2041</v>
      </c>
      <c r="I2592">
        <v>5.9911000000000003</v>
      </c>
    </row>
    <row r="2593" spans="1:9">
      <c r="A2593" t="s">
        <v>104</v>
      </c>
      <c r="B2593" t="s">
        <v>105</v>
      </c>
      <c r="C2593" t="s">
        <v>80</v>
      </c>
      <c r="D2593" t="s">
        <v>96</v>
      </c>
      <c r="E2593" t="s">
        <v>92</v>
      </c>
      <c r="F2593" t="s">
        <v>6</v>
      </c>
      <c r="G2593" t="s">
        <v>109</v>
      </c>
      <c r="H2593" s="62">
        <v>2041</v>
      </c>
      <c r="I2593">
        <v>1.6564000000000001</v>
      </c>
    </row>
    <row r="2594" spans="1:9">
      <c r="A2594" t="s">
        <v>104</v>
      </c>
      <c r="B2594" t="s">
        <v>105</v>
      </c>
      <c r="C2594" t="s">
        <v>80</v>
      </c>
      <c r="D2594" t="s">
        <v>96</v>
      </c>
      <c r="E2594" t="s">
        <v>89</v>
      </c>
      <c r="F2594" t="s">
        <v>6</v>
      </c>
      <c r="G2594" t="s">
        <v>109</v>
      </c>
      <c r="H2594" s="62">
        <v>2041</v>
      </c>
      <c r="I2594">
        <v>4.41E-2</v>
      </c>
    </row>
    <row r="2595" spans="1:9">
      <c r="A2595" t="s">
        <v>104</v>
      </c>
      <c r="B2595" t="s">
        <v>105</v>
      </c>
      <c r="C2595" t="s">
        <v>80</v>
      </c>
      <c r="D2595" t="s">
        <v>97</v>
      </c>
      <c r="E2595" t="s">
        <v>98</v>
      </c>
      <c r="F2595" t="s">
        <v>6</v>
      </c>
      <c r="G2595" t="s">
        <v>109</v>
      </c>
      <c r="H2595" s="62">
        <v>2041</v>
      </c>
      <c r="I2595">
        <v>0.52700000000000002</v>
      </c>
    </row>
    <row r="2596" spans="1:9">
      <c r="A2596" t="s">
        <v>104</v>
      </c>
      <c r="B2596" t="s">
        <v>105</v>
      </c>
      <c r="C2596" t="s">
        <v>80</v>
      </c>
      <c r="D2596" t="s">
        <v>97</v>
      </c>
      <c r="E2596" t="s">
        <v>99</v>
      </c>
      <c r="F2596" t="s">
        <v>6</v>
      </c>
      <c r="G2596" t="s">
        <v>109</v>
      </c>
      <c r="H2596" s="62">
        <v>2041</v>
      </c>
      <c r="I2596">
        <v>7.9000000000000008E-3</v>
      </c>
    </row>
    <row r="2597" spans="1:9">
      <c r="A2597" t="s">
        <v>104</v>
      </c>
      <c r="B2597" t="s">
        <v>105</v>
      </c>
      <c r="C2597" t="s">
        <v>80</v>
      </c>
      <c r="D2597" t="s">
        <v>100</v>
      </c>
      <c r="E2597" t="s">
        <v>101</v>
      </c>
      <c r="F2597" t="s">
        <v>6</v>
      </c>
      <c r="G2597" t="s">
        <v>109</v>
      </c>
      <c r="H2597" s="62">
        <v>2041</v>
      </c>
      <c r="I2597">
        <v>1.3880999999999999</v>
      </c>
    </row>
    <row r="2598" spans="1:9">
      <c r="A2598" t="s">
        <v>104</v>
      </c>
      <c r="B2598" t="s">
        <v>105</v>
      </c>
      <c r="C2598" t="s">
        <v>80</v>
      </c>
      <c r="D2598" t="s">
        <v>100</v>
      </c>
      <c r="E2598" t="s">
        <v>102</v>
      </c>
      <c r="F2598" t="s">
        <v>6</v>
      </c>
      <c r="G2598" t="s">
        <v>109</v>
      </c>
      <c r="H2598" s="62">
        <v>2041</v>
      </c>
      <c r="I2598">
        <v>4.952</v>
      </c>
    </row>
    <row r="2599" spans="1:9">
      <c r="A2599" t="s">
        <v>104</v>
      </c>
      <c r="B2599" t="s">
        <v>105</v>
      </c>
      <c r="C2599" t="s">
        <v>80</v>
      </c>
      <c r="D2599" t="s">
        <v>100</v>
      </c>
      <c r="E2599" t="s">
        <v>111</v>
      </c>
      <c r="F2599" t="s">
        <v>6</v>
      </c>
      <c r="G2599" t="s">
        <v>109</v>
      </c>
      <c r="H2599" s="62">
        <v>2041</v>
      </c>
      <c r="I2599">
        <v>0</v>
      </c>
    </row>
    <row r="2600" spans="1:9">
      <c r="A2600" t="s">
        <v>104</v>
      </c>
      <c r="B2600" t="s">
        <v>105</v>
      </c>
      <c r="C2600" t="s">
        <v>80</v>
      </c>
      <c r="D2600" t="s">
        <v>100</v>
      </c>
      <c r="E2600" t="s">
        <v>112</v>
      </c>
      <c r="F2600" t="s">
        <v>6</v>
      </c>
      <c r="G2600" t="s">
        <v>109</v>
      </c>
      <c r="H2600" s="62">
        <v>2041</v>
      </c>
      <c r="I2600">
        <v>0</v>
      </c>
    </row>
    <row r="2601" spans="1:9">
      <c r="A2601" t="s">
        <v>104</v>
      </c>
      <c r="B2601" t="s">
        <v>105</v>
      </c>
      <c r="C2601" t="s">
        <v>80</v>
      </c>
      <c r="D2601" t="s">
        <v>83</v>
      </c>
      <c r="E2601" t="s">
        <v>84</v>
      </c>
      <c r="F2601" t="s">
        <v>6</v>
      </c>
      <c r="G2601" t="s">
        <v>109</v>
      </c>
      <c r="H2601" s="62">
        <v>2041</v>
      </c>
      <c r="I2601">
        <v>0.17860000000000001</v>
      </c>
    </row>
    <row r="2602" spans="1:9">
      <c r="A2602" t="s">
        <v>104</v>
      </c>
      <c r="B2602" t="s">
        <v>105</v>
      </c>
      <c r="C2602" t="s">
        <v>80</v>
      </c>
      <c r="D2602" t="s">
        <v>83</v>
      </c>
      <c r="E2602" t="s">
        <v>85</v>
      </c>
      <c r="F2602" t="s">
        <v>6</v>
      </c>
      <c r="G2602" t="s">
        <v>109</v>
      </c>
      <c r="H2602" s="62">
        <v>2041</v>
      </c>
      <c r="I2602">
        <v>0.28470000000000001</v>
      </c>
    </row>
    <row r="2603" spans="1:9">
      <c r="A2603" t="s">
        <v>104</v>
      </c>
      <c r="B2603" t="s">
        <v>105</v>
      </c>
      <c r="C2603" t="s">
        <v>80</v>
      </c>
      <c r="D2603" t="s">
        <v>86</v>
      </c>
      <c r="E2603" t="s">
        <v>106</v>
      </c>
      <c r="F2603" t="s">
        <v>6</v>
      </c>
      <c r="G2603" t="s">
        <v>109</v>
      </c>
      <c r="H2603" s="62">
        <v>2041</v>
      </c>
      <c r="I2603">
        <v>0.52480000000000004</v>
      </c>
    </row>
    <row r="2604" spans="1:9">
      <c r="A2604" t="s">
        <v>104</v>
      </c>
      <c r="B2604" t="s">
        <v>105</v>
      </c>
      <c r="C2604" t="s">
        <v>80</v>
      </c>
      <c r="D2604" t="s">
        <v>86</v>
      </c>
      <c r="E2604" t="s">
        <v>87</v>
      </c>
      <c r="F2604" t="s">
        <v>6</v>
      </c>
      <c r="G2604" t="s">
        <v>109</v>
      </c>
      <c r="H2604" s="62">
        <v>2041</v>
      </c>
      <c r="I2604">
        <v>0.24079999999999999</v>
      </c>
    </row>
    <row r="2605" spans="1:9">
      <c r="A2605" t="s">
        <v>104</v>
      </c>
      <c r="B2605" t="s">
        <v>105</v>
      </c>
      <c r="C2605" t="s">
        <v>80</v>
      </c>
      <c r="D2605" t="s">
        <v>103</v>
      </c>
      <c r="E2605" t="s">
        <v>92</v>
      </c>
      <c r="F2605" t="s">
        <v>6</v>
      </c>
      <c r="G2605" t="s">
        <v>109</v>
      </c>
      <c r="H2605" s="62">
        <v>2041</v>
      </c>
      <c r="I2605">
        <v>0.18970000000000001</v>
      </c>
    </row>
    <row r="2606" spans="1:9">
      <c r="A2606" t="s">
        <v>104</v>
      </c>
      <c r="B2606" t="s">
        <v>105</v>
      </c>
      <c r="C2606" t="s">
        <v>80</v>
      </c>
      <c r="D2606" t="s">
        <v>103</v>
      </c>
      <c r="E2606" t="s">
        <v>89</v>
      </c>
      <c r="F2606" t="s">
        <v>6</v>
      </c>
      <c r="G2606" t="s">
        <v>109</v>
      </c>
      <c r="H2606" s="62">
        <v>2041</v>
      </c>
      <c r="I2606">
        <v>1.0878000000000001</v>
      </c>
    </row>
    <row r="2607" spans="1:9">
      <c r="A2607" t="s">
        <v>104</v>
      </c>
      <c r="B2607" t="s">
        <v>105</v>
      </c>
      <c r="C2607" t="s">
        <v>107</v>
      </c>
      <c r="D2607" t="s">
        <v>107</v>
      </c>
      <c r="E2607" t="s">
        <v>107</v>
      </c>
      <c r="F2607" t="s">
        <v>6</v>
      </c>
      <c r="G2607" t="s">
        <v>109</v>
      </c>
      <c r="H2607" s="62">
        <v>2042</v>
      </c>
      <c r="I2607">
        <v>16.243200000000002</v>
      </c>
    </row>
    <row r="2608" spans="1:9">
      <c r="A2608" t="s">
        <v>104</v>
      </c>
      <c r="B2608" t="s">
        <v>105</v>
      </c>
      <c r="C2608" t="s">
        <v>107</v>
      </c>
      <c r="D2608" t="s">
        <v>108</v>
      </c>
      <c r="E2608" t="s">
        <v>108</v>
      </c>
      <c r="F2608" t="s">
        <v>6</v>
      </c>
      <c r="G2608" t="s">
        <v>109</v>
      </c>
      <c r="H2608" s="62">
        <v>2042</v>
      </c>
      <c r="I2608">
        <v>9.06E-2</v>
      </c>
    </row>
    <row r="2609" spans="1:9">
      <c r="A2609" t="s">
        <v>104</v>
      </c>
      <c r="B2609" t="s">
        <v>105</v>
      </c>
      <c r="C2609" t="s">
        <v>80</v>
      </c>
      <c r="D2609" t="s">
        <v>80</v>
      </c>
      <c r="E2609" t="s">
        <v>80</v>
      </c>
      <c r="F2609" t="s">
        <v>6</v>
      </c>
      <c r="G2609" t="s">
        <v>109</v>
      </c>
      <c r="H2609" s="62">
        <v>2042</v>
      </c>
      <c r="I2609">
        <v>16.152699999999999</v>
      </c>
    </row>
    <row r="2610" spans="1:9">
      <c r="A2610" t="s">
        <v>104</v>
      </c>
      <c r="B2610" t="s">
        <v>105</v>
      </c>
      <c r="C2610" t="s">
        <v>80</v>
      </c>
      <c r="D2610" t="s">
        <v>89</v>
      </c>
      <c r="E2610" t="s">
        <v>90</v>
      </c>
      <c r="F2610" t="s">
        <v>6</v>
      </c>
      <c r="G2610" t="s">
        <v>109</v>
      </c>
      <c r="H2610" s="62">
        <v>2042</v>
      </c>
      <c r="I2610">
        <v>0.90759999999999996</v>
      </c>
    </row>
    <row r="2611" spans="1:9">
      <c r="A2611" t="s">
        <v>104</v>
      </c>
      <c r="B2611" t="s">
        <v>105</v>
      </c>
      <c r="C2611" t="s">
        <v>80</v>
      </c>
      <c r="D2611" t="s">
        <v>89</v>
      </c>
      <c r="E2611" t="s">
        <v>91</v>
      </c>
      <c r="F2611" t="s">
        <v>6</v>
      </c>
      <c r="G2611" t="s">
        <v>109</v>
      </c>
      <c r="H2611" s="62">
        <v>2042</v>
      </c>
      <c r="I2611">
        <v>-7.8700000000000006E-2</v>
      </c>
    </row>
    <row r="2612" spans="1:9">
      <c r="A2612" t="s">
        <v>104</v>
      </c>
      <c r="B2612" t="s">
        <v>105</v>
      </c>
      <c r="C2612" t="s">
        <v>80</v>
      </c>
      <c r="D2612" t="s">
        <v>92</v>
      </c>
      <c r="E2612" t="s">
        <v>93</v>
      </c>
      <c r="F2612" t="s">
        <v>6</v>
      </c>
      <c r="G2612" t="s">
        <v>109</v>
      </c>
      <c r="H2612" s="62">
        <v>2042</v>
      </c>
      <c r="I2612">
        <v>-0.71350000000000002</v>
      </c>
    </row>
    <row r="2613" spans="1:9">
      <c r="A2613" t="s">
        <v>104</v>
      </c>
      <c r="B2613" t="s">
        <v>105</v>
      </c>
      <c r="C2613" t="s">
        <v>80</v>
      </c>
      <c r="D2613" t="s">
        <v>92</v>
      </c>
      <c r="E2613" t="s">
        <v>94</v>
      </c>
      <c r="F2613" t="s">
        <v>6</v>
      </c>
      <c r="G2613" t="s">
        <v>109</v>
      </c>
      <c r="H2613" s="62">
        <v>2042</v>
      </c>
      <c r="I2613">
        <v>2.23</v>
      </c>
    </row>
    <row r="2614" spans="1:9">
      <c r="A2614" t="s">
        <v>104</v>
      </c>
      <c r="B2614" t="s">
        <v>105</v>
      </c>
      <c r="C2614" t="s">
        <v>80</v>
      </c>
      <c r="D2614" t="s">
        <v>92</v>
      </c>
      <c r="E2614" t="s">
        <v>110</v>
      </c>
      <c r="F2614" t="s">
        <v>6</v>
      </c>
      <c r="G2614" t="s">
        <v>109</v>
      </c>
      <c r="H2614" s="62">
        <v>2042</v>
      </c>
      <c r="I2614">
        <v>0</v>
      </c>
    </row>
    <row r="2615" spans="1:9">
      <c r="A2615" t="s">
        <v>104</v>
      </c>
      <c r="B2615" t="s">
        <v>105</v>
      </c>
      <c r="C2615" t="s">
        <v>80</v>
      </c>
      <c r="D2615" t="s">
        <v>92</v>
      </c>
      <c r="E2615" t="s">
        <v>95</v>
      </c>
      <c r="F2615" t="s">
        <v>6</v>
      </c>
      <c r="G2615" t="s">
        <v>109</v>
      </c>
      <c r="H2615" s="62">
        <v>2042</v>
      </c>
      <c r="I2615">
        <v>5.9987000000000004</v>
      </c>
    </row>
    <row r="2616" spans="1:9">
      <c r="A2616" t="s">
        <v>104</v>
      </c>
      <c r="B2616" t="s">
        <v>105</v>
      </c>
      <c r="C2616" t="s">
        <v>80</v>
      </c>
      <c r="D2616" t="s">
        <v>96</v>
      </c>
      <c r="E2616" t="s">
        <v>92</v>
      </c>
      <c r="F2616" t="s">
        <v>6</v>
      </c>
      <c r="G2616" t="s">
        <v>109</v>
      </c>
      <c r="H2616" s="62">
        <v>2042</v>
      </c>
      <c r="I2616">
        <v>1.6947000000000001</v>
      </c>
    </row>
    <row r="2617" spans="1:9">
      <c r="A2617" t="s">
        <v>104</v>
      </c>
      <c r="B2617" t="s">
        <v>105</v>
      </c>
      <c r="C2617" t="s">
        <v>80</v>
      </c>
      <c r="D2617" t="s">
        <v>96</v>
      </c>
      <c r="E2617" t="s">
        <v>89</v>
      </c>
      <c r="F2617" t="s">
        <v>6</v>
      </c>
      <c r="G2617" t="s">
        <v>109</v>
      </c>
      <c r="H2617" s="62">
        <v>2042</v>
      </c>
      <c r="I2617">
        <v>4.8000000000000001E-2</v>
      </c>
    </row>
    <row r="2618" spans="1:9">
      <c r="A2618" t="s">
        <v>104</v>
      </c>
      <c r="B2618" t="s">
        <v>105</v>
      </c>
      <c r="C2618" t="s">
        <v>80</v>
      </c>
      <c r="D2618" t="s">
        <v>97</v>
      </c>
      <c r="E2618" t="s">
        <v>98</v>
      </c>
      <c r="F2618" t="s">
        <v>6</v>
      </c>
      <c r="G2618" t="s">
        <v>109</v>
      </c>
      <c r="H2618" s="62">
        <v>2042</v>
      </c>
      <c r="I2618">
        <v>0.58689999999999998</v>
      </c>
    </row>
    <row r="2619" spans="1:9">
      <c r="A2619" t="s">
        <v>104</v>
      </c>
      <c r="B2619" t="s">
        <v>105</v>
      </c>
      <c r="C2619" t="s">
        <v>80</v>
      </c>
      <c r="D2619" t="s">
        <v>97</v>
      </c>
      <c r="E2619" t="s">
        <v>99</v>
      </c>
      <c r="F2619" t="s">
        <v>6</v>
      </c>
      <c r="G2619" t="s">
        <v>109</v>
      </c>
      <c r="H2619" s="62">
        <v>2042</v>
      </c>
      <c r="I2619">
        <v>9.4999999999999998E-3</v>
      </c>
    </row>
    <row r="2620" spans="1:9">
      <c r="A2620" t="s">
        <v>104</v>
      </c>
      <c r="B2620" t="s">
        <v>105</v>
      </c>
      <c r="C2620" t="s">
        <v>80</v>
      </c>
      <c r="D2620" t="s">
        <v>100</v>
      </c>
      <c r="E2620" t="s">
        <v>101</v>
      </c>
      <c r="F2620" t="s">
        <v>6</v>
      </c>
      <c r="G2620" t="s">
        <v>109</v>
      </c>
      <c r="H2620" s="62">
        <v>2042</v>
      </c>
      <c r="I2620">
        <v>1.4320999999999999</v>
      </c>
    </row>
    <row r="2621" spans="1:9">
      <c r="A2621" t="s">
        <v>104</v>
      </c>
      <c r="B2621" t="s">
        <v>105</v>
      </c>
      <c r="C2621" t="s">
        <v>80</v>
      </c>
      <c r="D2621" t="s">
        <v>100</v>
      </c>
      <c r="E2621" t="s">
        <v>102</v>
      </c>
      <c r="F2621" t="s">
        <v>6</v>
      </c>
      <c r="G2621" t="s">
        <v>109</v>
      </c>
      <c r="H2621" s="62">
        <v>2042</v>
      </c>
      <c r="I2621">
        <v>3.5720000000000001</v>
      </c>
    </row>
    <row r="2622" spans="1:9">
      <c r="A2622" t="s">
        <v>104</v>
      </c>
      <c r="B2622" t="s">
        <v>105</v>
      </c>
      <c r="C2622" t="s">
        <v>80</v>
      </c>
      <c r="D2622" t="s">
        <v>100</v>
      </c>
      <c r="E2622" t="s">
        <v>111</v>
      </c>
      <c r="F2622" t="s">
        <v>6</v>
      </c>
      <c r="G2622" t="s">
        <v>109</v>
      </c>
      <c r="H2622" s="62">
        <v>2042</v>
      </c>
      <c r="I2622">
        <v>0</v>
      </c>
    </row>
    <row r="2623" spans="1:9">
      <c r="A2623" t="s">
        <v>104</v>
      </c>
      <c r="B2623" t="s">
        <v>105</v>
      </c>
      <c r="C2623" t="s">
        <v>80</v>
      </c>
      <c r="D2623" t="s">
        <v>100</v>
      </c>
      <c r="E2623" t="s">
        <v>112</v>
      </c>
      <c r="F2623" t="s">
        <v>6</v>
      </c>
      <c r="G2623" t="s">
        <v>109</v>
      </c>
      <c r="H2623" s="62">
        <v>2042</v>
      </c>
      <c r="I2623">
        <v>0</v>
      </c>
    </row>
    <row r="2624" spans="1:9">
      <c r="A2624" t="s">
        <v>104</v>
      </c>
      <c r="B2624" t="s">
        <v>105</v>
      </c>
      <c r="C2624" t="s">
        <v>80</v>
      </c>
      <c r="D2624" t="s">
        <v>83</v>
      </c>
      <c r="E2624" t="s">
        <v>84</v>
      </c>
      <c r="F2624" t="s">
        <v>6</v>
      </c>
      <c r="G2624" t="s">
        <v>109</v>
      </c>
      <c r="H2624" s="62">
        <v>2042</v>
      </c>
      <c r="I2624">
        <v>0.17960000000000001</v>
      </c>
    </row>
    <row r="2625" spans="1:9">
      <c r="A2625" t="s">
        <v>104</v>
      </c>
      <c r="B2625" t="s">
        <v>105</v>
      </c>
      <c r="C2625" t="s">
        <v>80</v>
      </c>
      <c r="D2625" t="s">
        <v>83</v>
      </c>
      <c r="E2625" t="s">
        <v>85</v>
      </c>
      <c r="F2625" t="s">
        <v>6</v>
      </c>
      <c r="G2625" t="s">
        <v>109</v>
      </c>
      <c r="H2625" s="62">
        <v>2042</v>
      </c>
      <c r="I2625">
        <v>0.28570000000000001</v>
      </c>
    </row>
    <row r="2626" spans="1:9">
      <c r="A2626" t="s">
        <v>104</v>
      </c>
      <c r="B2626" t="s">
        <v>105</v>
      </c>
      <c r="C2626" t="s">
        <v>80</v>
      </c>
      <c r="D2626" t="s">
        <v>86</v>
      </c>
      <c r="E2626" t="s">
        <v>106</v>
      </c>
      <c r="F2626" t="s">
        <v>6</v>
      </c>
      <c r="G2626" t="s">
        <v>109</v>
      </c>
      <c r="H2626" s="62">
        <v>2042</v>
      </c>
      <c r="I2626">
        <v>0.52780000000000005</v>
      </c>
    </row>
    <row r="2627" spans="1:9">
      <c r="A2627" t="s">
        <v>104</v>
      </c>
      <c r="B2627" t="s">
        <v>105</v>
      </c>
      <c r="C2627" t="s">
        <v>80</v>
      </c>
      <c r="D2627" t="s">
        <v>86</v>
      </c>
      <c r="E2627" t="s">
        <v>87</v>
      </c>
      <c r="F2627" t="s">
        <v>6</v>
      </c>
      <c r="G2627" t="s">
        <v>109</v>
      </c>
      <c r="H2627" s="62">
        <v>2042</v>
      </c>
      <c r="I2627">
        <v>0.26440000000000002</v>
      </c>
    </row>
    <row r="2628" spans="1:9">
      <c r="A2628" t="s">
        <v>104</v>
      </c>
      <c r="B2628" t="s">
        <v>105</v>
      </c>
      <c r="C2628" t="s">
        <v>80</v>
      </c>
      <c r="D2628" t="s">
        <v>103</v>
      </c>
      <c r="E2628" t="s">
        <v>92</v>
      </c>
      <c r="F2628" t="s">
        <v>6</v>
      </c>
      <c r="G2628" t="s">
        <v>109</v>
      </c>
      <c r="H2628" s="62">
        <v>2042</v>
      </c>
      <c r="I2628">
        <v>0.20100000000000001</v>
      </c>
    </row>
    <row r="2629" spans="1:9">
      <c r="A2629" t="s">
        <v>104</v>
      </c>
      <c r="B2629" t="s">
        <v>105</v>
      </c>
      <c r="C2629" t="s">
        <v>80</v>
      </c>
      <c r="D2629" t="s">
        <v>103</v>
      </c>
      <c r="E2629" t="s">
        <v>89</v>
      </c>
      <c r="F2629" t="s">
        <v>6</v>
      </c>
      <c r="G2629" t="s">
        <v>109</v>
      </c>
      <c r="H2629" s="62">
        <v>2042</v>
      </c>
      <c r="I2629">
        <v>1.1482000000000001</v>
      </c>
    </row>
    <row r="2630" spans="1:9">
      <c r="A2630" t="s">
        <v>104</v>
      </c>
      <c r="B2630" t="s">
        <v>105</v>
      </c>
      <c r="C2630" t="s">
        <v>107</v>
      </c>
      <c r="D2630" t="s">
        <v>107</v>
      </c>
      <c r="E2630" t="s">
        <v>107</v>
      </c>
      <c r="F2630" t="s">
        <v>6</v>
      </c>
      <c r="G2630" t="s">
        <v>109</v>
      </c>
      <c r="H2630" s="62">
        <v>2043</v>
      </c>
      <c r="I2630">
        <v>17.1205</v>
      </c>
    </row>
    <row r="2631" spans="1:9">
      <c r="A2631" t="s">
        <v>104</v>
      </c>
      <c r="B2631" t="s">
        <v>105</v>
      </c>
      <c r="C2631" t="s">
        <v>107</v>
      </c>
      <c r="D2631" t="s">
        <v>108</v>
      </c>
      <c r="E2631" t="s">
        <v>108</v>
      </c>
      <c r="F2631" t="s">
        <v>6</v>
      </c>
      <c r="G2631" t="s">
        <v>109</v>
      </c>
      <c r="H2631" s="62">
        <v>2043</v>
      </c>
      <c r="I2631">
        <v>9.06E-2</v>
      </c>
    </row>
    <row r="2632" spans="1:9">
      <c r="A2632" t="s">
        <v>104</v>
      </c>
      <c r="B2632" t="s">
        <v>105</v>
      </c>
      <c r="C2632" t="s">
        <v>80</v>
      </c>
      <c r="D2632" t="s">
        <v>80</v>
      </c>
      <c r="E2632" t="s">
        <v>80</v>
      </c>
      <c r="F2632" t="s">
        <v>6</v>
      </c>
      <c r="G2632" t="s">
        <v>109</v>
      </c>
      <c r="H2632" s="62">
        <v>2043</v>
      </c>
      <c r="I2632">
        <v>17.029900000000001</v>
      </c>
    </row>
    <row r="2633" spans="1:9">
      <c r="A2633" t="s">
        <v>104</v>
      </c>
      <c r="B2633" t="s">
        <v>105</v>
      </c>
      <c r="C2633" t="s">
        <v>80</v>
      </c>
      <c r="D2633" t="s">
        <v>89</v>
      </c>
      <c r="E2633" t="s">
        <v>90</v>
      </c>
      <c r="F2633" t="s">
        <v>6</v>
      </c>
      <c r="G2633" t="s">
        <v>109</v>
      </c>
      <c r="H2633" s="62">
        <v>2043</v>
      </c>
      <c r="I2633">
        <v>0.84760000000000002</v>
      </c>
    </row>
    <row r="2634" spans="1:9">
      <c r="A2634" t="s">
        <v>104</v>
      </c>
      <c r="B2634" t="s">
        <v>105</v>
      </c>
      <c r="C2634" t="s">
        <v>80</v>
      </c>
      <c r="D2634" t="s">
        <v>89</v>
      </c>
      <c r="E2634" t="s">
        <v>91</v>
      </c>
      <c r="F2634" t="s">
        <v>6</v>
      </c>
      <c r="G2634" t="s">
        <v>109</v>
      </c>
      <c r="H2634" s="62">
        <v>2043</v>
      </c>
      <c r="I2634">
        <v>-7.7399999999999997E-2</v>
      </c>
    </row>
    <row r="2635" spans="1:9">
      <c r="A2635" t="s">
        <v>104</v>
      </c>
      <c r="B2635" t="s">
        <v>105</v>
      </c>
      <c r="C2635" t="s">
        <v>80</v>
      </c>
      <c r="D2635" t="s">
        <v>92</v>
      </c>
      <c r="E2635" t="s">
        <v>93</v>
      </c>
      <c r="F2635" t="s">
        <v>6</v>
      </c>
      <c r="G2635" t="s">
        <v>109</v>
      </c>
      <c r="H2635" s="62">
        <v>2043</v>
      </c>
      <c r="I2635">
        <v>-0.75070000000000003</v>
      </c>
    </row>
    <row r="2636" spans="1:9">
      <c r="A2636" t="s">
        <v>104</v>
      </c>
      <c r="B2636" t="s">
        <v>105</v>
      </c>
      <c r="C2636" t="s">
        <v>80</v>
      </c>
      <c r="D2636" t="s">
        <v>92</v>
      </c>
      <c r="E2636" t="s">
        <v>94</v>
      </c>
      <c r="F2636" t="s">
        <v>6</v>
      </c>
      <c r="G2636" t="s">
        <v>109</v>
      </c>
      <c r="H2636" s="62">
        <v>2043</v>
      </c>
      <c r="I2636">
        <v>2.214</v>
      </c>
    </row>
    <row r="2637" spans="1:9">
      <c r="A2637" t="s">
        <v>104</v>
      </c>
      <c r="B2637" t="s">
        <v>105</v>
      </c>
      <c r="C2637" t="s">
        <v>80</v>
      </c>
      <c r="D2637" t="s">
        <v>92</v>
      </c>
      <c r="E2637" t="s">
        <v>110</v>
      </c>
      <c r="F2637" t="s">
        <v>6</v>
      </c>
      <c r="G2637" t="s">
        <v>109</v>
      </c>
      <c r="H2637" s="62">
        <v>2043</v>
      </c>
      <c r="I2637">
        <v>0</v>
      </c>
    </row>
    <row r="2638" spans="1:9">
      <c r="A2638" t="s">
        <v>104</v>
      </c>
      <c r="B2638" t="s">
        <v>105</v>
      </c>
      <c r="C2638" t="s">
        <v>80</v>
      </c>
      <c r="D2638" t="s">
        <v>92</v>
      </c>
      <c r="E2638" t="s">
        <v>95</v>
      </c>
      <c r="F2638" t="s">
        <v>6</v>
      </c>
      <c r="G2638" t="s">
        <v>109</v>
      </c>
      <c r="H2638" s="62">
        <v>2043</v>
      </c>
      <c r="I2638">
        <v>6.0068999999999999</v>
      </c>
    </row>
    <row r="2639" spans="1:9">
      <c r="A2639" t="s">
        <v>104</v>
      </c>
      <c r="B2639" t="s">
        <v>105</v>
      </c>
      <c r="C2639" t="s">
        <v>80</v>
      </c>
      <c r="D2639" t="s">
        <v>96</v>
      </c>
      <c r="E2639" t="s">
        <v>92</v>
      </c>
      <c r="F2639" t="s">
        <v>6</v>
      </c>
      <c r="G2639" t="s">
        <v>109</v>
      </c>
      <c r="H2639" s="62">
        <v>2043</v>
      </c>
      <c r="I2639">
        <v>1.7471000000000001</v>
      </c>
    </row>
    <row r="2640" spans="1:9">
      <c r="A2640" t="s">
        <v>104</v>
      </c>
      <c r="B2640" t="s">
        <v>105</v>
      </c>
      <c r="C2640" t="s">
        <v>80</v>
      </c>
      <c r="D2640" t="s">
        <v>96</v>
      </c>
      <c r="E2640" t="s">
        <v>89</v>
      </c>
      <c r="F2640" t="s">
        <v>6</v>
      </c>
      <c r="G2640" t="s">
        <v>109</v>
      </c>
      <c r="H2640" s="62">
        <v>2043</v>
      </c>
      <c r="I2640">
        <v>5.3100000000000001E-2</v>
      </c>
    </row>
    <row r="2641" spans="1:9">
      <c r="A2641" t="s">
        <v>104</v>
      </c>
      <c r="B2641" t="s">
        <v>105</v>
      </c>
      <c r="C2641" t="s">
        <v>80</v>
      </c>
      <c r="D2641" t="s">
        <v>97</v>
      </c>
      <c r="E2641" t="s">
        <v>98</v>
      </c>
      <c r="F2641" t="s">
        <v>6</v>
      </c>
      <c r="G2641" t="s">
        <v>109</v>
      </c>
      <c r="H2641" s="62">
        <v>2043</v>
      </c>
      <c r="I2641">
        <v>0.64690000000000003</v>
      </c>
    </row>
    <row r="2642" spans="1:9">
      <c r="A2642" t="s">
        <v>104</v>
      </c>
      <c r="B2642" t="s">
        <v>105</v>
      </c>
      <c r="C2642" t="s">
        <v>80</v>
      </c>
      <c r="D2642" t="s">
        <v>97</v>
      </c>
      <c r="E2642" t="s">
        <v>99</v>
      </c>
      <c r="F2642" t="s">
        <v>6</v>
      </c>
      <c r="G2642" t="s">
        <v>109</v>
      </c>
      <c r="H2642" s="62">
        <v>2043</v>
      </c>
      <c r="I2642">
        <v>1.12E-2</v>
      </c>
    </row>
    <row r="2643" spans="1:9">
      <c r="A2643" t="s">
        <v>104</v>
      </c>
      <c r="B2643" t="s">
        <v>105</v>
      </c>
      <c r="C2643" t="s">
        <v>80</v>
      </c>
      <c r="D2643" t="s">
        <v>100</v>
      </c>
      <c r="E2643" t="s">
        <v>101</v>
      </c>
      <c r="F2643" t="s">
        <v>6</v>
      </c>
      <c r="G2643" t="s">
        <v>109</v>
      </c>
      <c r="H2643" s="62">
        <v>2043</v>
      </c>
      <c r="I2643">
        <v>1.4514</v>
      </c>
    </row>
    <row r="2644" spans="1:9">
      <c r="A2644" t="s">
        <v>104</v>
      </c>
      <c r="B2644" t="s">
        <v>105</v>
      </c>
      <c r="C2644" t="s">
        <v>80</v>
      </c>
      <c r="D2644" t="s">
        <v>100</v>
      </c>
      <c r="E2644" t="s">
        <v>102</v>
      </c>
      <c r="F2644" t="s">
        <v>6</v>
      </c>
      <c r="G2644" t="s">
        <v>109</v>
      </c>
      <c r="H2644" s="62">
        <v>2043</v>
      </c>
      <c r="I2644">
        <v>4.4118000000000004</v>
      </c>
    </row>
    <row r="2645" spans="1:9">
      <c r="A2645" t="s">
        <v>104</v>
      </c>
      <c r="B2645" t="s">
        <v>105</v>
      </c>
      <c r="C2645" t="s">
        <v>80</v>
      </c>
      <c r="D2645" t="s">
        <v>100</v>
      </c>
      <c r="E2645" t="s">
        <v>111</v>
      </c>
      <c r="F2645" t="s">
        <v>6</v>
      </c>
      <c r="G2645" t="s">
        <v>109</v>
      </c>
      <c r="H2645" s="62">
        <v>2043</v>
      </c>
      <c r="I2645">
        <v>0</v>
      </c>
    </row>
    <row r="2646" spans="1:9">
      <c r="A2646" t="s">
        <v>104</v>
      </c>
      <c r="B2646" t="s">
        <v>105</v>
      </c>
      <c r="C2646" t="s">
        <v>80</v>
      </c>
      <c r="D2646" t="s">
        <v>100</v>
      </c>
      <c r="E2646" t="s">
        <v>112</v>
      </c>
      <c r="F2646" t="s">
        <v>6</v>
      </c>
      <c r="G2646" t="s">
        <v>109</v>
      </c>
      <c r="H2646" s="62">
        <v>2043</v>
      </c>
      <c r="I2646">
        <v>0</v>
      </c>
    </row>
    <row r="2647" spans="1:9">
      <c r="A2647" t="s">
        <v>104</v>
      </c>
      <c r="B2647" t="s">
        <v>105</v>
      </c>
      <c r="C2647" t="s">
        <v>80</v>
      </c>
      <c r="D2647" t="s">
        <v>83</v>
      </c>
      <c r="E2647" t="s">
        <v>84</v>
      </c>
      <c r="F2647" t="s">
        <v>6</v>
      </c>
      <c r="G2647" t="s">
        <v>109</v>
      </c>
      <c r="H2647" s="62">
        <v>2043</v>
      </c>
      <c r="I2647">
        <v>0.18110000000000001</v>
      </c>
    </row>
    <row r="2648" spans="1:9">
      <c r="A2648" t="s">
        <v>104</v>
      </c>
      <c r="B2648" t="s">
        <v>105</v>
      </c>
      <c r="C2648" t="s">
        <v>80</v>
      </c>
      <c r="D2648" t="s">
        <v>83</v>
      </c>
      <c r="E2648" t="s">
        <v>85</v>
      </c>
      <c r="F2648" t="s">
        <v>6</v>
      </c>
      <c r="G2648" t="s">
        <v>109</v>
      </c>
      <c r="H2648" s="62">
        <v>2043</v>
      </c>
      <c r="I2648">
        <v>0.28699999999999998</v>
      </c>
    </row>
    <row r="2649" spans="1:9">
      <c r="A2649" t="s">
        <v>104</v>
      </c>
      <c r="B2649" t="s">
        <v>105</v>
      </c>
      <c r="C2649" t="s">
        <v>80</v>
      </c>
      <c r="D2649" t="s">
        <v>86</v>
      </c>
      <c r="E2649" t="s">
        <v>106</v>
      </c>
      <c r="F2649" t="s">
        <v>6</v>
      </c>
      <c r="G2649" t="s">
        <v>109</v>
      </c>
      <c r="H2649" s="62">
        <v>2043</v>
      </c>
      <c r="I2649">
        <v>0.53080000000000005</v>
      </c>
    </row>
    <row r="2650" spans="1:9">
      <c r="A2650" t="s">
        <v>104</v>
      </c>
      <c r="B2650" t="s">
        <v>105</v>
      </c>
      <c r="C2650" t="s">
        <v>80</v>
      </c>
      <c r="D2650" t="s">
        <v>86</v>
      </c>
      <c r="E2650" t="s">
        <v>87</v>
      </c>
      <c r="F2650" t="s">
        <v>6</v>
      </c>
      <c r="G2650" t="s">
        <v>109</v>
      </c>
      <c r="H2650" s="62">
        <v>2043</v>
      </c>
      <c r="I2650">
        <v>0.29730000000000001</v>
      </c>
    </row>
    <row r="2651" spans="1:9">
      <c r="A2651" t="s">
        <v>104</v>
      </c>
      <c r="B2651" t="s">
        <v>105</v>
      </c>
      <c r="C2651" t="s">
        <v>80</v>
      </c>
      <c r="D2651" t="s">
        <v>103</v>
      </c>
      <c r="E2651" t="s">
        <v>92</v>
      </c>
      <c r="F2651" t="s">
        <v>6</v>
      </c>
      <c r="G2651" t="s">
        <v>109</v>
      </c>
      <c r="H2651" s="62">
        <v>2043</v>
      </c>
      <c r="I2651">
        <v>0.2132</v>
      </c>
    </row>
    <row r="2652" spans="1:9">
      <c r="A2652" t="s">
        <v>104</v>
      </c>
      <c r="B2652" t="s">
        <v>105</v>
      </c>
      <c r="C2652" t="s">
        <v>80</v>
      </c>
      <c r="D2652" t="s">
        <v>103</v>
      </c>
      <c r="E2652" t="s">
        <v>89</v>
      </c>
      <c r="F2652" t="s">
        <v>6</v>
      </c>
      <c r="G2652" t="s">
        <v>109</v>
      </c>
      <c r="H2652" s="62">
        <v>2043</v>
      </c>
      <c r="I2652">
        <v>1.2117</v>
      </c>
    </row>
    <row r="2653" spans="1:9">
      <c r="A2653" t="s">
        <v>104</v>
      </c>
      <c r="B2653" t="s">
        <v>105</v>
      </c>
      <c r="C2653" t="s">
        <v>107</v>
      </c>
      <c r="D2653" t="s">
        <v>107</v>
      </c>
      <c r="E2653" t="s">
        <v>107</v>
      </c>
      <c r="F2653" t="s">
        <v>6</v>
      </c>
      <c r="G2653" t="s">
        <v>109</v>
      </c>
      <c r="H2653" s="62">
        <v>2044</v>
      </c>
      <c r="I2653">
        <v>16.962900000000001</v>
      </c>
    </row>
    <row r="2654" spans="1:9">
      <c r="A2654" t="s">
        <v>104</v>
      </c>
      <c r="B2654" t="s">
        <v>105</v>
      </c>
      <c r="C2654" t="s">
        <v>107</v>
      </c>
      <c r="D2654" t="s">
        <v>108</v>
      </c>
      <c r="E2654" t="s">
        <v>108</v>
      </c>
      <c r="F2654" t="s">
        <v>6</v>
      </c>
      <c r="G2654" t="s">
        <v>109</v>
      </c>
      <c r="H2654" s="62">
        <v>2044</v>
      </c>
      <c r="I2654">
        <v>9.0999999999999998E-2</v>
      </c>
    </row>
    <row r="2655" spans="1:9">
      <c r="A2655" t="s">
        <v>104</v>
      </c>
      <c r="B2655" t="s">
        <v>105</v>
      </c>
      <c r="C2655" t="s">
        <v>80</v>
      </c>
      <c r="D2655" t="s">
        <v>80</v>
      </c>
      <c r="E2655" t="s">
        <v>80</v>
      </c>
      <c r="F2655" t="s">
        <v>6</v>
      </c>
      <c r="G2655" t="s">
        <v>109</v>
      </c>
      <c r="H2655" s="62">
        <v>2044</v>
      </c>
      <c r="I2655">
        <v>16.8719</v>
      </c>
    </row>
    <row r="2656" spans="1:9">
      <c r="A2656" t="s">
        <v>104</v>
      </c>
      <c r="B2656" t="s">
        <v>105</v>
      </c>
      <c r="C2656" t="s">
        <v>80</v>
      </c>
      <c r="D2656" t="s">
        <v>89</v>
      </c>
      <c r="E2656" t="s">
        <v>90</v>
      </c>
      <c r="F2656" t="s">
        <v>6</v>
      </c>
      <c r="G2656" t="s">
        <v>109</v>
      </c>
      <c r="H2656" s="62">
        <v>2044</v>
      </c>
      <c r="I2656">
        <v>0.79420000000000002</v>
      </c>
    </row>
    <row r="2657" spans="1:9">
      <c r="A2657" t="s">
        <v>104</v>
      </c>
      <c r="B2657" t="s">
        <v>105</v>
      </c>
      <c r="C2657" t="s">
        <v>80</v>
      </c>
      <c r="D2657" t="s">
        <v>89</v>
      </c>
      <c r="E2657" t="s">
        <v>91</v>
      </c>
      <c r="F2657" t="s">
        <v>6</v>
      </c>
      <c r="G2657" t="s">
        <v>109</v>
      </c>
      <c r="H2657" s="62">
        <v>2044</v>
      </c>
      <c r="I2657">
        <v>-7.6300000000000007E-2</v>
      </c>
    </row>
    <row r="2658" spans="1:9">
      <c r="A2658" t="s">
        <v>104</v>
      </c>
      <c r="B2658" t="s">
        <v>105</v>
      </c>
      <c r="C2658" t="s">
        <v>80</v>
      </c>
      <c r="D2658" t="s">
        <v>92</v>
      </c>
      <c r="E2658" t="s">
        <v>93</v>
      </c>
      <c r="F2658" t="s">
        <v>6</v>
      </c>
      <c r="G2658" t="s">
        <v>109</v>
      </c>
      <c r="H2658" s="62">
        <v>2044</v>
      </c>
      <c r="I2658">
        <v>-0.78969999999999996</v>
      </c>
    </row>
    <row r="2659" spans="1:9">
      <c r="A2659" t="s">
        <v>104</v>
      </c>
      <c r="B2659" t="s">
        <v>105</v>
      </c>
      <c r="C2659" t="s">
        <v>80</v>
      </c>
      <c r="D2659" t="s">
        <v>92</v>
      </c>
      <c r="E2659" t="s">
        <v>94</v>
      </c>
      <c r="F2659" t="s">
        <v>6</v>
      </c>
      <c r="G2659" t="s">
        <v>109</v>
      </c>
      <c r="H2659" s="62">
        <v>2044</v>
      </c>
      <c r="I2659">
        <v>2.2092000000000001</v>
      </c>
    </row>
    <row r="2660" spans="1:9">
      <c r="A2660" t="s">
        <v>104</v>
      </c>
      <c r="B2660" t="s">
        <v>105</v>
      </c>
      <c r="C2660" t="s">
        <v>80</v>
      </c>
      <c r="D2660" t="s">
        <v>92</v>
      </c>
      <c r="E2660" t="s">
        <v>110</v>
      </c>
      <c r="F2660" t="s">
        <v>6</v>
      </c>
      <c r="G2660" t="s">
        <v>109</v>
      </c>
      <c r="H2660" s="62">
        <v>2044</v>
      </c>
      <c r="I2660">
        <v>0</v>
      </c>
    </row>
    <row r="2661" spans="1:9">
      <c r="A2661" t="s">
        <v>104</v>
      </c>
      <c r="B2661" t="s">
        <v>105</v>
      </c>
      <c r="C2661" t="s">
        <v>80</v>
      </c>
      <c r="D2661" t="s">
        <v>92</v>
      </c>
      <c r="E2661" t="s">
        <v>95</v>
      </c>
      <c r="F2661" t="s">
        <v>6</v>
      </c>
      <c r="G2661" t="s">
        <v>109</v>
      </c>
      <c r="H2661" s="62">
        <v>2044</v>
      </c>
      <c r="I2661">
        <v>6.0156999999999998</v>
      </c>
    </row>
    <row r="2662" spans="1:9">
      <c r="A2662" t="s">
        <v>104</v>
      </c>
      <c r="B2662" t="s">
        <v>105</v>
      </c>
      <c r="C2662" t="s">
        <v>80</v>
      </c>
      <c r="D2662" t="s">
        <v>96</v>
      </c>
      <c r="E2662" t="s">
        <v>92</v>
      </c>
      <c r="F2662" t="s">
        <v>6</v>
      </c>
      <c r="G2662" t="s">
        <v>109</v>
      </c>
      <c r="H2662" s="62">
        <v>2044</v>
      </c>
      <c r="I2662">
        <v>1.8004</v>
      </c>
    </row>
    <row r="2663" spans="1:9">
      <c r="A2663" t="s">
        <v>104</v>
      </c>
      <c r="B2663" t="s">
        <v>105</v>
      </c>
      <c r="C2663" t="s">
        <v>80</v>
      </c>
      <c r="D2663" t="s">
        <v>96</v>
      </c>
      <c r="E2663" t="s">
        <v>89</v>
      </c>
      <c r="F2663" t="s">
        <v>6</v>
      </c>
      <c r="G2663" t="s">
        <v>109</v>
      </c>
      <c r="H2663" s="62">
        <v>2044</v>
      </c>
      <c r="I2663">
        <v>5.6099999999999997E-2</v>
      </c>
    </row>
    <row r="2664" spans="1:9">
      <c r="A2664" t="s">
        <v>104</v>
      </c>
      <c r="B2664" t="s">
        <v>105</v>
      </c>
      <c r="C2664" t="s">
        <v>80</v>
      </c>
      <c r="D2664" t="s">
        <v>97</v>
      </c>
      <c r="E2664" t="s">
        <v>98</v>
      </c>
      <c r="F2664" t="s">
        <v>6</v>
      </c>
      <c r="G2664" t="s">
        <v>109</v>
      </c>
      <c r="H2664" s="62">
        <v>2044</v>
      </c>
      <c r="I2664">
        <v>0.70879999999999999</v>
      </c>
    </row>
    <row r="2665" spans="1:9">
      <c r="A2665" t="s">
        <v>104</v>
      </c>
      <c r="B2665" t="s">
        <v>105</v>
      </c>
      <c r="C2665" t="s">
        <v>80</v>
      </c>
      <c r="D2665" t="s">
        <v>97</v>
      </c>
      <c r="E2665" t="s">
        <v>99</v>
      </c>
      <c r="F2665" t="s">
        <v>6</v>
      </c>
      <c r="G2665" t="s">
        <v>109</v>
      </c>
      <c r="H2665" s="62">
        <v>2044</v>
      </c>
      <c r="I2665">
        <v>1.2999999999999999E-2</v>
      </c>
    </row>
    <row r="2666" spans="1:9">
      <c r="A2666" t="s">
        <v>104</v>
      </c>
      <c r="B2666" t="s">
        <v>105</v>
      </c>
      <c r="C2666" t="s">
        <v>80</v>
      </c>
      <c r="D2666" t="s">
        <v>100</v>
      </c>
      <c r="E2666" t="s">
        <v>101</v>
      </c>
      <c r="F2666" t="s">
        <v>6</v>
      </c>
      <c r="G2666" t="s">
        <v>109</v>
      </c>
      <c r="H2666" s="62">
        <v>2044</v>
      </c>
      <c r="I2666">
        <v>1.4702</v>
      </c>
    </row>
    <row r="2667" spans="1:9">
      <c r="A2667" t="s">
        <v>104</v>
      </c>
      <c r="B2667" t="s">
        <v>105</v>
      </c>
      <c r="C2667" t="s">
        <v>80</v>
      </c>
      <c r="D2667" t="s">
        <v>100</v>
      </c>
      <c r="E2667" t="s">
        <v>102</v>
      </c>
      <c r="F2667" t="s">
        <v>6</v>
      </c>
      <c r="G2667" t="s">
        <v>109</v>
      </c>
      <c r="H2667" s="62">
        <v>2044</v>
      </c>
      <c r="I2667">
        <v>4.1984000000000004</v>
      </c>
    </row>
    <row r="2668" spans="1:9">
      <c r="A2668" t="s">
        <v>104</v>
      </c>
      <c r="B2668" t="s">
        <v>105</v>
      </c>
      <c r="C2668" t="s">
        <v>80</v>
      </c>
      <c r="D2668" t="s">
        <v>100</v>
      </c>
      <c r="E2668" t="s">
        <v>111</v>
      </c>
      <c r="F2668" t="s">
        <v>6</v>
      </c>
      <c r="G2668" t="s">
        <v>109</v>
      </c>
      <c r="H2668" s="62">
        <v>2044</v>
      </c>
      <c r="I2668">
        <v>0</v>
      </c>
    </row>
    <row r="2669" spans="1:9">
      <c r="A2669" t="s">
        <v>104</v>
      </c>
      <c r="B2669" t="s">
        <v>105</v>
      </c>
      <c r="C2669" t="s">
        <v>80</v>
      </c>
      <c r="D2669" t="s">
        <v>100</v>
      </c>
      <c r="E2669" t="s">
        <v>112</v>
      </c>
      <c r="F2669" t="s">
        <v>6</v>
      </c>
      <c r="G2669" t="s">
        <v>109</v>
      </c>
      <c r="H2669" s="62">
        <v>2044</v>
      </c>
      <c r="I2669">
        <v>0</v>
      </c>
    </row>
    <row r="2670" spans="1:9">
      <c r="A2670" t="s">
        <v>104</v>
      </c>
      <c r="B2670" t="s">
        <v>105</v>
      </c>
      <c r="C2670" t="s">
        <v>80</v>
      </c>
      <c r="D2670" t="s">
        <v>83</v>
      </c>
      <c r="E2670" t="s">
        <v>84</v>
      </c>
      <c r="F2670" t="s">
        <v>6</v>
      </c>
      <c r="G2670" t="s">
        <v>109</v>
      </c>
      <c r="H2670" s="62">
        <v>2044</v>
      </c>
      <c r="I2670">
        <v>0.18310000000000001</v>
      </c>
    </row>
    <row r="2671" spans="1:9">
      <c r="A2671" t="s">
        <v>104</v>
      </c>
      <c r="B2671" t="s">
        <v>105</v>
      </c>
      <c r="C2671" t="s">
        <v>80</v>
      </c>
      <c r="D2671" t="s">
        <v>83</v>
      </c>
      <c r="E2671" t="s">
        <v>85</v>
      </c>
      <c r="F2671" t="s">
        <v>6</v>
      </c>
      <c r="G2671" t="s">
        <v>109</v>
      </c>
      <c r="H2671" s="62">
        <v>2044</v>
      </c>
      <c r="I2671">
        <v>0.2888</v>
      </c>
    </row>
    <row r="2672" spans="1:9">
      <c r="A2672" t="s">
        <v>104</v>
      </c>
      <c r="B2672" t="s">
        <v>105</v>
      </c>
      <c r="C2672" t="s">
        <v>80</v>
      </c>
      <c r="D2672" t="s">
        <v>86</v>
      </c>
      <c r="E2672" t="s">
        <v>106</v>
      </c>
      <c r="F2672" t="s">
        <v>6</v>
      </c>
      <c r="G2672" t="s">
        <v>109</v>
      </c>
      <c r="H2672" s="62">
        <v>2044</v>
      </c>
      <c r="I2672">
        <v>0.53520000000000001</v>
      </c>
    </row>
    <row r="2673" spans="1:9">
      <c r="A2673" t="s">
        <v>104</v>
      </c>
      <c r="B2673" t="s">
        <v>105</v>
      </c>
      <c r="C2673" t="s">
        <v>80</v>
      </c>
      <c r="D2673" t="s">
        <v>86</v>
      </c>
      <c r="E2673" t="s">
        <v>87</v>
      </c>
      <c r="F2673" t="s">
        <v>6</v>
      </c>
      <c r="G2673" t="s">
        <v>109</v>
      </c>
      <c r="H2673" s="62">
        <v>2044</v>
      </c>
      <c r="I2673">
        <v>0.33079999999999998</v>
      </c>
    </row>
    <row r="2674" spans="1:9">
      <c r="A2674" t="s">
        <v>104</v>
      </c>
      <c r="B2674" t="s">
        <v>105</v>
      </c>
      <c r="C2674" t="s">
        <v>80</v>
      </c>
      <c r="D2674" t="s">
        <v>103</v>
      </c>
      <c r="E2674" t="s">
        <v>92</v>
      </c>
      <c r="F2674" t="s">
        <v>6</v>
      </c>
      <c r="G2674" t="s">
        <v>109</v>
      </c>
      <c r="H2674" s="62">
        <v>2044</v>
      </c>
      <c r="I2674">
        <v>0.22589999999999999</v>
      </c>
    </row>
    <row r="2675" spans="1:9">
      <c r="A2675" t="s">
        <v>104</v>
      </c>
      <c r="B2675" t="s">
        <v>105</v>
      </c>
      <c r="C2675" t="s">
        <v>80</v>
      </c>
      <c r="D2675" t="s">
        <v>103</v>
      </c>
      <c r="E2675" t="s">
        <v>89</v>
      </c>
      <c r="F2675" t="s">
        <v>6</v>
      </c>
      <c r="G2675" t="s">
        <v>109</v>
      </c>
      <c r="H2675" s="62">
        <v>2044</v>
      </c>
      <c r="I2675">
        <v>1.2744</v>
      </c>
    </row>
    <row r="2676" spans="1:9">
      <c r="A2676" t="s">
        <v>104</v>
      </c>
      <c r="B2676" t="s">
        <v>105</v>
      </c>
      <c r="C2676" t="s">
        <v>107</v>
      </c>
      <c r="D2676" t="s">
        <v>107</v>
      </c>
      <c r="E2676" t="s">
        <v>107</v>
      </c>
      <c r="F2676" t="s">
        <v>6</v>
      </c>
      <c r="G2676" t="s">
        <v>109</v>
      </c>
      <c r="H2676" s="62">
        <v>2045</v>
      </c>
      <c r="I2676">
        <v>16.591899999999999</v>
      </c>
    </row>
    <row r="2677" spans="1:9">
      <c r="A2677" t="s">
        <v>104</v>
      </c>
      <c r="B2677" t="s">
        <v>105</v>
      </c>
      <c r="C2677" t="s">
        <v>107</v>
      </c>
      <c r="D2677" t="s">
        <v>108</v>
      </c>
      <c r="E2677" t="s">
        <v>108</v>
      </c>
      <c r="F2677" t="s">
        <v>6</v>
      </c>
      <c r="G2677" t="s">
        <v>109</v>
      </c>
      <c r="H2677" s="62">
        <v>2045</v>
      </c>
      <c r="I2677">
        <v>9.1200000000000003E-2</v>
      </c>
    </row>
    <row r="2678" spans="1:9">
      <c r="A2678" t="s">
        <v>104</v>
      </c>
      <c r="B2678" t="s">
        <v>105</v>
      </c>
      <c r="C2678" t="s">
        <v>80</v>
      </c>
      <c r="D2678" t="s">
        <v>80</v>
      </c>
      <c r="E2678" t="s">
        <v>80</v>
      </c>
      <c r="F2678" t="s">
        <v>6</v>
      </c>
      <c r="G2678" t="s">
        <v>109</v>
      </c>
      <c r="H2678" s="62">
        <v>2045</v>
      </c>
      <c r="I2678">
        <v>16.500599999999999</v>
      </c>
    </row>
    <row r="2679" spans="1:9">
      <c r="A2679" t="s">
        <v>104</v>
      </c>
      <c r="B2679" t="s">
        <v>105</v>
      </c>
      <c r="C2679" t="s">
        <v>80</v>
      </c>
      <c r="D2679" t="s">
        <v>89</v>
      </c>
      <c r="E2679" t="s">
        <v>90</v>
      </c>
      <c r="F2679" t="s">
        <v>6</v>
      </c>
      <c r="G2679" t="s">
        <v>109</v>
      </c>
      <c r="H2679" s="62">
        <v>2045</v>
      </c>
      <c r="I2679">
        <v>0.73470000000000002</v>
      </c>
    </row>
    <row r="2680" spans="1:9">
      <c r="A2680" t="s">
        <v>104</v>
      </c>
      <c r="B2680" t="s">
        <v>105</v>
      </c>
      <c r="C2680" t="s">
        <v>80</v>
      </c>
      <c r="D2680" t="s">
        <v>89</v>
      </c>
      <c r="E2680" t="s">
        <v>91</v>
      </c>
      <c r="F2680" t="s">
        <v>6</v>
      </c>
      <c r="G2680" t="s">
        <v>109</v>
      </c>
      <c r="H2680" s="62">
        <v>2045</v>
      </c>
      <c r="I2680">
        <v>-7.2599999999999998E-2</v>
      </c>
    </row>
    <row r="2681" spans="1:9">
      <c r="A2681" t="s">
        <v>104</v>
      </c>
      <c r="B2681" t="s">
        <v>105</v>
      </c>
      <c r="C2681" t="s">
        <v>80</v>
      </c>
      <c r="D2681" t="s">
        <v>92</v>
      </c>
      <c r="E2681" t="s">
        <v>93</v>
      </c>
      <c r="F2681" t="s">
        <v>6</v>
      </c>
      <c r="G2681" t="s">
        <v>109</v>
      </c>
      <c r="H2681" s="62">
        <v>2045</v>
      </c>
      <c r="I2681">
        <v>-0.81259999999999999</v>
      </c>
    </row>
    <row r="2682" spans="1:9">
      <c r="A2682" t="s">
        <v>104</v>
      </c>
      <c r="B2682" t="s">
        <v>105</v>
      </c>
      <c r="C2682" t="s">
        <v>80</v>
      </c>
      <c r="D2682" t="s">
        <v>92</v>
      </c>
      <c r="E2682" t="s">
        <v>94</v>
      </c>
      <c r="F2682" t="s">
        <v>6</v>
      </c>
      <c r="G2682" t="s">
        <v>109</v>
      </c>
      <c r="H2682" s="62">
        <v>2045</v>
      </c>
      <c r="I2682">
        <v>2.2016</v>
      </c>
    </row>
    <row r="2683" spans="1:9">
      <c r="A2683" t="s">
        <v>104</v>
      </c>
      <c r="B2683" t="s">
        <v>105</v>
      </c>
      <c r="C2683" t="s">
        <v>80</v>
      </c>
      <c r="D2683" t="s">
        <v>92</v>
      </c>
      <c r="E2683" t="s">
        <v>110</v>
      </c>
      <c r="F2683" t="s">
        <v>6</v>
      </c>
      <c r="G2683" t="s">
        <v>109</v>
      </c>
      <c r="H2683" s="62">
        <v>2045</v>
      </c>
      <c r="I2683">
        <v>0</v>
      </c>
    </row>
    <row r="2684" spans="1:9">
      <c r="A2684" t="s">
        <v>104</v>
      </c>
      <c r="B2684" t="s">
        <v>105</v>
      </c>
      <c r="C2684" t="s">
        <v>80</v>
      </c>
      <c r="D2684" t="s">
        <v>92</v>
      </c>
      <c r="E2684" t="s">
        <v>95</v>
      </c>
      <c r="F2684" t="s">
        <v>6</v>
      </c>
      <c r="G2684" t="s">
        <v>109</v>
      </c>
      <c r="H2684" s="62">
        <v>2045</v>
      </c>
      <c r="I2684">
        <v>6.0251999999999999</v>
      </c>
    </row>
    <row r="2685" spans="1:9">
      <c r="A2685" t="s">
        <v>104</v>
      </c>
      <c r="B2685" t="s">
        <v>105</v>
      </c>
      <c r="C2685" t="s">
        <v>80</v>
      </c>
      <c r="D2685" t="s">
        <v>96</v>
      </c>
      <c r="E2685" t="s">
        <v>92</v>
      </c>
      <c r="F2685" t="s">
        <v>6</v>
      </c>
      <c r="G2685" t="s">
        <v>109</v>
      </c>
      <c r="H2685" s="62">
        <v>2045</v>
      </c>
      <c r="I2685">
        <v>1.8394999999999999</v>
      </c>
    </row>
    <row r="2686" spans="1:9">
      <c r="A2686" t="s">
        <v>104</v>
      </c>
      <c r="B2686" t="s">
        <v>105</v>
      </c>
      <c r="C2686" t="s">
        <v>80</v>
      </c>
      <c r="D2686" t="s">
        <v>96</v>
      </c>
      <c r="E2686" t="s">
        <v>89</v>
      </c>
      <c r="F2686" t="s">
        <v>6</v>
      </c>
      <c r="G2686" t="s">
        <v>109</v>
      </c>
      <c r="H2686" s="62">
        <v>2045</v>
      </c>
      <c r="I2686">
        <v>5.9200000000000003E-2</v>
      </c>
    </row>
    <row r="2687" spans="1:9">
      <c r="A2687" t="s">
        <v>104</v>
      </c>
      <c r="B2687" t="s">
        <v>105</v>
      </c>
      <c r="C2687" t="s">
        <v>80</v>
      </c>
      <c r="D2687" t="s">
        <v>97</v>
      </c>
      <c r="E2687" t="s">
        <v>98</v>
      </c>
      <c r="F2687" t="s">
        <v>6</v>
      </c>
      <c r="G2687" t="s">
        <v>109</v>
      </c>
      <c r="H2687" s="62">
        <v>2045</v>
      </c>
      <c r="I2687">
        <v>0.76690000000000003</v>
      </c>
    </row>
    <row r="2688" spans="1:9">
      <c r="A2688" t="s">
        <v>104</v>
      </c>
      <c r="B2688" t="s">
        <v>105</v>
      </c>
      <c r="C2688" t="s">
        <v>80</v>
      </c>
      <c r="D2688" t="s">
        <v>97</v>
      </c>
      <c r="E2688" t="s">
        <v>99</v>
      </c>
      <c r="F2688" t="s">
        <v>6</v>
      </c>
      <c r="G2688" t="s">
        <v>109</v>
      </c>
      <c r="H2688" s="62">
        <v>2045</v>
      </c>
      <c r="I2688">
        <v>1.4999999999999999E-2</v>
      </c>
    </row>
    <row r="2689" spans="1:9">
      <c r="A2689" t="s">
        <v>104</v>
      </c>
      <c r="B2689" t="s">
        <v>105</v>
      </c>
      <c r="C2689" t="s">
        <v>80</v>
      </c>
      <c r="D2689" t="s">
        <v>100</v>
      </c>
      <c r="E2689" t="s">
        <v>101</v>
      </c>
      <c r="F2689" t="s">
        <v>6</v>
      </c>
      <c r="G2689" t="s">
        <v>109</v>
      </c>
      <c r="H2689" s="62">
        <v>2045</v>
      </c>
      <c r="I2689">
        <v>1.5122</v>
      </c>
    </row>
    <row r="2690" spans="1:9">
      <c r="A2690" t="s">
        <v>104</v>
      </c>
      <c r="B2690" t="s">
        <v>105</v>
      </c>
      <c r="C2690" t="s">
        <v>80</v>
      </c>
      <c r="D2690" t="s">
        <v>100</v>
      </c>
      <c r="E2690" t="s">
        <v>102</v>
      </c>
      <c r="F2690" t="s">
        <v>6</v>
      </c>
      <c r="G2690" t="s">
        <v>109</v>
      </c>
      <c r="H2690" s="62">
        <v>2045</v>
      </c>
      <c r="I2690">
        <v>3.7574000000000001</v>
      </c>
    </row>
    <row r="2691" spans="1:9">
      <c r="A2691" t="s">
        <v>104</v>
      </c>
      <c r="B2691" t="s">
        <v>105</v>
      </c>
      <c r="C2691" t="s">
        <v>80</v>
      </c>
      <c r="D2691" t="s">
        <v>100</v>
      </c>
      <c r="E2691" t="s">
        <v>111</v>
      </c>
      <c r="F2691" t="s">
        <v>6</v>
      </c>
      <c r="G2691" t="s">
        <v>109</v>
      </c>
      <c r="H2691" s="62">
        <v>2045</v>
      </c>
      <c r="I2691">
        <v>0</v>
      </c>
    </row>
    <row r="2692" spans="1:9">
      <c r="A2692" t="s">
        <v>104</v>
      </c>
      <c r="B2692" t="s">
        <v>105</v>
      </c>
      <c r="C2692" t="s">
        <v>80</v>
      </c>
      <c r="D2692" t="s">
        <v>100</v>
      </c>
      <c r="E2692" t="s">
        <v>112</v>
      </c>
      <c r="F2692" t="s">
        <v>6</v>
      </c>
      <c r="G2692" t="s">
        <v>109</v>
      </c>
      <c r="H2692" s="62">
        <v>2045</v>
      </c>
      <c r="I2692">
        <v>0</v>
      </c>
    </row>
    <row r="2693" spans="1:9">
      <c r="A2693" t="s">
        <v>104</v>
      </c>
      <c r="B2693" t="s">
        <v>105</v>
      </c>
      <c r="C2693" t="s">
        <v>80</v>
      </c>
      <c r="D2693" t="s">
        <v>83</v>
      </c>
      <c r="E2693" t="s">
        <v>84</v>
      </c>
      <c r="F2693" t="s">
        <v>6</v>
      </c>
      <c r="G2693" t="s">
        <v>109</v>
      </c>
      <c r="H2693" s="62">
        <v>2045</v>
      </c>
      <c r="I2693">
        <v>0.1842</v>
      </c>
    </row>
    <row r="2694" spans="1:9">
      <c r="A2694" t="s">
        <v>104</v>
      </c>
      <c r="B2694" t="s">
        <v>105</v>
      </c>
      <c r="C2694" t="s">
        <v>80</v>
      </c>
      <c r="D2694" t="s">
        <v>83</v>
      </c>
      <c r="E2694" t="s">
        <v>85</v>
      </c>
      <c r="F2694" t="s">
        <v>6</v>
      </c>
      <c r="G2694" t="s">
        <v>109</v>
      </c>
      <c r="H2694" s="62">
        <v>2045</v>
      </c>
      <c r="I2694">
        <v>0.28989999999999999</v>
      </c>
    </row>
    <row r="2695" spans="1:9">
      <c r="A2695" t="s">
        <v>104</v>
      </c>
      <c r="B2695" t="s">
        <v>105</v>
      </c>
      <c r="C2695" t="s">
        <v>80</v>
      </c>
      <c r="D2695" t="s">
        <v>86</v>
      </c>
      <c r="E2695" t="s">
        <v>106</v>
      </c>
      <c r="F2695" t="s">
        <v>6</v>
      </c>
      <c r="G2695" t="s">
        <v>109</v>
      </c>
      <c r="H2695" s="62">
        <v>2045</v>
      </c>
      <c r="I2695">
        <v>0.53669999999999995</v>
      </c>
    </row>
    <row r="2696" spans="1:9">
      <c r="A2696" t="s">
        <v>104</v>
      </c>
      <c r="B2696" t="s">
        <v>105</v>
      </c>
      <c r="C2696" t="s">
        <v>80</v>
      </c>
      <c r="D2696" t="s">
        <v>86</v>
      </c>
      <c r="E2696" t="s">
        <v>87</v>
      </c>
      <c r="F2696" t="s">
        <v>6</v>
      </c>
      <c r="G2696" t="s">
        <v>109</v>
      </c>
      <c r="H2696" s="62">
        <v>2045</v>
      </c>
      <c r="I2696">
        <v>0.34839999999999999</v>
      </c>
    </row>
    <row r="2697" spans="1:9">
      <c r="A2697" t="s">
        <v>104</v>
      </c>
      <c r="B2697" t="s">
        <v>105</v>
      </c>
      <c r="C2697" t="s">
        <v>80</v>
      </c>
      <c r="D2697" t="s">
        <v>103</v>
      </c>
      <c r="E2697" t="s">
        <v>92</v>
      </c>
      <c r="F2697" t="s">
        <v>6</v>
      </c>
      <c r="G2697" t="s">
        <v>109</v>
      </c>
      <c r="H2697" s="62">
        <v>2045</v>
      </c>
      <c r="I2697">
        <v>0.23880000000000001</v>
      </c>
    </row>
    <row r="2698" spans="1:9">
      <c r="A2698" t="s">
        <v>104</v>
      </c>
      <c r="B2698" t="s">
        <v>105</v>
      </c>
      <c r="C2698" t="s">
        <v>80</v>
      </c>
      <c r="D2698" t="s">
        <v>103</v>
      </c>
      <c r="E2698" t="s">
        <v>89</v>
      </c>
      <c r="F2698" t="s">
        <v>6</v>
      </c>
      <c r="G2698" t="s">
        <v>109</v>
      </c>
      <c r="H2698" s="62">
        <v>2045</v>
      </c>
      <c r="I2698">
        <v>1.3368</v>
      </c>
    </row>
    <row r="2699" spans="1:9">
      <c r="A2699" t="s">
        <v>104</v>
      </c>
      <c r="B2699" t="s">
        <v>105</v>
      </c>
      <c r="C2699" t="s">
        <v>107</v>
      </c>
      <c r="D2699" t="s">
        <v>107</v>
      </c>
      <c r="E2699" t="s">
        <v>107</v>
      </c>
      <c r="F2699" t="s">
        <v>6</v>
      </c>
      <c r="G2699" t="s">
        <v>109</v>
      </c>
      <c r="H2699" s="62">
        <v>2046</v>
      </c>
      <c r="I2699">
        <v>15.943</v>
      </c>
    </row>
    <row r="2700" spans="1:9">
      <c r="A2700" t="s">
        <v>104</v>
      </c>
      <c r="B2700" t="s">
        <v>105</v>
      </c>
      <c r="C2700" t="s">
        <v>107</v>
      </c>
      <c r="D2700" t="s">
        <v>108</v>
      </c>
      <c r="E2700" t="s">
        <v>108</v>
      </c>
      <c r="F2700" t="s">
        <v>6</v>
      </c>
      <c r="G2700" t="s">
        <v>109</v>
      </c>
      <c r="H2700" s="62">
        <v>2046</v>
      </c>
      <c r="I2700">
        <v>9.06E-2</v>
      </c>
    </row>
    <row r="2701" spans="1:9">
      <c r="A2701" t="s">
        <v>104</v>
      </c>
      <c r="B2701" t="s">
        <v>105</v>
      </c>
      <c r="C2701" t="s">
        <v>80</v>
      </c>
      <c r="D2701" t="s">
        <v>80</v>
      </c>
      <c r="E2701" t="s">
        <v>80</v>
      </c>
      <c r="F2701" t="s">
        <v>6</v>
      </c>
      <c r="G2701" t="s">
        <v>109</v>
      </c>
      <c r="H2701" s="62">
        <v>2046</v>
      </c>
      <c r="I2701">
        <v>15.852399999999999</v>
      </c>
    </row>
    <row r="2702" spans="1:9">
      <c r="A2702" t="s">
        <v>104</v>
      </c>
      <c r="B2702" t="s">
        <v>105</v>
      </c>
      <c r="C2702" t="s">
        <v>80</v>
      </c>
      <c r="D2702" t="s">
        <v>89</v>
      </c>
      <c r="E2702" t="s">
        <v>90</v>
      </c>
      <c r="F2702" t="s">
        <v>6</v>
      </c>
      <c r="G2702" t="s">
        <v>109</v>
      </c>
      <c r="H2702" s="62">
        <v>2046</v>
      </c>
      <c r="I2702">
        <v>0.66059999999999997</v>
      </c>
    </row>
    <row r="2703" spans="1:9">
      <c r="A2703" t="s">
        <v>104</v>
      </c>
      <c r="B2703" t="s">
        <v>105</v>
      </c>
      <c r="C2703" t="s">
        <v>80</v>
      </c>
      <c r="D2703" t="s">
        <v>89</v>
      </c>
      <c r="E2703" t="s">
        <v>91</v>
      </c>
      <c r="F2703" t="s">
        <v>6</v>
      </c>
      <c r="G2703" t="s">
        <v>109</v>
      </c>
      <c r="H2703" s="62">
        <v>2046</v>
      </c>
      <c r="I2703">
        <v>-6.7699999999999996E-2</v>
      </c>
    </row>
    <row r="2704" spans="1:9">
      <c r="A2704" t="s">
        <v>104</v>
      </c>
      <c r="B2704" t="s">
        <v>105</v>
      </c>
      <c r="C2704" t="s">
        <v>80</v>
      </c>
      <c r="D2704" t="s">
        <v>92</v>
      </c>
      <c r="E2704" t="s">
        <v>93</v>
      </c>
      <c r="F2704" t="s">
        <v>6</v>
      </c>
      <c r="G2704" t="s">
        <v>109</v>
      </c>
      <c r="H2704" s="62">
        <v>2046</v>
      </c>
      <c r="I2704">
        <v>-0.83720000000000006</v>
      </c>
    </row>
    <row r="2705" spans="1:9">
      <c r="A2705" t="s">
        <v>104</v>
      </c>
      <c r="B2705" t="s">
        <v>105</v>
      </c>
      <c r="C2705" t="s">
        <v>80</v>
      </c>
      <c r="D2705" t="s">
        <v>92</v>
      </c>
      <c r="E2705" t="s">
        <v>94</v>
      </c>
      <c r="F2705" t="s">
        <v>6</v>
      </c>
      <c r="G2705" t="s">
        <v>109</v>
      </c>
      <c r="H2705" s="62">
        <v>2046</v>
      </c>
      <c r="I2705">
        <v>2.1806000000000001</v>
      </c>
    </row>
    <row r="2706" spans="1:9">
      <c r="A2706" t="s">
        <v>104</v>
      </c>
      <c r="B2706" t="s">
        <v>105</v>
      </c>
      <c r="C2706" t="s">
        <v>80</v>
      </c>
      <c r="D2706" t="s">
        <v>92</v>
      </c>
      <c r="E2706" t="s">
        <v>110</v>
      </c>
      <c r="F2706" t="s">
        <v>6</v>
      </c>
      <c r="G2706" t="s">
        <v>109</v>
      </c>
      <c r="H2706" s="62">
        <v>2046</v>
      </c>
      <c r="I2706">
        <v>0</v>
      </c>
    </row>
    <row r="2707" spans="1:9">
      <c r="A2707" t="s">
        <v>104</v>
      </c>
      <c r="B2707" t="s">
        <v>105</v>
      </c>
      <c r="C2707" t="s">
        <v>80</v>
      </c>
      <c r="D2707" t="s">
        <v>92</v>
      </c>
      <c r="E2707" t="s">
        <v>95</v>
      </c>
      <c r="F2707" t="s">
        <v>6</v>
      </c>
      <c r="G2707" t="s">
        <v>109</v>
      </c>
      <c r="H2707" s="62">
        <v>2046</v>
      </c>
      <c r="I2707">
        <v>5.9913999999999996</v>
      </c>
    </row>
    <row r="2708" spans="1:9">
      <c r="A2708" t="s">
        <v>104</v>
      </c>
      <c r="B2708" t="s">
        <v>105</v>
      </c>
      <c r="C2708" t="s">
        <v>80</v>
      </c>
      <c r="D2708" t="s">
        <v>96</v>
      </c>
      <c r="E2708" t="s">
        <v>92</v>
      </c>
      <c r="F2708" t="s">
        <v>6</v>
      </c>
      <c r="G2708" t="s">
        <v>109</v>
      </c>
      <c r="H2708" s="62">
        <v>2046</v>
      </c>
      <c r="I2708">
        <v>1.8495999999999999</v>
      </c>
    </row>
    <row r="2709" spans="1:9">
      <c r="A2709" t="s">
        <v>104</v>
      </c>
      <c r="B2709" t="s">
        <v>105</v>
      </c>
      <c r="C2709" t="s">
        <v>80</v>
      </c>
      <c r="D2709" t="s">
        <v>96</v>
      </c>
      <c r="E2709" t="s">
        <v>89</v>
      </c>
      <c r="F2709" t="s">
        <v>6</v>
      </c>
      <c r="G2709" t="s">
        <v>109</v>
      </c>
      <c r="H2709" s="62">
        <v>2046</v>
      </c>
      <c r="I2709">
        <v>6.2199999999999998E-2</v>
      </c>
    </row>
    <row r="2710" spans="1:9">
      <c r="A2710" t="s">
        <v>104</v>
      </c>
      <c r="B2710" t="s">
        <v>105</v>
      </c>
      <c r="C2710" t="s">
        <v>80</v>
      </c>
      <c r="D2710" t="s">
        <v>97</v>
      </c>
      <c r="E2710" t="s">
        <v>98</v>
      </c>
      <c r="F2710" t="s">
        <v>6</v>
      </c>
      <c r="G2710" t="s">
        <v>109</v>
      </c>
      <c r="H2710" s="62">
        <v>2046</v>
      </c>
      <c r="I2710">
        <v>0.82730000000000004</v>
      </c>
    </row>
    <row r="2711" spans="1:9">
      <c r="A2711" t="s">
        <v>104</v>
      </c>
      <c r="B2711" t="s">
        <v>105</v>
      </c>
      <c r="C2711" t="s">
        <v>80</v>
      </c>
      <c r="D2711" t="s">
        <v>97</v>
      </c>
      <c r="E2711" t="s">
        <v>99</v>
      </c>
      <c r="F2711" t="s">
        <v>6</v>
      </c>
      <c r="G2711" t="s">
        <v>109</v>
      </c>
      <c r="H2711" s="62">
        <v>2046</v>
      </c>
      <c r="I2711">
        <v>1.7100000000000001E-2</v>
      </c>
    </row>
    <row r="2712" spans="1:9">
      <c r="A2712" t="s">
        <v>104</v>
      </c>
      <c r="B2712" t="s">
        <v>105</v>
      </c>
      <c r="C2712" t="s">
        <v>80</v>
      </c>
      <c r="D2712" t="s">
        <v>100</v>
      </c>
      <c r="E2712" t="s">
        <v>101</v>
      </c>
      <c r="F2712" t="s">
        <v>6</v>
      </c>
      <c r="G2712" t="s">
        <v>109</v>
      </c>
      <c r="H2712" s="62">
        <v>2046</v>
      </c>
      <c r="I2712">
        <v>1.5122</v>
      </c>
    </row>
    <row r="2713" spans="1:9">
      <c r="A2713" t="s">
        <v>104</v>
      </c>
      <c r="B2713" t="s">
        <v>105</v>
      </c>
      <c r="C2713" t="s">
        <v>80</v>
      </c>
      <c r="D2713" t="s">
        <v>100</v>
      </c>
      <c r="E2713" t="s">
        <v>102</v>
      </c>
      <c r="F2713" t="s">
        <v>6</v>
      </c>
      <c r="G2713" t="s">
        <v>109</v>
      </c>
      <c r="H2713" s="62">
        <v>2046</v>
      </c>
      <c r="I2713">
        <v>3.1840999999999999</v>
      </c>
    </row>
    <row r="2714" spans="1:9">
      <c r="A2714" t="s">
        <v>104</v>
      </c>
      <c r="B2714" t="s">
        <v>105</v>
      </c>
      <c r="C2714" t="s">
        <v>80</v>
      </c>
      <c r="D2714" t="s">
        <v>100</v>
      </c>
      <c r="E2714" t="s">
        <v>111</v>
      </c>
      <c r="F2714" t="s">
        <v>6</v>
      </c>
      <c r="G2714" t="s">
        <v>109</v>
      </c>
      <c r="H2714" s="62">
        <v>2046</v>
      </c>
      <c r="I2714">
        <v>0</v>
      </c>
    </row>
    <row r="2715" spans="1:9">
      <c r="A2715" t="s">
        <v>104</v>
      </c>
      <c r="B2715" t="s">
        <v>105</v>
      </c>
      <c r="C2715" t="s">
        <v>80</v>
      </c>
      <c r="D2715" t="s">
        <v>100</v>
      </c>
      <c r="E2715" t="s">
        <v>112</v>
      </c>
      <c r="F2715" t="s">
        <v>6</v>
      </c>
      <c r="G2715" t="s">
        <v>109</v>
      </c>
      <c r="H2715" s="62">
        <v>2046</v>
      </c>
      <c r="I2715">
        <v>0</v>
      </c>
    </row>
    <row r="2716" spans="1:9">
      <c r="A2716" t="s">
        <v>104</v>
      </c>
      <c r="B2716" t="s">
        <v>105</v>
      </c>
      <c r="C2716" t="s">
        <v>80</v>
      </c>
      <c r="D2716" t="s">
        <v>83</v>
      </c>
      <c r="E2716" t="s">
        <v>84</v>
      </c>
      <c r="F2716" t="s">
        <v>6</v>
      </c>
      <c r="G2716" t="s">
        <v>109</v>
      </c>
      <c r="H2716" s="62">
        <v>2046</v>
      </c>
      <c r="I2716">
        <v>0.18360000000000001</v>
      </c>
    </row>
    <row r="2717" spans="1:9">
      <c r="A2717" t="s">
        <v>104</v>
      </c>
      <c r="B2717" t="s">
        <v>105</v>
      </c>
      <c r="C2717" t="s">
        <v>80</v>
      </c>
      <c r="D2717" t="s">
        <v>83</v>
      </c>
      <c r="E2717" t="s">
        <v>85</v>
      </c>
      <c r="F2717" t="s">
        <v>6</v>
      </c>
      <c r="G2717" t="s">
        <v>109</v>
      </c>
      <c r="H2717" s="62">
        <v>2046</v>
      </c>
      <c r="I2717">
        <v>0.28860000000000002</v>
      </c>
    </row>
    <row r="2718" spans="1:9">
      <c r="A2718" t="s">
        <v>104</v>
      </c>
      <c r="B2718" t="s">
        <v>105</v>
      </c>
      <c r="C2718" t="s">
        <v>80</v>
      </c>
      <c r="D2718" t="s">
        <v>86</v>
      </c>
      <c r="E2718" t="s">
        <v>106</v>
      </c>
      <c r="F2718" t="s">
        <v>6</v>
      </c>
      <c r="G2718" t="s">
        <v>109</v>
      </c>
      <c r="H2718" s="62">
        <v>2046</v>
      </c>
      <c r="I2718">
        <v>0.53969999999999996</v>
      </c>
    </row>
    <row r="2719" spans="1:9">
      <c r="A2719" t="s">
        <v>104</v>
      </c>
      <c r="B2719" t="s">
        <v>105</v>
      </c>
      <c r="C2719" t="s">
        <v>80</v>
      </c>
      <c r="D2719" t="s">
        <v>86</v>
      </c>
      <c r="E2719" t="s">
        <v>87</v>
      </c>
      <c r="F2719" t="s">
        <v>6</v>
      </c>
      <c r="G2719" t="s">
        <v>109</v>
      </c>
      <c r="H2719" s="62">
        <v>2046</v>
      </c>
      <c r="I2719">
        <v>0.36520000000000002</v>
      </c>
    </row>
    <row r="2720" spans="1:9">
      <c r="A2720" t="s">
        <v>104</v>
      </c>
      <c r="B2720" t="s">
        <v>105</v>
      </c>
      <c r="C2720" t="s">
        <v>80</v>
      </c>
      <c r="D2720" t="s">
        <v>103</v>
      </c>
      <c r="E2720" t="s">
        <v>92</v>
      </c>
      <c r="F2720" t="s">
        <v>6</v>
      </c>
      <c r="G2720" t="s">
        <v>109</v>
      </c>
      <c r="H2720" s="62">
        <v>2046</v>
      </c>
      <c r="I2720">
        <v>0.25169999999999998</v>
      </c>
    </row>
    <row r="2721" spans="1:9">
      <c r="A2721" t="s">
        <v>104</v>
      </c>
      <c r="B2721" t="s">
        <v>105</v>
      </c>
      <c r="C2721" t="s">
        <v>80</v>
      </c>
      <c r="D2721" t="s">
        <v>103</v>
      </c>
      <c r="E2721" t="s">
        <v>89</v>
      </c>
      <c r="F2721" t="s">
        <v>6</v>
      </c>
      <c r="G2721" t="s">
        <v>109</v>
      </c>
      <c r="H2721" s="62">
        <v>2046</v>
      </c>
      <c r="I2721">
        <v>1.3980999999999999</v>
      </c>
    </row>
    <row r="2722" spans="1:9">
      <c r="A2722" t="s">
        <v>104</v>
      </c>
      <c r="B2722" t="s">
        <v>105</v>
      </c>
      <c r="C2722" t="s">
        <v>107</v>
      </c>
      <c r="D2722" t="s">
        <v>107</v>
      </c>
      <c r="E2722" t="s">
        <v>107</v>
      </c>
      <c r="F2722" t="s">
        <v>6</v>
      </c>
      <c r="G2722" t="s">
        <v>109</v>
      </c>
      <c r="H2722" s="62">
        <v>2047</v>
      </c>
      <c r="I2722">
        <v>16.143599999999999</v>
      </c>
    </row>
    <row r="2723" spans="1:9">
      <c r="A2723" t="s">
        <v>104</v>
      </c>
      <c r="B2723" t="s">
        <v>105</v>
      </c>
      <c r="C2723" t="s">
        <v>107</v>
      </c>
      <c r="D2723" t="s">
        <v>108</v>
      </c>
      <c r="E2723" t="s">
        <v>108</v>
      </c>
      <c r="F2723" t="s">
        <v>6</v>
      </c>
      <c r="G2723" t="s">
        <v>109</v>
      </c>
      <c r="H2723" s="62">
        <v>2047</v>
      </c>
      <c r="I2723">
        <v>8.9700000000000002E-2</v>
      </c>
    </row>
    <row r="2724" spans="1:9">
      <c r="A2724" t="s">
        <v>104</v>
      </c>
      <c r="B2724" t="s">
        <v>105</v>
      </c>
      <c r="C2724" t="s">
        <v>80</v>
      </c>
      <c r="D2724" t="s">
        <v>80</v>
      </c>
      <c r="E2724" t="s">
        <v>80</v>
      </c>
      <c r="F2724" t="s">
        <v>6</v>
      </c>
      <c r="G2724" t="s">
        <v>109</v>
      </c>
      <c r="H2724" s="62">
        <v>2047</v>
      </c>
      <c r="I2724">
        <v>16.053799999999999</v>
      </c>
    </row>
    <row r="2725" spans="1:9">
      <c r="A2725" t="s">
        <v>104</v>
      </c>
      <c r="B2725" t="s">
        <v>105</v>
      </c>
      <c r="C2725" t="s">
        <v>80</v>
      </c>
      <c r="D2725" t="s">
        <v>89</v>
      </c>
      <c r="E2725" t="s">
        <v>90</v>
      </c>
      <c r="F2725" t="s">
        <v>6</v>
      </c>
      <c r="G2725" t="s">
        <v>109</v>
      </c>
      <c r="H2725" s="62">
        <v>2047</v>
      </c>
      <c r="I2725">
        <v>0.57950000000000002</v>
      </c>
    </row>
    <row r="2726" spans="1:9">
      <c r="A2726" t="s">
        <v>104</v>
      </c>
      <c r="B2726" t="s">
        <v>105</v>
      </c>
      <c r="C2726" t="s">
        <v>80</v>
      </c>
      <c r="D2726" t="s">
        <v>89</v>
      </c>
      <c r="E2726" t="s">
        <v>91</v>
      </c>
      <c r="F2726" t="s">
        <v>6</v>
      </c>
      <c r="G2726" t="s">
        <v>109</v>
      </c>
      <c r="H2726" s="62">
        <v>2047</v>
      </c>
      <c r="I2726">
        <v>-6.1899999999999997E-2</v>
      </c>
    </row>
    <row r="2727" spans="1:9">
      <c r="A2727" t="s">
        <v>104</v>
      </c>
      <c r="B2727" t="s">
        <v>105</v>
      </c>
      <c r="C2727" t="s">
        <v>80</v>
      </c>
      <c r="D2727" t="s">
        <v>92</v>
      </c>
      <c r="E2727" t="s">
        <v>93</v>
      </c>
      <c r="F2727" t="s">
        <v>6</v>
      </c>
      <c r="G2727" t="s">
        <v>109</v>
      </c>
      <c r="H2727" s="62">
        <v>2047</v>
      </c>
      <c r="I2727">
        <v>-0.86609999999999998</v>
      </c>
    </row>
    <row r="2728" spans="1:9">
      <c r="A2728" t="s">
        <v>104</v>
      </c>
      <c r="B2728" t="s">
        <v>105</v>
      </c>
      <c r="C2728" t="s">
        <v>80</v>
      </c>
      <c r="D2728" t="s">
        <v>92</v>
      </c>
      <c r="E2728" t="s">
        <v>94</v>
      </c>
      <c r="F2728" t="s">
        <v>6</v>
      </c>
      <c r="G2728" t="s">
        <v>109</v>
      </c>
      <c r="H2728" s="62">
        <v>2047</v>
      </c>
      <c r="I2728">
        <v>2.1583999999999999</v>
      </c>
    </row>
    <row r="2729" spans="1:9">
      <c r="A2729" t="s">
        <v>104</v>
      </c>
      <c r="B2729" t="s">
        <v>105</v>
      </c>
      <c r="C2729" t="s">
        <v>80</v>
      </c>
      <c r="D2729" t="s">
        <v>92</v>
      </c>
      <c r="E2729" t="s">
        <v>110</v>
      </c>
      <c r="F2729" t="s">
        <v>6</v>
      </c>
      <c r="G2729" t="s">
        <v>109</v>
      </c>
      <c r="H2729" s="62">
        <v>2047</v>
      </c>
      <c r="I2729">
        <v>0</v>
      </c>
    </row>
    <row r="2730" spans="1:9">
      <c r="A2730" t="s">
        <v>104</v>
      </c>
      <c r="B2730" t="s">
        <v>105</v>
      </c>
      <c r="C2730" t="s">
        <v>80</v>
      </c>
      <c r="D2730" t="s">
        <v>92</v>
      </c>
      <c r="E2730" t="s">
        <v>95</v>
      </c>
      <c r="F2730" t="s">
        <v>6</v>
      </c>
      <c r="G2730" t="s">
        <v>109</v>
      </c>
      <c r="H2730" s="62">
        <v>2047</v>
      </c>
      <c r="I2730">
        <v>5.9516999999999998</v>
      </c>
    </row>
    <row r="2731" spans="1:9">
      <c r="A2731" t="s">
        <v>104</v>
      </c>
      <c r="B2731" t="s">
        <v>105</v>
      </c>
      <c r="C2731" t="s">
        <v>80</v>
      </c>
      <c r="D2731" t="s">
        <v>96</v>
      </c>
      <c r="E2731" t="s">
        <v>92</v>
      </c>
      <c r="F2731" t="s">
        <v>6</v>
      </c>
      <c r="G2731" t="s">
        <v>109</v>
      </c>
      <c r="H2731" s="62">
        <v>2047</v>
      </c>
      <c r="I2731">
        <v>1.8455999999999999</v>
      </c>
    </row>
    <row r="2732" spans="1:9">
      <c r="A2732" t="s">
        <v>104</v>
      </c>
      <c r="B2732" t="s">
        <v>105</v>
      </c>
      <c r="C2732" t="s">
        <v>80</v>
      </c>
      <c r="D2732" t="s">
        <v>96</v>
      </c>
      <c r="E2732" t="s">
        <v>89</v>
      </c>
      <c r="F2732" t="s">
        <v>6</v>
      </c>
      <c r="G2732" t="s">
        <v>109</v>
      </c>
      <c r="H2732" s="62">
        <v>2047</v>
      </c>
      <c r="I2732">
        <v>6.5299999999999997E-2</v>
      </c>
    </row>
    <row r="2733" spans="1:9">
      <c r="A2733" t="s">
        <v>104</v>
      </c>
      <c r="B2733" t="s">
        <v>105</v>
      </c>
      <c r="C2733" t="s">
        <v>80</v>
      </c>
      <c r="D2733" t="s">
        <v>97</v>
      </c>
      <c r="E2733" t="s">
        <v>98</v>
      </c>
      <c r="F2733" t="s">
        <v>6</v>
      </c>
      <c r="G2733" t="s">
        <v>109</v>
      </c>
      <c r="H2733" s="62">
        <v>2047</v>
      </c>
      <c r="I2733">
        <v>0.88729999999999998</v>
      </c>
    </row>
    <row r="2734" spans="1:9">
      <c r="A2734" t="s">
        <v>104</v>
      </c>
      <c r="B2734" t="s">
        <v>105</v>
      </c>
      <c r="C2734" t="s">
        <v>80</v>
      </c>
      <c r="D2734" t="s">
        <v>97</v>
      </c>
      <c r="E2734" t="s">
        <v>99</v>
      </c>
      <c r="F2734" t="s">
        <v>6</v>
      </c>
      <c r="G2734" t="s">
        <v>109</v>
      </c>
      <c r="H2734" s="62">
        <v>2047</v>
      </c>
      <c r="I2734">
        <v>1.9300000000000001E-2</v>
      </c>
    </row>
    <row r="2735" spans="1:9">
      <c r="A2735" t="s">
        <v>104</v>
      </c>
      <c r="B2735" t="s">
        <v>105</v>
      </c>
      <c r="C2735" t="s">
        <v>80</v>
      </c>
      <c r="D2735" t="s">
        <v>100</v>
      </c>
      <c r="E2735" t="s">
        <v>101</v>
      </c>
      <c r="F2735" t="s">
        <v>6</v>
      </c>
      <c r="G2735" t="s">
        <v>109</v>
      </c>
      <c r="H2735" s="62">
        <v>2047</v>
      </c>
      <c r="I2735">
        <v>1.5199</v>
      </c>
    </row>
    <row r="2736" spans="1:9">
      <c r="A2736" t="s">
        <v>104</v>
      </c>
      <c r="B2736" t="s">
        <v>105</v>
      </c>
      <c r="C2736" t="s">
        <v>80</v>
      </c>
      <c r="D2736" t="s">
        <v>100</v>
      </c>
      <c r="E2736" t="s">
        <v>102</v>
      </c>
      <c r="F2736" t="s">
        <v>6</v>
      </c>
      <c r="G2736" t="s">
        <v>109</v>
      </c>
      <c r="H2736" s="62">
        <v>2047</v>
      </c>
      <c r="I2736">
        <v>3.4861</v>
      </c>
    </row>
    <row r="2737" spans="1:9">
      <c r="A2737" t="s">
        <v>104</v>
      </c>
      <c r="B2737" t="s">
        <v>105</v>
      </c>
      <c r="C2737" t="s">
        <v>80</v>
      </c>
      <c r="D2737" t="s">
        <v>100</v>
      </c>
      <c r="E2737" t="s">
        <v>111</v>
      </c>
      <c r="F2737" t="s">
        <v>6</v>
      </c>
      <c r="G2737" t="s">
        <v>109</v>
      </c>
      <c r="H2737" s="62">
        <v>2047</v>
      </c>
      <c r="I2737">
        <v>0</v>
      </c>
    </row>
    <row r="2738" spans="1:9">
      <c r="A2738" t="s">
        <v>104</v>
      </c>
      <c r="B2738" t="s">
        <v>105</v>
      </c>
      <c r="C2738" t="s">
        <v>80</v>
      </c>
      <c r="D2738" t="s">
        <v>100</v>
      </c>
      <c r="E2738" t="s">
        <v>112</v>
      </c>
      <c r="F2738" t="s">
        <v>6</v>
      </c>
      <c r="G2738" t="s">
        <v>109</v>
      </c>
      <c r="H2738" s="62">
        <v>2047</v>
      </c>
      <c r="I2738">
        <v>0</v>
      </c>
    </row>
    <row r="2739" spans="1:9">
      <c r="A2739" t="s">
        <v>104</v>
      </c>
      <c r="B2739" t="s">
        <v>105</v>
      </c>
      <c r="C2739" t="s">
        <v>80</v>
      </c>
      <c r="D2739" t="s">
        <v>83</v>
      </c>
      <c r="E2739" t="s">
        <v>84</v>
      </c>
      <c r="F2739" t="s">
        <v>6</v>
      </c>
      <c r="G2739" t="s">
        <v>109</v>
      </c>
      <c r="H2739" s="62">
        <v>2047</v>
      </c>
      <c r="I2739">
        <v>0.1822</v>
      </c>
    </row>
    <row r="2740" spans="1:9">
      <c r="A2740" t="s">
        <v>104</v>
      </c>
      <c r="B2740" t="s">
        <v>105</v>
      </c>
      <c r="C2740" t="s">
        <v>80</v>
      </c>
      <c r="D2740" t="s">
        <v>83</v>
      </c>
      <c r="E2740" t="s">
        <v>85</v>
      </c>
      <c r="F2740" t="s">
        <v>6</v>
      </c>
      <c r="G2740" t="s">
        <v>109</v>
      </c>
      <c r="H2740" s="62">
        <v>2047</v>
      </c>
      <c r="I2740">
        <v>0.28649999999999998</v>
      </c>
    </row>
    <row r="2741" spans="1:9">
      <c r="A2741" t="s">
        <v>104</v>
      </c>
      <c r="B2741" t="s">
        <v>105</v>
      </c>
      <c r="C2741" t="s">
        <v>80</v>
      </c>
      <c r="D2741" t="s">
        <v>86</v>
      </c>
      <c r="E2741" t="s">
        <v>106</v>
      </c>
      <c r="F2741" t="s">
        <v>6</v>
      </c>
      <c r="G2741" t="s">
        <v>109</v>
      </c>
      <c r="H2741" s="62">
        <v>2047</v>
      </c>
      <c r="I2741">
        <v>0.54269999999999996</v>
      </c>
    </row>
    <row r="2742" spans="1:9">
      <c r="A2742" t="s">
        <v>104</v>
      </c>
      <c r="B2742" t="s">
        <v>105</v>
      </c>
      <c r="C2742" t="s">
        <v>80</v>
      </c>
      <c r="D2742" t="s">
        <v>86</v>
      </c>
      <c r="E2742" t="s">
        <v>87</v>
      </c>
      <c r="F2742" t="s">
        <v>6</v>
      </c>
      <c r="G2742" t="s">
        <v>109</v>
      </c>
      <c r="H2742" s="62">
        <v>2047</v>
      </c>
      <c r="I2742">
        <v>0.38529999999999998</v>
      </c>
    </row>
    <row r="2743" spans="1:9">
      <c r="A2743" t="s">
        <v>104</v>
      </c>
      <c r="B2743" t="s">
        <v>105</v>
      </c>
      <c r="C2743" t="s">
        <v>80</v>
      </c>
      <c r="D2743" t="s">
        <v>103</v>
      </c>
      <c r="E2743" t="s">
        <v>92</v>
      </c>
      <c r="F2743" t="s">
        <v>6</v>
      </c>
      <c r="G2743" t="s">
        <v>109</v>
      </c>
      <c r="H2743" s="62">
        <v>2047</v>
      </c>
      <c r="I2743">
        <v>0.26590000000000003</v>
      </c>
    </row>
    <row r="2744" spans="1:9">
      <c r="A2744" t="s">
        <v>104</v>
      </c>
      <c r="B2744" t="s">
        <v>105</v>
      </c>
      <c r="C2744" t="s">
        <v>80</v>
      </c>
      <c r="D2744" t="s">
        <v>103</v>
      </c>
      <c r="E2744" t="s">
        <v>89</v>
      </c>
      <c r="F2744" t="s">
        <v>6</v>
      </c>
      <c r="G2744" t="s">
        <v>109</v>
      </c>
      <c r="H2744" s="62">
        <v>2047</v>
      </c>
      <c r="I2744">
        <v>1.4671000000000001</v>
      </c>
    </row>
    <row r="2745" spans="1:9">
      <c r="A2745" t="s">
        <v>104</v>
      </c>
      <c r="B2745" t="s">
        <v>105</v>
      </c>
      <c r="C2745" t="s">
        <v>107</v>
      </c>
      <c r="D2745" t="s">
        <v>107</v>
      </c>
      <c r="E2745" t="s">
        <v>107</v>
      </c>
      <c r="F2745" t="s">
        <v>6</v>
      </c>
      <c r="G2745" t="s">
        <v>109</v>
      </c>
      <c r="H2745" s="62">
        <v>2048</v>
      </c>
      <c r="I2745">
        <v>17.434999999999999</v>
      </c>
    </row>
    <row r="2746" spans="1:9">
      <c r="A2746" t="s">
        <v>104</v>
      </c>
      <c r="B2746" t="s">
        <v>105</v>
      </c>
      <c r="C2746" t="s">
        <v>107</v>
      </c>
      <c r="D2746" t="s">
        <v>108</v>
      </c>
      <c r="E2746" t="s">
        <v>108</v>
      </c>
      <c r="F2746" t="s">
        <v>6</v>
      </c>
      <c r="G2746" t="s">
        <v>109</v>
      </c>
      <c r="H2746" s="62">
        <v>2048</v>
      </c>
      <c r="I2746">
        <v>8.8700000000000001E-2</v>
      </c>
    </row>
    <row r="2747" spans="1:9">
      <c r="A2747" t="s">
        <v>104</v>
      </c>
      <c r="B2747" t="s">
        <v>105</v>
      </c>
      <c r="C2747" t="s">
        <v>80</v>
      </c>
      <c r="D2747" t="s">
        <v>80</v>
      </c>
      <c r="E2747" t="s">
        <v>80</v>
      </c>
      <c r="F2747" t="s">
        <v>6</v>
      </c>
      <c r="G2747" t="s">
        <v>109</v>
      </c>
      <c r="H2747" s="62">
        <v>2048</v>
      </c>
      <c r="I2747">
        <v>17.346299999999999</v>
      </c>
    </row>
    <row r="2748" spans="1:9">
      <c r="A2748" t="s">
        <v>104</v>
      </c>
      <c r="B2748" t="s">
        <v>105</v>
      </c>
      <c r="C2748" t="s">
        <v>80</v>
      </c>
      <c r="D2748" t="s">
        <v>89</v>
      </c>
      <c r="E2748" t="s">
        <v>90</v>
      </c>
      <c r="F2748" t="s">
        <v>6</v>
      </c>
      <c r="G2748" t="s">
        <v>109</v>
      </c>
      <c r="H2748" s="62">
        <v>2048</v>
      </c>
      <c r="I2748">
        <v>0.4965</v>
      </c>
    </row>
    <row r="2749" spans="1:9">
      <c r="A2749" t="s">
        <v>104</v>
      </c>
      <c r="B2749" t="s">
        <v>105</v>
      </c>
      <c r="C2749" t="s">
        <v>80</v>
      </c>
      <c r="D2749" t="s">
        <v>89</v>
      </c>
      <c r="E2749" t="s">
        <v>91</v>
      </c>
      <c r="F2749" t="s">
        <v>6</v>
      </c>
      <c r="G2749" t="s">
        <v>109</v>
      </c>
      <c r="H2749" s="62">
        <v>2048</v>
      </c>
      <c r="I2749">
        <v>-5.5300000000000002E-2</v>
      </c>
    </row>
    <row r="2750" spans="1:9">
      <c r="A2750" t="s">
        <v>104</v>
      </c>
      <c r="B2750" t="s">
        <v>105</v>
      </c>
      <c r="C2750" t="s">
        <v>80</v>
      </c>
      <c r="D2750" t="s">
        <v>92</v>
      </c>
      <c r="E2750" t="s">
        <v>93</v>
      </c>
      <c r="F2750" t="s">
        <v>6</v>
      </c>
      <c r="G2750" t="s">
        <v>109</v>
      </c>
      <c r="H2750" s="62">
        <v>2048</v>
      </c>
      <c r="I2750">
        <v>-0.8962</v>
      </c>
    </row>
    <row r="2751" spans="1:9">
      <c r="A2751" t="s">
        <v>104</v>
      </c>
      <c r="B2751" t="s">
        <v>105</v>
      </c>
      <c r="C2751" t="s">
        <v>80</v>
      </c>
      <c r="D2751" t="s">
        <v>92</v>
      </c>
      <c r="E2751" t="s">
        <v>94</v>
      </c>
      <c r="F2751" t="s">
        <v>6</v>
      </c>
      <c r="G2751" t="s">
        <v>109</v>
      </c>
      <c r="H2751" s="62">
        <v>2048</v>
      </c>
      <c r="I2751">
        <v>2.1362000000000001</v>
      </c>
    </row>
    <row r="2752" spans="1:9">
      <c r="A2752" t="s">
        <v>104</v>
      </c>
      <c r="B2752" t="s">
        <v>105</v>
      </c>
      <c r="C2752" t="s">
        <v>80</v>
      </c>
      <c r="D2752" t="s">
        <v>92</v>
      </c>
      <c r="E2752" t="s">
        <v>110</v>
      </c>
      <c r="F2752" t="s">
        <v>6</v>
      </c>
      <c r="G2752" t="s">
        <v>109</v>
      </c>
      <c r="H2752" s="62">
        <v>2048</v>
      </c>
      <c r="I2752">
        <v>0</v>
      </c>
    </row>
    <row r="2753" spans="1:9">
      <c r="A2753" t="s">
        <v>104</v>
      </c>
      <c r="B2753" t="s">
        <v>105</v>
      </c>
      <c r="C2753" t="s">
        <v>80</v>
      </c>
      <c r="D2753" t="s">
        <v>92</v>
      </c>
      <c r="E2753" t="s">
        <v>95</v>
      </c>
      <c r="F2753" t="s">
        <v>6</v>
      </c>
      <c r="G2753" t="s">
        <v>109</v>
      </c>
      <c r="H2753" s="62">
        <v>2048</v>
      </c>
      <c r="I2753">
        <v>5.9062000000000001</v>
      </c>
    </row>
    <row r="2754" spans="1:9">
      <c r="A2754" t="s">
        <v>104</v>
      </c>
      <c r="B2754" t="s">
        <v>105</v>
      </c>
      <c r="C2754" t="s">
        <v>80</v>
      </c>
      <c r="D2754" t="s">
        <v>96</v>
      </c>
      <c r="E2754" t="s">
        <v>92</v>
      </c>
      <c r="F2754" t="s">
        <v>6</v>
      </c>
      <c r="G2754" t="s">
        <v>109</v>
      </c>
      <c r="H2754" s="62">
        <v>2048</v>
      </c>
      <c r="I2754">
        <v>1.8301000000000001</v>
      </c>
    </row>
    <row r="2755" spans="1:9">
      <c r="A2755" t="s">
        <v>104</v>
      </c>
      <c r="B2755" t="s">
        <v>105</v>
      </c>
      <c r="C2755" t="s">
        <v>80</v>
      </c>
      <c r="D2755" t="s">
        <v>96</v>
      </c>
      <c r="E2755" t="s">
        <v>89</v>
      </c>
      <c r="F2755" t="s">
        <v>6</v>
      </c>
      <c r="G2755" t="s">
        <v>109</v>
      </c>
      <c r="H2755" s="62">
        <v>2048</v>
      </c>
      <c r="I2755">
        <v>6.9599999999999995E-2</v>
      </c>
    </row>
    <row r="2756" spans="1:9">
      <c r="A2756" t="s">
        <v>104</v>
      </c>
      <c r="B2756" t="s">
        <v>105</v>
      </c>
      <c r="C2756" t="s">
        <v>80</v>
      </c>
      <c r="D2756" t="s">
        <v>97</v>
      </c>
      <c r="E2756" t="s">
        <v>98</v>
      </c>
      <c r="F2756" t="s">
        <v>6</v>
      </c>
      <c r="G2756" t="s">
        <v>109</v>
      </c>
      <c r="H2756" s="62">
        <v>2048</v>
      </c>
      <c r="I2756">
        <v>0.94969999999999999</v>
      </c>
    </row>
    <row r="2757" spans="1:9">
      <c r="A2757" t="s">
        <v>104</v>
      </c>
      <c r="B2757" t="s">
        <v>105</v>
      </c>
      <c r="C2757" t="s">
        <v>80</v>
      </c>
      <c r="D2757" t="s">
        <v>97</v>
      </c>
      <c r="E2757" t="s">
        <v>99</v>
      </c>
      <c r="F2757" t="s">
        <v>6</v>
      </c>
      <c r="G2757" t="s">
        <v>109</v>
      </c>
      <c r="H2757" s="62">
        <v>2048</v>
      </c>
      <c r="I2757">
        <v>2.1700000000000001E-2</v>
      </c>
    </row>
    <row r="2758" spans="1:9">
      <c r="A2758" t="s">
        <v>104</v>
      </c>
      <c r="B2758" t="s">
        <v>105</v>
      </c>
      <c r="C2758" t="s">
        <v>80</v>
      </c>
      <c r="D2758" t="s">
        <v>100</v>
      </c>
      <c r="E2758" t="s">
        <v>101</v>
      </c>
      <c r="F2758" t="s">
        <v>6</v>
      </c>
      <c r="G2758" t="s">
        <v>109</v>
      </c>
      <c r="H2758" s="62">
        <v>2048</v>
      </c>
      <c r="I2758">
        <v>1.5510999999999999</v>
      </c>
    </row>
    <row r="2759" spans="1:9">
      <c r="A2759" t="s">
        <v>104</v>
      </c>
      <c r="B2759" t="s">
        <v>105</v>
      </c>
      <c r="C2759" t="s">
        <v>80</v>
      </c>
      <c r="D2759" t="s">
        <v>100</v>
      </c>
      <c r="E2759" t="s">
        <v>102</v>
      </c>
      <c r="F2759" t="s">
        <v>6</v>
      </c>
      <c r="G2759" t="s">
        <v>109</v>
      </c>
      <c r="H2759" s="62">
        <v>2048</v>
      </c>
      <c r="I2759">
        <v>4.8720999999999997</v>
      </c>
    </row>
    <row r="2760" spans="1:9">
      <c r="A2760" t="s">
        <v>104</v>
      </c>
      <c r="B2760" t="s">
        <v>105</v>
      </c>
      <c r="C2760" t="s">
        <v>80</v>
      </c>
      <c r="D2760" t="s">
        <v>100</v>
      </c>
      <c r="E2760" t="s">
        <v>111</v>
      </c>
      <c r="F2760" t="s">
        <v>6</v>
      </c>
      <c r="G2760" t="s">
        <v>109</v>
      </c>
      <c r="H2760" s="62">
        <v>2048</v>
      </c>
      <c r="I2760">
        <v>0</v>
      </c>
    </row>
    <row r="2761" spans="1:9">
      <c r="A2761" t="s">
        <v>104</v>
      </c>
      <c r="B2761" t="s">
        <v>105</v>
      </c>
      <c r="C2761" t="s">
        <v>80</v>
      </c>
      <c r="D2761" t="s">
        <v>100</v>
      </c>
      <c r="E2761" t="s">
        <v>112</v>
      </c>
      <c r="F2761" t="s">
        <v>6</v>
      </c>
      <c r="G2761" t="s">
        <v>109</v>
      </c>
      <c r="H2761" s="62">
        <v>2048</v>
      </c>
      <c r="I2761">
        <v>0</v>
      </c>
    </row>
    <row r="2762" spans="1:9">
      <c r="A2762" t="s">
        <v>104</v>
      </c>
      <c r="B2762" t="s">
        <v>105</v>
      </c>
      <c r="C2762" t="s">
        <v>80</v>
      </c>
      <c r="D2762" t="s">
        <v>83</v>
      </c>
      <c r="E2762" t="s">
        <v>84</v>
      </c>
      <c r="F2762" t="s">
        <v>6</v>
      </c>
      <c r="G2762" t="s">
        <v>109</v>
      </c>
      <c r="H2762" s="62">
        <v>2048</v>
      </c>
      <c r="I2762">
        <v>0.18049999999999999</v>
      </c>
    </row>
    <row r="2763" spans="1:9">
      <c r="A2763" t="s">
        <v>104</v>
      </c>
      <c r="B2763" t="s">
        <v>105</v>
      </c>
      <c r="C2763" t="s">
        <v>80</v>
      </c>
      <c r="D2763" t="s">
        <v>83</v>
      </c>
      <c r="E2763" t="s">
        <v>85</v>
      </c>
      <c r="F2763" t="s">
        <v>6</v>
      </c>
      <c r="G2763" t="s">
        <v>109</v>
      </c>
      <c r="H2763" s="62">
        <v>2048</v>
      </c>
      <c r="I2763">
        <v>0.28410000000000002</v>
      </c>
    </row>
    <row r="2764" spans="1:9">
      <c r="A2764" t="s">
        <v>104</v>
      </c>
      <c r="B2764" t="s">
        <v>105</v>
      </c>
      <c r="C2764" t="s">
        <v>80</v>
      </c>
      <c r="D2764" t="s">
        <v>86</v>
      </c>
      <c r="E2764" t="s">
        <v>106</v>
      </c>
      <c r="F2764" t="s">
        <v>6</v>
      </c>
      <c r="G2764" t="s">
        <v>109</v>
      </c>
      <c r="H2764" s="62">
        <v>2048</v>
      </c>
      <c r="I2764">
        <v>0.54710000000000003</v>
      </c>
    </row>
    <row r="2765" spans="1:9">
      <c r="A2765" t="s">
        <v>104</v>
      </c>
      <c r="B2765" t="s">
        <v>105</v>
      </c>
      <c r="C2765" t="s">
        <v>80</v>
      </c>
      <c r="D2765" t="s">
        <v>86</v>
      </c>
      <c r="E2765" t="s">
        <v>87</v>
      </c>
      <c r="F2765" t="s">
        <v>6</v>
      </c>
      <c r="G2765" t="s">
        <v>109</v>
      </c>
      <c r="H2765" s="62">
        <v>2048</v>
      </c>
      <c r="I2765">
        <v>0.40439999999999998</v>
      </c>
    </row>
    <row r="2766" spans="1:9">
      <c r="A2766" t="s">
        <v>104</v>
      </c>
      <c r="B2766" t="s">
        <v>105</v>
      </c>
      <c r="C2766" t="s">
        <v>80</v>
      </c>
      <c r="D2766" t="s">
        <v>103</v>
      </c>
      <c r="E2766" t="s">
        <v>92</v>
      </c>
      <c r="F2766" t="s">
        <v>6</v>
      </c>
      <c r="G2766" t="s">
        <v>109</v>
      </c>
      <c r="H2766" s="62">
        <v>2048</v>
      </c>
      <c r="I2766">
        <v>0.28089999999999998</v>
      </c>
    </row>
    <row r="2767" spans="1:9">
      <c r="A2767" t="s">
        <v>104</v>
      </c>
      <c r="B2767" t="s">
        <v>105</v>
      </c>
      <c r="C2767" t="s">
        <v>80</v>
      </c>
      <c r="D2767" t="s">
        <v>103</v>
      </c>
      <c r="E2767" t="s">
        <v>89</v>
      </c>
      <c r="F2767" t="s">
        <v>6</v>
      </c>
      <c r="G2767" t="s">
        <v>109</v>
      </c>
      <c r="H2767" s="62">
        <v>2048</v>
      </c>
      <c r="I2767">
        <v>1.5408999999999999</v>
      </c>
    </row>
    <row r="2768" spans="1:9">
      <c r="A2768" t="s">
        <v>104</v>
      </c>
      <c r="B2768" t="s">
        <v>105</v>
      </c>
      <c r="C2768" t="s">
        <v>107</v>
      </c>
      <c r="D2768" t="s">
        <v>107</v>
      </c>
      <c r="E2768" t="s">
        <v>107</v>
      </c>
      <c r="F2768" t="s">
        <v>6</v>
      </c>
      <c r="G2768" t="s">
        <v>109</v>
      </c>
      <c r="H2768" s="62">
        <v>2049</v>
      </c>
      <c r="I2768">
        <v>16.557400000000001</v>
      </c>
    </row>
    <row r="2769" spans="1:9">
      <c r="A2769" t="s">
        <v>104</v>
      </c>
      <c r="B2769" t="s">
        <v>105</v>
      </c>
      <c r="C2769" t="s">
        <v>107</v>
      </c>
      <c r="D2769" t="s">
        <v>108</v>
      </c>
      <c r="E2769" t="s">
        <v>108</v>
      </c>
      <c r="F2769" t="s">
        <v>6</v>
      </c>
      <c r="G2769" t="s">
        <v>109</v>
      </c>
      <c r="H2769" s="62">
        <v>2049</v>
      </c>
      <c r="I2769">
        <v>8.77E-2</v>
      </c>
    </row>
    <row r="2770" spans="1:9">
      <c r="A2770" t="s">
        <v>104</v>
      </c>
      <c r="B2770" t="s">
        <v>105</v>
      </c>
      <c r="C2770" t="s">
        <v>80</v>
      </c>
      <c r="D2770" t="s">
        <v>80</v>
      </c>
      <c r="E2770" t="s">
        <v>80</v>
      </c>
      <c r="F2770" t="s">
        <v>6</v>
      </c>
      <c r="G2770" t="s">
        <v>109</v>
      </c>
      <c r="H2770" s="62">
        <v>2049</v>
      </c>
      <c r="I2770">
        <v>16.4697</v>
      </c>
    </row>
    <row r="2771" spans="1:9">
      <c r="A2771" t="s">
        <v>104</v>
      </c>
      <c r="B2771" t="s">
        <v>105</v>
      </c>
      <c r="C2771" t="s">
        <v>80</v>
      </c>
      <c r="D2771" t="s">
        <v>89</v>
      </c>
      <c r="E2771" t="s">
        <v>90</v>
      </c>
      <c r="F2771" t="s">
        <v>6</v>
      </c>
      <c r="G2771" t="s">
        <v>109</v>
      </c>
      <c r="H2771" s="62">
        <v>2049</v>
      </c>
      <c r="I2771">
        <v>0.40920000000000001</v>
      </c>
    </row>
    <row r="2772" spans="1:9">
      <c r="A2772" t="s">
        <v>104</v>
      </c>
      <c r="B2772" t="s">
        <v>105</v>
      </c>
      <c r="C2772" t="s">
        <v>80</v>
      </c>
      <c r="D2772" t="s">
        <v>89</v>
      </c>
      <c r="E2772" t="s">
        <v>91</v>
      </c>
      <c r="F2772" t="s">
        <v>6</v>
      </c>
      <c r="G2772" t="s">
        <v>109</v>
      </c>
      <c r="H2772" s="62">
        <v>2049</v>
      </c>
      <c r="I2772">
        <v>-4.7699999999999999E-2</v>
      </c>
    </row>
    <row r="2773" spans="1:9">
      <c r="A2773" t="s">
        <v>104</v>
      </c>
      <c r="B2773" t="s">
        <v>105</v>
      </c>
      <c r="C2773" t="s">
        <v>80</v>
      </c>
      <c r="D2773" t="s">
        <v>92</v>
      </c>
      <c r="E2773" t="s">
        <v>93</v>
      </c>
      <c r="F2773" t="s">
        <v>6</v>
      </c>
      <c r="G2773" t="s">
        <v>109</v>
      </c>
      <c r="H2773" s="62">
        <v>2049</v>
      </c>
      <c r="I2773">
        <v>-0.93610000000000004</v>
      </c>
    </row>
    <row r="2774" spans="1:9">
      <c r="A2774" t="s">
        <v>104</v>
      </c>
      <c r="B2774" t="s">
        <v>105</v>
      </c>
      <c r="C2774" t="s">
        <v>80</v>
      </c>
      <c r="D2774" t="s">
        <v>92</v>
      </c>
      <c r="E2774" t="s">
        <v>94</v>
      </c>
      <c r="F2774" t="s">
        <v>6</v>
      </c>
      <c r="G2774" t="s">
        <v>109</v>
      </c>
      <c r="H2774" s="62">
        <v>2049</v>
      </c>
      <c r="I2774">
        <v>2.1263999999999998</v>
      </c>
    </row>
    <row r="2775" spans="1:9">
      <c r="A2775" t="s">
        <v>104</v>
      </c>
      <c r="B2775" t="s">
        <v>105</v>
      </c>
      <c r="C2775" t="s">
        <v>80</v>
      </c>
      <c r="D2775" t="s">
        <v>92</v>
      </c>
      <c r="E2775" t="s">
        <v>110</v>
      </c>
      <c r="F2775" t="s">
        <v>6</v>
      </c>
      <c r="G2775" t="s">
        <v>109</v>
      </c>
      <c r="H2775" s="62">
        <v>2049</v>
      </c>
      <c r="I2775">
        <v>0</v>
      </c>
    </row>
    <row r="2776" spans="1:9">
      <c r="A2776" t="s">
        <v>104</v>
      </c>
      <c r="B2776" t="s">
        <v>105</v>
      </c>
      <c r="C2776" t="s">
        <v>80</v>
      </c>
      <c r="D2776" t="s">
        <v>92</v>
      </c>
      <c r="E2776" t="s">
        <v>95</v>
      </c>
      <c r="F2776" t="s">
        <v>6</v>
      </c>
      <c r="G2776" t="s">
        <v>109</v>
      </c>
      <c r="H2776" s="62">
        <v>2049</v>
      </c>
      <c r="I2776">
        <v>5.8986999999999998</v>
      </c>
    </row>
    <row r="2777" spans="1:9">
      <c r="A2777" t="s">
        <v>104</v>
      </c>
      <c r="B2777" t="s">
        <v>105</v>
      </c>
      <c r="C2777" t="s">
        <v>80</v>
      </c>
      <c r="D2777" t="s">
        <v>96</v>
      </c>
      <c r="E2777" t="s">
        <v>92</v>
      </c>
      <c r="F2777" t="s">
        <v>6</v>
      </c>
      <c r="G2777" t="s">
        <v>109</v>
      </c>
      <c r="H2777" s="62">
        <v>2049</v>
      </c>
      <c r="I2777">
        <v>1.7799</v>
      </c>
    </row>
    <row r="2778" spans="1:9">
      <c r="A2778" t="s">
        <v>104</v>
      </c>
      <c r="B2778" t="s">
        <v>105</v>
      </c>
      <c r="C2778" t="s">
        <v>80</v>
      </c>
      <c r="D2778" t="s">
        <v>96</v>
      </c>
      <c r="E2778" t="s">
        <v>89</v>
      </c>
      <c r="F2778" t="s">
        <v>6</v>
      </c>
      <c r="G2778" t="s">
        <v>109</v>
      </c>
      <c r="H2778" s="62">
        <v>2049</v>
      </c>
      <c r="I2778">
        <v>7.2800000000000004E-2</v>
      </c>
    </row>
    <row r="2779" spans="1:9">
      <c r="A2779" t="s">
        <v>104</v>
      </c>
      <c r="B2779" t="s">
        <v>105</v>
      </c>
      <c r="C2779" t="s">
        <v>80</v>
      </c>
      <c r="D2779" t="s">
        <v>97</v>
      </c>
      <c r="E2779" t="s">
        <v>98</v>
      </c>
      <c r="F2779" t="s">
        <v>6</v>
      </c>
      <c r="G2779" t="s">
        <v>109</v>
      </c>
      <c r="H2779" s="62">
        <v>2049</v>
      </c>
      <c r="I2779">
        <v>1.0072000000000001</v>
      </c>
    </row>
    <row r="2780" spans="1:9">
      <c r="A2780" t="s">
        <v>104</v>
      </c>
      <c r="B2780" t="s">
        <v>105</v>
      </c>
      <c r="C2780" t="s">
        <v>80</v>
      </c>
      <c r="D2780" t="s">
        <v>97</v>
      </c>
      <c r="E2780" t="s">
        <v>99</v>
      </c>
      <c r="F2780" t="s">
        <v>6</v>
      </c>
      <c r="G2780" t="s">
        <v>109</v>
      </c>
      <c r="H2780" s="62">
        <v>2049</v>
      </c>
      <c r="I2780">
        <v>2.4199999999999999E-2</v>
      </c>
    </row>
    <row r="2781" spans="1:9">
      <c r="A2781" t="s">
        <v>104</v>
      </c>
      <c r="B2781" t="s">
        <v>105</v>
      </c>
      <c r="C2781" t="s">
        <v>80</v>
      </c>
      <c r="D2781" t="s">
        <v>100</v>
      </c>
      <c r="E2781" t="s">
        <v>101</v>
      </c>
      <c r="F2781" t="s">
        <v>6</v>
      </c>
      <c r="G2781" t="s">
        <v>109</v>
      </c>
      <c r="H2781" s="62">
        <v>2049</v>
      </c>
      <c r="I2781">
        <v>1.5804</v>
      </c>
    </row>
    <row r="2782" spans="1:9">
      <c r="A2782" t="s">
        <v>104</v>
      </c>
      <c r="B2782" t="s">
        <v>105</v>
      </c>
      <c r="C2782" t="s">
        <v>80</v>
      </c>
      <c r="D2782" t="s">
        <v>100</v>
      </c>
      <c r="E2782" t="s">
        <v>102</v>
      </c>
      <c r="F2782" t="s">
        <v>6</v>
      </c>
      <c r="G2782" t="s">
        <v>109</v>
      </c>
      <c r="H2782" s="62">
        <v>2049</v>
      </c>
      <c r="I2782">
        <v>4.0952000000000002</v>
      </c>
    </row>
    <row r="2783" spans="1:9">
      <c r="A2783" t="s">
        <v>104</v>
      </c>
      <c r="B2783" t="s">
        <v>105</v>
      </c>
      <c r="C2783" t="s">
        <v>80</v>
      </c>
      <c r="D2783" t="s">
        <v>100</v>
      </c>
      <c r="E2783" t="s">
        <v>111</v>
      </c>
      <c r="F2783" t="s">
        <v>6</v>
      </c>
      <c r="G2783" t="s">
        <v>109</v>
      </c>
      <c r="H2783" s="62">
        <v>2049</v>
      </c>
      <c r="I2783">
        <v>0</v>
      </c>
    </row>
    <row r="2784" spans="1:9">
      <c r="A2784" t="s">
        <v>104</v>
      </c>
      <c r="B2784" t="s">
        <v>105</v>
      </c>
      <c r="C2784" t="s">
        <v>80</v>
      </c>
      <c r="D2784" t="s">
        <v>100</v>
      </c>
      <c r="E2784" t="s">
        <v>112</v>
      </c>
      <c r="F2784" t="s">
        <v>6</v>
      </c>
      <c r="G2784" t="s">
        <v>109</v>
      </c>
      <c r="H2784" s="62">
        <v>2049</v>
      </c>
      <c r="I2784">
        <v>0</v>
      </c>
    </row>
    <row r="2785" spans="1:9">
      <c r="A2785" t="s">
        <v>104</v>
      </c>
      <c r="B2785" t="s">
        <v>105</v>
      </c>
      <c r="C2785" t="s">
        <v>80</v>
      </c>
      <c r="D2785" t="s">
        <v>83</v>
      </c>
      <c r="E2785" t="s">
        <v>84</v>
      </c>
      <c r="F2785" t="s">
        <v>6</v>
      </c>
      <c r="G2785" t="s">
        <v>109</v>
      </c>
      <c r="H2785" s="62">
        <v>2049</v>
      </c>
      <c r="I2785">
        <v>0.17780000000000001</v>
      </c>
    </row>
    <row r="2786" spans="1:9">
      <c r="A2786" t="s">
        <v>104</v>
      </c>
      <c r="B2786" t="s">
        <v>105</v>
      </c>
      <c r="C2786" t="s">
        <v>80</v>
      </c>
      <c r="D2786" t="s">
        <v>83</v>
      </c>
      <c r="E2786" t="s">
        <v>85</v>
      </c>
      <c r="F2786" t="s">
        <v>6</v>
      </c>
      <c r="G2786" t="s">
        <v>109</v>
      </c>
      <c r="H2786" s="62">
        <v>2049</v>
      </c>
      <c r="I2786">
        <v>0.28179999999999999</v>
      </c>
    </row>
    <row r="2787" spans="1:9">
      <c r="A2787" t="s">
        <v>104</v>
      </c>
      <c r="B2787" t="s">
        <v>105</v>
      </c>
      <c r="C2787" t="s">
        <v>80</v>
      </c>
      <c r="D2787" t="s">
        <v>86</v>
      </c>
      <c r="E2787" t="s">
        <v>106</v>
      </c>
      <c r="F2787" t="s">
        <v>6</v>
      </c>
      <c r="G2787" t="s">
        <v>109</v>
      </c>
      <c r="H2787" s="62">
        <v>2049</v>
      </c>
      <c r="I2787">
        <v>0.54859999999999998</v>
      </c>
    </row>
    <row r="2788" spans="1:9">
      <c r="A2788" t="s">
        <v>104</v>
      </c>
      <c r="B2788" t="s">
        <v>105</v>
      </c>
      <c r="C2788" t="s">
        <v>80</v>
      </c>
      <c r="D2788" t="s">
        <v>86</v>
      </c>
      <c r="E2788" t="s">
        <v>87</v>
      </c>
      <c r="F2788" t="s">
        <v>6</v>
      </c>
      <c r="G2788" t="s">
        <v>109</v>
      </c>
      <c r="H2788" s="62">
        <v>2049</v>
      </c>
      <c r="I2788">
        <v>0.43530000000000002</v>
      </c>
    </row>
    <row r="2789" spans="1:9">
      <c r="A2789" t="s">
        <v>104</v>
      </c>
      <c r="B2789" t="s">
        <v>105</v>
      </c>
      <c r="C2789" t="s">
        <v>80</v>
      </c>
      <c r="D2789" t="s">
        <v>103</v>
      </c>
      <c r="E2789" t="s">
        <v>92</v>
      </c>
      <c r="F2789" t="s">
        <v>6</v>
      </c>
      <c r="G2789" t="s">
        <v>109</v>
      </c>
      <c r="H2789" s="62">
        <v>2049</v>
      </c>
      <c r="I2789">
        <v>0.29609999999999997</v>
      </c>
    </row>
    <row r="2790" spans="1:9">
      <c r="A2790" t="s">
        <v>104</v>
      </c>
      <c r="B2790" t="s">
        <v>105</v>
      </c>
      <c r="C2790" t="s">
        <v>80</v>
      </c>
      <c r="D2790" t="s">
        <v>103</v>
      </c>
      <c r="E2790" t="s">
        <v>89</v>
      </c>
      <c r="F2790" t="s">
        <v>6</v>
      </c>
      <c r="G2790" t="s">
        <v>109</v>
      </c>
      <c r="H2790" s="62">
        <v>2049</v>
      </c>
      <c r="I2790">
        <v>1.6114999999999999</v>
      </c>
    </row>
    <row r="2791" spans="1:9">
      <c r="A2791" t="s">
        <v>104</v>
      </c>
      <c r="B2791" t="s">
        <v>105</v>
      </c>
      <c r="C2791" t="s">
        <v>107</v>
      </c>
      <c r="D2791" t="s">
        <v>107</v>
      </c>
      <c r="E2791" t="s">
        <v>107</v>
      </c>
      <c r="F2791" t="s">
        <v>6</v>
      </c>
      <c r="G2791" t="s">
        <v>109</v>
      </c>
      <c r="H2791" s="62">
        <v>2050</v>
      </c>
      <c r="I2791">
        <v>17.317299999999999</v>
      </c>
    </row>
    <row r="2792" spans="1:9">
      <c r="A2792" t="s">
        <v>104</v>
      </c>
      <c r="B2792" t="s">
        <v>105</v>
      </c>
      <c r="C2792" t="s">
        <v>107</v>
      </c>
      <c r="D2792" t="s">
        <v>108</v>
      </c>
      <c r="E2792" t="s">
        <v>108</v>
      </c>
      <c r="F2792" t="s">
        <v>6</v>
      </c>
      <c r="G2792" t="s">
        <v>109</v>
      </c>
      <c r="H2792" s="62">
        <v>2050</v>
      </c>
      <c r="I2792">
        <v>8.6699999999999999E-2</v>
      </c>
    </row>
    <row r="2793" spans="1:9">
      <c r="A2793" t="s">
        <v>104</v>
      </c>
      <c r="B2793" t="s">
        <v>105</v>
      </c>
      <c r="C2793" t="s">
        <v>80</v>
      </c>
      <c r="D2793" t="s">
        <v>80</v>
      </c>
      <c r="E2793" t="s">
        <v>80</v>
      </c>
      <c r="F2793" t="s">
        <v>6</v>
      </c>
      <c r="G2793" t="s">
        <v>109</v>
      </c>
      <c r="H2793" s="62">
        <v>2050</v>
      </c>
      <c r="I2793">
        <v>17.230599999999999</v>
      </c>
    </row>
    <row r="2794" spans="1:9">
      <c r="A2794" t="s">
        <v>104</v>
      </c>
      <c r="B2794" t="s">
        <v>105</v>
      </c>
      <c r="C2794" t="s">
        <v>80</v>
      </c>
      <c r="D2794" t="s">
        <v>89</v>
      </c>
      <c r="E2794" t="s">
        <v>90</v>
      </c>
      <c r="F2794" t="s">
        <v>6</v>
      </c>
      <c r="G2794" t="s">
        <v>109</v>
      </c>
      <c r="H2794" s="62">
        <v>2050</v>
      </c>
      <c r="I2794">
        <v>0.35120000000000001</v>
      </c>
    </row>
    <row r="2795" spans="1:9">
      <c r="A2795" t="s">
        <v>104</v>
      </c>
      <c r="B2795" t="s">
        <v>105</v>
      </c>
      <c r="C2795" t="s">
        <v>80</v>
      </c>
      <c r="D2795" t="s">
        <v>89</v>
      </c>
      <c r="E2795" t="s">
        <v>91</v>
      </c>
      <c r="F2795" t="s">
        <v>6</v>
      </c>
      <c r="G2795" t="s">
        <v>109</v>
      </c>
      <c r="H2795" s="62">
        <v>2050</v>
      </c>
      <c r="I2795">
        <v>-4.3499999999999997E-2</v>
      </c>
    </row>
    <row r="2796" spans="1:9">
      <c r="A2796" t="s">
        <v>104</v>
      </c>
      <c r="B2796" t="s">
        <v>105</v>
      </c>
      <c r="C2796" t="s">
        <v>80</v>
      </c>
      <c r="D2796" t="s">
        <v>92</v>
      </c>
      <c r="E2796" t="s">
        <v>93</v>
      </c>
      <c r="F2796" t="s">
        <v>6</v>
      </c>
      <c r="G2796" t="s">
        <v>109</v>
      </c>
      <c r="H2796" s="62">
        <v>2050</v>
      </c>
      <c r="I2796">
        <v>-0.99180000000000001</v>
      </c>
    </row>
    <row r="2797" spans="1:9">
      <c r="A2797" t="s">
        <v>104</v>
      </c>
      <c r="B2797" t="s">
        <v>105</v>
      </c>
      <c r="C2797" t="s">
        <v>80</v>
      </c>
      <c r="D2797" t="s">
        <v>92</v>
      </c>
      <c r="E2797" t="s">
        <v>94</v>
      </c>
      <c r="F2797" t="s">
        <v>6</v>
      </c>
      <c r="G2797" t="s">
        <v>109</v>
      </c>
      <c r="H2797" s="62">
        <v>2050</v>
      </c>
      <c r="I2797">
        <v>2.1179999999999999</v>
      </c>
    </row>
    <row r="2798" spans="1:9">
      <c r="A2798" t="s">
        <v>104</v>
      </c>
      <c r="B2798" t="s">
        <v>105</v>
      </c>
      <c r="C2798" t="s">
        <v>80</v>
      </c>
      <c r="D2798" t="s">
        <v>92</v>
      </c>
      <c r="E2798" t="s">
        <v>110</v>
      </c>
      <c r="F2798" t="s">
        <v>6</v>
      </c>
      <c r="G2798" t="s">
        <v>109</v>
      </c>
      <c r="H2798" s="62">
        <v>2050</v>
      </c>
      <c r="I2798">
        <v>0</v>
      </c>
    </row>
    <row r="2799" spans="1:9">
      <c r="A2799" t="s">
        <v>104</v>
      </c>
      <c r="B2799" t="s">
        <v>105</v>
      </c>
      <c r="C2799" t="s">
        <v>80</v>
      </c>
      <c r="D2799" t="s">
        <v>92</v>
      </c>
      <c r="E2799" t="s">
        <v>95</v>
      </c>
      <c r="F2799" t="s">
        <v>6</v>
      </c>
      <c r="G2799" t="s">
        <v>109</v>
      </c>
      <c r="H2799" s="62">
        <v>2050</v>
      </c>
      <c r="I2799">
        <v>5.8948</v>
      </c>
    </row>
    <row r="2800" spans="1:9">
      <c r="A2800" t="s">
        <v>104</v>
      </c>
      <c r="B2800" t="s">
        <v>105</v>
      </c>
      <c r="C2800" t="s">
        <v>80</v>
      </c>
      <c r="D2800" t="s">
        <v>96</v>
      </c>
      <c r="E2800" t="s">
        <v>92</v>
      </c>
      <c r="F2800" t="s">
        <v>6</v>
      </c>
      <c r="G2800" t="s">
        <v>109</v>
      </c>
      <c r="H2800" s="62">
        <v>2050</v>
      </c>
      <c r="I2800">
        <v>1.7175</v>
      </c>
    </row>
    <row r="2801" spans="1:9">
      <c r="A2801" t="s">
        <v>104</v>
      </c>
      <c r="B2801" t="s">
        <v>105</v>
      </c>
      <c r="C2801" t="s">
        <v>80</v>
      </c>
      <c r="D2801" t="s">
        <v>96</v>
      </c>
      <c r="E2801" t="s">
        <v>89</v>
      </c>
      <c r="F2801" t="s">
        <v>6</v>
      </c>
      <c r="G2801" t="s">
        <v>109</v>
      </c>
      <c r="H2801" s="62">
        <v>2050</v>
      </c>
      <c r="I2801">
        <v>7.5899999999999995E-2</v>
      </c>
    </row>
    <row r="2802" spans="1:9">
      <c r="A2802" t="s">
        <v>104</v>
      </c>
      <c r="B2802" t="s">
        <v>105</v>
      </c>
      <c r="C2802" t="s">
        <v>80</v>
      </c>
      <c r="D2802" t="s">
        <v>97</v>
      </c>
      <c r="E2802" t="s">
        <v>98</v>
      </c>
      <c r="F2802" t="s">
        <v>6</v>
      </c>
      <c r="G2802" t="s">
        <v>109</v>
      </c>
      <c r="H2802" s="62">
        <v>2050</v>
      </c>
      <c r="I2802">
        <v>1.0670999999999999</v>
      </c>
    </row>
    <row r="2803" spans="1:9">
      <c r="A2803" t="s">
        <v>104</v>
      </c>
      <c r="B2803" t="s">
        <v>105</v>
      </c>
      <c r="C2803" t="s">
        <v>80</v>
      </c>
      <c r="D2803" t="s">
        <v>97</v>
      </c>
      <c r="E2803" t="s">
        <v>99</v>
      </c>
      <c r="F2803" t="s">
        <v>6</v>
      </c>
      <c r="G2803" t="s">
        <v>109</v>
      </c>
      <c r="H2803" s="62">
        <v>2050</v>
      </c>
      <c r="I2803">
        <v>2.6800000000000001E-2</v>
      </c>
    </row>
    <row r="2804" spans="1:9">
      <c r="A2804" t="s">
        <v>104</v>
      </c>
      <c r="B2804" t="s">
        <v>105</v>
      </c>
      <c r="C2804" t="s">
        <v>80</v>
      </c>
      <c r="D2804" t="s">
        <v>100</v>
      </c>
      <c r="E2804" t="s">
        <v>101</v>
      </c>
      <c r="F2804" t="s">
        <v>6</v>
      </c>
      <c r="G2804" t="s">
        <v>109</v>
      </c>
      <c r="H2804" s="62">
        <v>2050</v>
      </c>
      <c r="I2804">
        <v>1.5880000000000001</v>
      </c>
    </row>
    <row r="2805" spans="1:9">
      <c r="A2805" t="s">
        <v>104</v>
      </c>
      <c r="B2805" t="s">
        <v>105</v>
      </c>
      <c r="C2805" t="s">
        <v>80</v>
      </c>
      <c r="D2805" t="s">
        <v>100</v>
      </c>
      <c r="E2805" t="s">
        <v>102</v>
      </c>
      <c r="F2805" t="s">
        <v>6</v>
      </c>
      <c r="G2805" t="s">
        <v>109</v>
      </c>
      <c r="H2805" s="62">
        <v>2050</v>
      </c>
      <c r="I2805">
        <v>4.9706999999999999</v>
      </c>
    </row>
    <row r="2806" spans="1:9">
      <c r="A2806" t="s">
        <v>104</v>
      </c>
      <c r="B2806" t="s">
        <v>105</v>
      </c>
      <c r="C2806" t="s">
        <v>80</v>
      </c>
      <c r="D2806" t="s">
        <v>100</v>
      </c>
      <c r="E2806" t="s">
        <v>111</v>
      </c>
      <c r="F2806" t="s">
        <v>6</v>
      </c>
      <c r="G2806" t="s">
        <v>109</v>
      </c>
      <c r="H2806" s="62">
        <v>2050</v>
      </c>
      <c r="I2806">
        <v>0</v>
      </c>
    </row>
    <row r="2807" spans="1:9">
      <c r="A2807" t="s">
        <v>104</v>
      </c>
      <c r="B2807" t="s">
        <v>105</v>
      </c>
      <c r="C2807" t="s">
        <v>80</v>
      </c>
      <c r="D2807" t="s">
        <v>100</v>
      </c>
      <c r="E2807" t="s">
        <v>112</v>
      </c>
      <c r="F2807" t="s">
        <v>6</v>
      </c>
      <c r="G2807" t="s">
        <v>109</v>
      </c>
      <c r="H2807" s="62">
        <v>2050</v>
      </c>
      <c r="I2807">
        <v>0</v>
      </c>
    </row>
    <row r="2808" spans="1:9">
      <c r="A2808" t="s">
        <v>104</v>
      </c>
      <c r="B2808" t="s">
        <v>105</v>
      </c>
      <c r="C2808" t="s">
        <v>80</v>
      </c>
      <c r="D2808" t="s">
        <v>83</v>
      </c>
      <c r="E2808" t="s">
        <v>84</v>
      </c>
      <c r="F2808" t="s">
        <v>6</v>
      </c>
      <c r="G2808" t="s">
        <v>109</v>
      </c>
      <c r="H2808" s="62">
        <v>2050</v>
      </c>
      <c r="I2808">
        <v>0.1757</v>
      </c>
    </row>
    <row r="2809" spans="1:9">
      <c r="A2809" t="s">
        <v>104</v>
      </c>
      <c r="B2809" t="s">
        <v>105</v>
      </c>
      <c r="C2809" t="s">
        <v>80</v>
      </c>
      <c r="D2809" t="s">
        <v>83</v>
      </c>
      <c r="E2809" t="s">
        <v>85</v>
      </c>
      <c r="F2809" t="s">
        <v>6</v>
      </c>
      <c r="G2809" t="s">
        <v>109</v>
      </c>
      <c r="H2809" s="62">
        <v>2050</v>
      </c>
      <c r="I2809">
        <v>0.2802</v>
      </c>
    </row>
    <row r="2810" spans="1:9">
      <c r="A2810" t="s">
        <v>104</v>
      </c>
      <c r="B2810" t="s">
        <v>105</v>
      </c>
      <c r="C2810" t="s">
        <v>80</v>
      </c>
      <c r="D2810" t="s">
        <v>86</v>
      </c>
      <c r="E2810" t="s">
        <v>106</v>
      </c>
      <c r="F2810" t="s">
        <v>6</v>
      </c>
      <c r="G2810" t="s">
        <v>109</v>
      </c>
      <c r="H2810" s="62">
        <v>2050</v>
      </c>
      <c r="I2810">
        <v>0.55159999999999998</v>
      </c>
    </row>
    <row r="2811" spans="1:9">
      <c r="A2811" t="s">
        <v>104</v>
      </c>
      <c r="B2811" t="s">
        <v>105</v>
      </c>
      <c r="C2811" t="s">
        <v>80</v>
      </c>
      <c r="D2811" t="s">
        <v>86</v>
      </c>
      <c r="E2811" t="s">
        <v>87</v>
      </c>
      <c r="F2811" t="s">
        <v>6</v>
      </c>
      <c r="G2811" t="s">
        <v>109</v>
      </c>
      <c r="H2811" s="62">
        <v>2050</v>
      </c>
      <c r="I2811">
        <v>0.48370000000000002</v>
      </c>
    </row>
    <row r="2812" spans="1:9">
      <c r="A2812" t="s">
        <v>104</v>
      </c>
      <c r="B2812" t="s">
        <v>105</v>
      </c>
      <c r="C2812" t="s">
        <v>80</v>
      </c>
      <c r="D2812" t="s">
        <v>103</v>
      </c>
      <c r="E2812" t="s">
        <v>92</v>
      </c>
      <c r="F2812" t="s">
        <v>6</v>
      </c>
      <c r="G2812" t="s">
        <v>109</v>
      </c>
      <c r="H2812" s="62">
        <v>2050</v>
      </c>
      <c r="I2812">
        <v>0.31040000000000001</v>
      </c>
    </row>
    <row r="2813" spans="1:9">
      <c r="A2813" t="s">
        <v>104</v>
      </c>
      <c r="B2813" t="s">
        <v>105</v>
      </c>
      <c r="C2813" t="s">
        <v>80</v>
      </c>
      <c r="D2813" t="s">
        <v>103</v>
      </c>
      <c r="E2813" t="s">
        <v>89</v>
      </c>
      <c r="F2813" t="s">
        <v>6</v>
      </c>
      <c r="G2813" t="s">
        <v>109</v>
      </c>
      <c r="H2813" s="62">
        <v>2050</v>
      </c>
      <c r="I2813">
        <v>1.6737</v>
      </c>
    </row>
    <row r="2814" spans="1:9">
      <c r="A2814" t="s">
        <v>104</v>
      </c>
      <c r="B2814" t="s">
        <v>105</v>
      </c>
      <c r="C2814" t="s">
        <v>107</v>
      </c>
      <c r="D2814" t="s">
        <v>107</v>
      </c>
      <c r="E2814" t="s">
        <v>107</v>
      </c>
      <c r="F2814" t="s">
        <v>6</v>
      </c>
      <c r="G2814" t="s">
        <v>109</v>
      </c>
      <c r="H2814" s="62">
        <v>2051</v>
      </c>
      <c r="I2814">
        <v>17.171399999999998</v>
      </c>
    </row>
    <row r="2815" spans="1:9">
      <c r="A2815" t="s">
        <v>104</v>
      </c>
      <c r="B2815" t="s">
        <v>105</v>
      </c>
      <c r="C2815" t="s">
        <v>107</v>
      </c>
      <c r="D2815" t="s">
        <v>108</v>
      </c>
      <c r="E2815" t="s">
        <v>108</v>
      </c>
      <c r="F2815" t="s">
        <v>6</v>
      </c>
      <c r="G2815" t="s">
        <v>109</v>
      </c>
      <c r="H2815" s="62">
        <v>2051</v>
      </c>
      <c r="I2815">
        <v>8.4500000000000006E-2</v>
      </c>
    </row>
    <row r="2816" spans="1:9">
      <c r="A2816" t="s">
        <v>104</v>
      </c>
      <c r="B2816" t="s">
        <v>105</v>
      </c>
      <c r="C2816" t="s">
        <v>80</v>
      </c>
      <c r="D2816" t="s">
        <v>80</v>
      </c>
      <c r="E2816" t="s">
        <v>80</v>
      </c>
      <c r="F2816" t="s">
        <v>6</v>
      </c>
      <c r="G2816" t="s">
        <v>109</v>
      </c>
      <c r="H2816" s="62">
        <v>2051</v>
      </c>
      <c r="I2816">
        <v>17.0869</v>
      </c>
    </row>
    <row r="2817" spans="1:9">
      <c r="A2817" t="s">
        <v>104</v>
      </c>
      <c r="B2817" t="s">
        <v>105</v>
      </c>
      <c r="C2817" t="s">
        <v>80</v>
      </c>
      <c r="D2817" t="s">
        <v>89</v>
      </c>
      <c r="E2817" t="s">
        <v>90</v>
      </c>
      <c r="F2817" t="s">
        <v>6</v>
      </c>
      <c r="G2817" t="s">
        <v>109</v>
      </c>
      <c r="H2817" s="62">
        <v>2051</v>
      </c>
      <c r="I2817">
        <v>0.29389999999999999</v>
      </c>
    </row>
    <row r="2818" spans="1:9">
      <c r="A2818" t="s">
        <v>104</v>
      </c>
      <c r="B2818" t="s">
        <v>105</v>
      </c>
      <c r="C2818" t="s">
        <v>80</v>
      </c>
      <c r="D2818" t="s">
        <v>89</v>
      </c>
      <c r="E2818" t="s">
        <v>91</v>
      </c>
      <c r="F2818" t="s">
        <v>6</v>
      </c>
      <c r="G2818" t="s">
        <v>109</v>
      </c>
      <c r="H2818" s="62">
        <v>2051</v>
      </c>
      <c r="I2818">
        <v>-3.8100000000000002E-2</v>
      </c>
    </row>
    <row r="2819" spans="1:9">
      <c r="A2819" t="s">
        <v>104</v>
      </c>
      <c r="B2819" t="s">
        <v>105</v>
      </c>
      <c r="C2819" t="s">
        <v>80</v>
      </c>
      <c r="D2819" t="s">
        <v>92</v>
      </c>
      <c r="E2819" t="s">
        <v>93</v>
      </c>
      <c r="F2819" t="s">
        <v>6</v>
      </c>
      <c r="G2819" t="s">
        <v>109</v>
      </c>
      <c r="H2819" s="62">
        <v>2051</v>
      </c>
      <c r="I2819">
        <v>-1.0379</v>
      </c>
    </row>
    <row r="2820" spans="1:9">
      <c r="A2820" t="s">
        <v>104</v>
      </c>
      <c r="B2820" t="s">
        <v>105</v>
      </c>
      <c r="C2820" t="s">
        <v>80</v>
      </c>
      <c r="D2820" t="s">
        <v>92</v>
      </c>
      <c r="E2820" t="s">
        <v>94</v>
      </c>
      <c r="F2820" t="s">
        <v>6</v>
      </c>
      <c r="G2820" t="s">
        <v>109</v>
      </c>
      <c r="H2820" s="62">
        <v>2051</v>
      </c>
      <c r="I2820">
        <v>2.1082999999999998</v>
      </c>
    </row>
    <row r="2821" spans="1:9">
      <c r="A2821" t="s">
        <v>104</v>
      </c>
      <c r="B2821" t="s">
        <v>105</v>
      </c>
      <c r="C2821" t="s">
        <v>80</v>
      </c>
      <c r="D2821" t="s">
        <v>92</v>
      </c>
      <c r="E2821" t="s">
        <v>110</v>
      </c>
      <c r="F2821" t="s">
        <v>6</v>
      </c>
      <c r="G2821" t="s">
        <v>109</v>
      </c>
      <c r="H2821" s="62">
        <v>2051</v>
      </c>
      <c r="I2821">
        <v>0</v>
      </c>
    </row>
    <row r="2822" spans="1:9">
      <c r="A2822" t="s">
        <v>104</v>
      </c>
      <c r="B2822" t="s">
        <v>105</v>
      </c>
      <c r="C2822" t="s">
        <v>80</v>
      </c>
      <c r="D2822" t="s">
        <v>92</v>
      </c>
      <c r="E2822" t="s">
        <v>95</v>
      </c>
      <c r="F2822" t="s">
        <v>6</v>
      </c>
      <c r="G2822" t="s">
        <v>109</v>
      </c>
      <c r="H2822" s="62">
        <v>2051</v>
      </c>
      <c r="I2822">
        <v>5.8944000000000001</v>
      </c>
    </row>
    <row r="2823" spans="1:9">
      <c r="A2823" t="s">
        <v>104</v>
      </c>
      <c r="B2823" t="s">
        <v>105</v>
      </c>
      <c r="C2823" t="s">
        <v>80</v>
      </c>
      <c r="D2823" t="s">
        <v>96</v>
      </c>
      <c r="E2823" t="s">
        <v>92</v>
      </c>
      <c r="F2823" t="s">
        <v>6</v>
      </c>
      <c r="G2823" t="s">
        <v>109</v>
      </c>
      <c r="H2823" s="62">
        <v>2051</v>
      </c>
      <c r="I2823">
        <v>1.5095000000000001</v>
      </c>
    </row>
    <row r="2824" spans="1:9">
      <c r="A2824" t="s">
        <v>104</v>
      </c>
      <c r="B2824" t="s">
        <v>105</v>
      </c>
      <c r="C2824" t="s">
        <v>80</v>
      </c>
      <c r="D2824" t="s">
        <v>96</v>
      </c>
      <c r="E2824" t="s">
        <v>89</v>
      </c>
      <c r="F2824" t="s">
        <v>6</v>
      </c>
      <c r="G2824" t="s">
        <v>109</v>
      </c>
      <c r="H2824" s="62">
        <v>2051</v>
      </c>
      <c r="I2824">
        <v>7.7200000000000005E-2</v>
      </c>
    </row>
    <row r="2825" spans="1:9">
      <c r="A2825" t="s">
        <v>104</v>
      </c>
      <c r="B2825" t="s">
        <v>105</v>
      </c>
      <c r="C2825" t="s">
        <v>80</v>
      </c>
      <c r="D2825" t="s">
        <v>97</v>
      </c>
      <c r="E2825" t="s">
        <v>98</v>
      </c>
      <c r="F2825" t="s">
        <v>6</v>
      </c>
      <c r="G2825" t="s">
        <v>109</v>
      </c>
      <c r="H2825" s="62">
        <v>2051</v>
      </c>
      <c r="I2825">
        <v>1.1271</v>
      </c>
    </row>
    <row r="2826" spans="1:9">
      <c r="A2826" t="s">
        <v>104</v>
      </c>
      <c r="B2826" t="s">
        <v>105</v>
      </c>
      <c r="C2826" t="s">
        <v>80</v>
      </c>
      <c r="D2826" t="s">
        <v>97</v>
      </c>
      <c r="E2826" t="s">
        <v>99</v>
      </c>
      <c r="F2826" t="s">
        <v>6</v>
      </c>
      <c r="G2826" t="s">
        <v>109</v>
      </c>
      <c r="H2826" s="62">
        <v>2051</v>
      </c>
      <c r="I2826">
        <v>2.8199999999999999E-2</v>
      </c>
    </row>
    <row r="2827" spans="1:9">
      <c r="A2827" t="s">
        <v>104</v>
      </c>
      <c r="B2827" t="s">
        <v>105</v>
      </c>
      <c r="C2827" t="s">
        <v>80</v>
      </c>
      <c r="D2827" t="s">
        <v>100</v>
      </c>
      <c r="E2827" t="s">
        <v>101</v>
      </c>
      <c r="F2827" t="s">
        <v>6</v>
      </c>
      <c r="G2827" t="s">
        <v>109</v>
      </c>
      <c r="H2827" s="62">
        <v>2051</v>
      </c>
      <c r="I2827">
        <v>1.5880000000000001</v>
      </c>
    </row>
    <row r="2828" spans="1:9">
      <c r="A2828" t="s">
        <v>104</v>
      </c>
      <c r="B2828" t="s">
        <v>105</v>
      </c>
      <c r="C2828" t="s">
        <v>80</v>
      </c>
      <c r="D2828" t="s">
        <v>100</v>
      </c>
      <c r="E2828" t="s">
        <v>102</v>
      </c>
      <c r="F2828" t="s">
        <v>6</v>
      </c>
      <c r="G2828" t="s">
        <v>109</v>
      </c>
      <c r="H2828" s="62">
        <v>2051</v>
      </c>
      <c r="I2828">
        <v>5.0926</v>
      </c>
    </row>
    <row r="2829" spans="1:9">
      <c r="A2829" t="s">
        <v>104</v>
      </c>
      <c r="B2829" t="s">
        <v>105</v>
      </c>
      <c r="C2829" t="s">
        <v>80</v>
      </c>
      <c r="D2829" t="s">
        <v>100</v>
      </c>
      <c r="E2829" t="s">
        <v>111</v>
      </c>
      <c r="F2829" t="s">
        <v>6</v>
      </c>
      <c r="G2829" t="s">
        <v>109</v>
      </c>
      <c r="H2829" s="62">
        <v>2051</v>
      </c>
      <c r="I2829">
        <v>0</v>
      </c>
    </row>
    <row r="2830" spans="1:9">
      <c r="A2830" t="s">
        <v>104</v>
      </c>
      <c r="B2830" t="s">
        <v>105</v>
      </c>
      <c r="C2830" t="s">
        <v>80</v>
      </c>
      <c r="D2830" t="s">
        <v>100</v>
      </c>
      <c r="E2830" t="s">
        <v>112</v>
      </c>
      <c r="F2830" t="s">
        <v>6</v>
      </c>
      <c r="G2830" t="s">
        <v>109</v>
      </c>
      <c r="H2830" s="62">
        <v>2051</v>
      </c>
      <c r="I2830">
        <v>0</v>
      </c>
    </row>
    <row r="2831" spans="1:9">
      <c r="A2831" t="s">
        <v>104</v>
      </c>
      <c r="B2831" t="s">
        <v>105</v>
      </c>
      <c r="C2831" t="s">
        <v>80</v>
      </c>
      <c r="D2831" t="s">
        <v>83</v>
      </c>
      <c r="E2831" t="s">
        <v>84</v>
      </c>
      <c r="F2831" t="s">
        <v>6</v>
      </c>
      <c r="G2831" t="s">
        <v>109</v>
      </c>
      <c r="H2831" s="62">
        <v>2051</v>
      </c>
      <c r="I2831">
        <v>0.16869999999999999</v>
      </c>
    </row>
    <row r="2832" spans="1:9">
      <c r="A2832" t="s">
        <v>104</v>
      </c>
      <c r="B2832" t="s">
        <v>105</v>
      </c>
      <c r="C2832" t="s">
        <v>80</v>
      </c>
      <c r="D2832" t="s">
        <v>83</v>
      </c>
      <c r="E2832" t="s">
        <v>85</v>
      </c>
      <c r="F2832" t="s">
        <v>6</v>
      </c>
      <c r="G2832" t="s">
        <v>109</v>
      </c>
      <c r="H2832" s="62">
        <v>2051</v>
      </c>
      <c r="I2832">
        <v>0.27489999999999998</v>
      </c>
    </row>
    <row r="2833" spans="1:9">
      <c r="A2833" t="s">
        <v>104</v>
      </c>
      <c r="B2833" t="s">
        <v>105</v>
      </c>
      <c r="C2833" t="s">
        <v>80</v>
      </c>
      <c r="D2833" t="s">
        <v>86</v>
      </c>
      <c r="E2833" t="s">
        <v>106</v>
      </c>
      <c r="F2833" t="s">
        <v>6</v>
      </c>
      <c r="G2833" t="s">
        <v>109</v>
      </c>
      <c r="H2833" s="62">
        <v>2051</v>
      </c>
      <c r="I2833">
        <v>0.55459999999999998</v>
      </c>
    </row>
    <row r="2834" spans="1:9">
      <c r="A2834" t="s">
        <v>104</v>
      </c>
      <c r="B2834" t="s">
        <v>105</v>
      </c>
      <c r="C2834" t="s">
        <v>80</v>
      </c>
      <c r="D2834" t="s">
        <v>86</v>
      </c>
      <c r="E2834" t="s">
        <v>87</v>
      </c>
      <c r="F2834" t="s">
        <v>6</v>
      </c>
      <c r="G2834" t="s">
        <v>109</v>
      </c>
      <c r="H2834" s="62">
        <v>2051</v>
      </c>
      <c r="I2834">
        <v>0.52149999999999996</v>
      </c>
    </row>
    <row r="2835" spans="1:9">
      <c r="A2835" t="s">
        <v>104</v>
      </c>
      <c r="B2835" t="s">
        <v>105</v>
      </c>
      <c r="C2835" t="s">
        <v>80</v>
      </c>
      <c r="D2835" t="s">
        <v>103</v>
      </c>
      <c r="E2835" t="s">
        <v>92</v>
      </c>
      <c r="F2835" t="s">
        <v>6</v>
      </c>
      <c r="G2835" t="s">
        <v>109</v>
      </c>
      <c r="H2835" s="62">
        <v>2051</v>
      </c>
      <c r="I2835">
        <v>0.32540000000000002</v>
      </c>
    </row>
    <row r="2836" spans="1:9">
      <c r="A2836" t="s">
        <v>104</v>
      </c>
      <c r="B2836" t="s">
        <v>105</v>
      </c>
      <c r="C2836" t="s">
        <v>80</v>
      </c>
      <c r="D2836" t="s">
        <v>103</v>
      </c>
      <c r="E2836" t="s">
        <v>89</v>
      </c>
      <c r="F2836" t="s">
        <v>6</v>
      </c>
      <c r="G2836" t="s">
        <v>109</v>
      </c>
      <c r="H2836" s="62">
        <v>2051</v>
      </c>
      <c r="I2836">
        <v>1.7349000000000001</v>
      </c>
    </row>
    <row r="2837" spans="1:9">
      <c r="A2837" t="s">
        <v>104</v>
      </c>
      <c r="B2837" t="s">
        <v>105</v>
      </c>
      <c r="C2837" t="s">
        <v>107</v>
      </c>
      <c r="D2837" t="s">
        <v>107</v>
      </c>
      <c r="E2837" t="s">
        <v>107</v>
      </c>
      <c r="F2837" t="s">
        <v>6</v>
      </c>
      <c r="G2837" t="s">
        <v>109</v>
      </c>
      <c r="H2837" s="62">
        <v>2052</v>
      </c>
      <c r="I2837">
        <v>16.9222</v>
      </c>
    </row>
    <row r="2838" spans="1:9">
      <c r="A2838" t="s">
        <v>104</v>
      </c>
      <c r="B2838" t="s">
        <v>105</v>
      </c>
      <c r="C2838" t="s">
        <v>107</v>
      </c>
      <c r="D2838" t="s">
        <v>108</v>
      </c>
      <c r="E2838" t="s">
        <v>108</v>
      </c>
      <c r="F2838" t="s">
        <v>6</v>
      </c>
      <c r="G2838" t="s">
        <v>109</v>
      </c>
      <c r="H2838" s="62">
        <v>2052</v>
      </c>
      <c r="I2838">
        <v>8.1900000000000001E-2</v>
      </c>
    </row>
    <row r="2839" spans="1:9">
      <c r="A2839" t="s">
        <v>104</v>
      </c>
      <c r="B2839" t="s">
        <v>105</v>
      </c>
      <c r="C2839" t="s">
        <v>80</v>
      </c>
      <c r="D2839" t="s">
        <v>80</v>
      </c>
      <c r="E2839" t="s">
        <v>80</v>
      </c>
      <c r="F2839" t="s">
        <v>6</v>
      </c>
      <c r="G2839" t="s">
        <v>109</v>
      </c>
      <c r="H2839" s="62">
        <v>2052</v>
      </c>
      <c r="I2839">
        <v>16.840399999999999</v>
      </c>
    </row>
    <row r="2840" spans="1:9">
      <c r="A2840" t="s">
        <v>104</v>
      </c>
      <c r="B2840" t="s">
        <v>105</v>
      </c>
      <c r="C2840" t="s">
        <v>80</v>
      </c>
      <c r="D2840" t="s">
        <v>89</v>
      </c>
      <c r="E2840" t="s">
        <v>90</v>
      </c>
      <c r="F2840" t="s">
        <v>6</v>
      </c>
      <c r="G2840" t="s">
        <v>109</v>
      </c>
      <c r="H2840" s="62">
        <v>2052</v>
      </c>
      <c r="I2840">
        <v>0.24160000000000001</v>
      </c>
    </row>
    <row r="2841" spans="1:9">
      <c r="A2841" t="s">
        <v>104</v>
      </c>
      <c r="B2841" t="s">
        <v>105</v>
      </c>
      <c r="C2841" t="s">
        <v>80</v>
      </c>
      <c r="D2841" t="s">
        <v>89</v>
      </c>
      <c r="E2841" t="s">
        <v>91</v>
      </c>
      <c r="F2841" t="s">
        <v>6</v>
      </c>
      <c r="G2841" t="s">
        <v>109</v>
      </c>
      <c r="H2841" s="62">
        <v>2052</v>
      </c>
      <c r="I2841">
        <v>-3.2500000000000001E-2</v>
      </c>
    </row>
    <row r="2842" spans="1:9">
      <c r="A2842" t="s">
        <v>104</v>
      </c>
      <c r="B2842" t="s">
        <v>105</v>
      </c>
      <c r="C2842" t="s">
        <v>80</v>
      </c>
      <c r="D2842" t="s">
        <v>92</v>
      </c>
      <c r="E2842" t="s">
        <v>93</v>
      </c>
      <c r="F2842" t="s">
        <v>6</v>
      </c>
      <c r="G2842" t="s">
        <v>109</v>
      </c>
      <c r="H2842" s="62">
        <v>2052</v>
      </c>
      <c r="I2842">
        <v>-1.0762</v>
      </c>
    </row>
    <row r="2843" spans="1:9">
      <c r="A2843" t="s">
        <v>104</v>
      </c>
      <c r="B2843" t="s">
        <v>105</v>
      </c>
      <c r="C2843" t="s">
        <v>80</v>
      </c>
      <c r="D2843" t="s">
        <v>92</v>
      </c>
      <c r="E2843" t="s">
        <v>94</v>
      </c>
      <c r="F2843" t="s">
        <v>6</v>
      </c>
      <c r="G2843" t="s">
        <v>109</v>
      </c>
      <c r="H2843" s="62">
        <v>2052</v>
      </c>
      <c r="I2843">
        <v>2.0989</v>
      </c>
    </row>
    <row r="2844" spans="1:9">
      <c r="A2844" t="s">
        <v>104</v>
      </c>
      <c r="B2844" t="s">
        <v>105</v>
      </c>
      <c r="C2844" t="s">
        <v>80</v>
      </c>
      <c r="D2844" t="s">
        <v>92</v>
      </c>
      <c r="E2844" t="s">
        <v>110</v>
      </c>
      <c r="F2844" t="s">
        <v>6</v>
      </c>
      <c r="G2844" t="s">
        <v>109</v>
      </c>
      <c r="H2844" s="62">
        <v>2052</v>
      </c>
      <c r="I2844">
        <v>0</v>
      </c>
    </row>
    <row r="2845" spans="1:9">
      <c r="A2845" t="s">
        <v>104</v>
      </c>
      <c r="B2845" t="s">
        <v>105</v>
      </c>
      <c r="C2845" t="s">
        <v>80</v>
      </c>
      <c r="D2845" t="s">
        <v>92</v>
      </c>
      <c r="E2845" t="s">
        <v>95</v>
      </c>
      <c r="F2845" t="s">
        <v>6</v>
      </c>
      <c r="G2845" t="s">
        <v>109</v>
      </c>
      <c r="H2845" s="62">
        <v>2052</v>
      </c>
      <c r="I2845">
        <v>5.8975999999999997</v>
      </c>
    </row>
    <row r="2846" spans="1:9">
      <c r="A2846" t="s">
        <v>104</v>
      </c>
      <c r="B2846" t="s">
        <v>105</v>
      </c>
      <c r="C2846" t="s">
        <v>80</v>
      </c>
      <c r="D2846" t="s">
        <v>96</v>
      </c>
      <c r="E2846" t="s">
        <v>92</v>
      </c>
      <c r="F2846" t="s">
        <v>6</v>
      </c>
      <c r="G2846" t="s">
        <v>109</v>
      </c>
      <c r="H2846" s="62">
        <v>2052</v>
      </c>
      <c r="I2846">
        <v>1.224</v>
      </c>
    </row>
    <row r="2847" spans="1:9">
      <c r="A2847" t="s">
        <v>104</v>
      </c>
      <c r="B2847" t="s">
        <v>105</v>
      </c>
      <c r="C2847" t="s">
        <v>80</v>
      </c>
      <c r="D2847" t="s">
        <v>96</v>
      </c>
      <c r="E2847" t="s">
        <v>89</v>
      </c>
      <c r="F2847" t="s">
        <v>6</v>
      </c>
      <c r="G2847" t="s">
        <v>109</v>
      </c>
      <c r="H2847" s="62">
        <v>2052</v>
      </c>
      <c r="I2847">
        <v>7.8200000000000006E-2</v>
      </c>
    </row>
    <row r="2848" spans="1:9">
      <c r="A2848" t="s">
        <v>104</v>
      </c>
      <c r="B2848" t="s">
        <v>105</v>
      </c>
      <c r="C2848" t="s">
        <v>80</v>
      </c>
      <c r="D2848" t="s">
        <v>97</v>
      </c>
      <c r="E2848" t="s">
        <v>98</v>
      </c>
      <c r="F2848" t="s">
        <v>6</v>
      </c>
      <c r="G2848" t="s">
        <v>109</v>
      </c>
      <c r="H2848" s="62">
        <v>2052</v>
      </c>
      <c r="I2848">
        <v>1.1911</v>
      </c>
    </row>
    <row r="2849" spans="1:9">
      <c r="A2849" t="s">
        <v>104</v>
      </c>
      <c r="B2849" t="s">
        <v>105</v>
      </c>
      <c r="C2849" t="s">
        <v>80</v>
      </c>
      <c r="D2849" t="s">
        <v>97</v>
      </c>
      <c r="E2849" t="s">
        <v>99</v>
      </c>
      <c r="F2849" t="s">
        <v>6</v>
      </c>
      <c r="G2849" t="s">
        <v>109</v>
      </c>
      <c r="H2849" s="62">
        <v>2052</v>
      </c>
      <c r="I2849">
        <v>2.9700000000000001E-2</v>
      </c>
    </row>
    <row r="2850" spans="1:9">
      <c r="A2850" t="s">
        <v>104</v>
      </c>
      <c r="B2850" t="s">
        <v>105</v>
      </c>
      <c r="C2850" t="s">
        <v>80</v>
      </c>
      <c r="D2850" t="s">
        <v>100</v>
      </c>
      <c r="E2850" t="s">
        <v>101</v>
      </c>
      <c r="F2850" t="s">
        <v>6</v>
      </c>
      <c r="G2850" t="s">
        <v>109</v>
      </c>
      <c r="H2850" s="62">
        <v>2052</v>
      </c>
      <c r="I2850">
        <v>1.5883</v>
      </c>
    </row>
    <row r="2851" spans="1:9">
      <c r="A2851" t="s">
        <v>104</v>
      </c>
      <c r="B2851" t="s">
        <v>105</v>
      </c>
      <c r="C2851" t="s">
        <v>80</v>
      </c>
      <c r="D2851" t="s">
        <v>100</v>
      </c>
      <c r="E2851" t="s">
        <v>102</v>
      </c>
      <c r="F2851" t="s">
        <v>6</v>
      </c>
      <c r="G2851" t="s">
        <v>109</v>
      </c>
      <c r="H2851" s="62">
        <v>2052</v>
      </c>
      <c r="I2851">
        <v>5.1721000000000004</v>
      </c>
    </row>
    <row r="2852" spans="1:9">
      <c r="A2852" t="s">
        <v>104</v>
      </c>
      <c r="B2852" t="s">
        <v>105</v>
      </c>
      <c r="C2852" t="s">
        <v>80</v>
      </c>
      <c r="D2852" t="s">
        <v>100</v>
      </c>
      <c r="E2852" t="s">
        <v>111</v>
      </c>
      <c r="F2852" t="s">
        <v>6</v>
      </c>
      <c r="G2852" t="s">
        <v>109</v>
      </c>
      <c r="H2852" s="62">
        <v>2052</v>
      </c>
      <c r="I2852">
        <v>0</v>
      </c>
    </row>
    <row r="2853" spans="1:9">
      <c r="A2853" t="s">
        <v>104</v>
      </c>
      <c r="B2853" t="s">
        <v>105</v>
      </c>
      <c r="C2853" t="s">
        <v>80</v>
      </c>
      <c r="D2853" t="s">
        <v>100</v>
      </c>
      <c r="E2853" t="s">
        <v>112</v>
      </c>
      <c r="F2853" t="s">
        <v>6</v>
      </c>
      <c r="G2853" t="s">
        <v>109</v>
      </c>
      <c r="H2853" s="62">
        <v>2052</v>
      </c>
      <c r="I2853">
        <v>0</v>
      </c>
    </row>
    <row r="2854" spans="1:9">
      <c r="A2854" t="s">
        <v>104</v>
      </c>
      <c r="B2854" t="s">
        <v>105</v>
      </c>
      <c r="C2854" t="s">
        <v>80</v>
      </c>
      <c r="D2854" t="s">
        <v>83</v>
      </c>
      <c r="E2854" t="s">
        <v>84</v>
      </c>
      <c r="F2854" t="s">
        <v>6</v>
      </c>
      <c r="G2854" t="s">
        <v>109</v>
      </c>
      <c r="H2854" s="62">
        <v>2052</v>
      </c>
      <c r="I2854">
        <v>0.1595</v>
      </c>
    </row>
    <row r="2855" spans="1:9">
      <c r="A2855" t="s">
        <v>104</v>
      </c>
      <c r="B2855" t="s">
        <v>105</v>
      </c>
      <c r="C2855" t="s">
        <v>80</v>
      </c>
      <c r="D2855" t="s">
        <v>83</v>
      </c>
      <c r="E2855" t="s">
        <v>85</v>
      </c>
      <c r="F2855" t="s">
        <v>6</v>
      </c>
      <c r="G2855" t="s">
        <v>109</v>
      </c>
      <c r="H2855" s="62">
        <v>2052</v>
      </c>
      <c r="I2855">
        <v>0.26800000000000002</v>
      </c>
    </row>
    <row r="2856" spans="1:9">
      <c r="A2856" t="s">
        <v>104</v>
      </c>
      <c r="B2856" t="s">
        <v>105</v>
      </c>
      <c r="C2856" t="s">
        <v>80</v>
      </c>
      <c r="D2856" t="s">
        <v>86</v>
      </c>
      <c r="E2856" t="s">
        <v>106</v>
      </c>
      <c r="F2856" t="s">
        <v>6</v>
      </c>
      <c r="G2856" t="s">
        <v>109</v>
      </c>
      <c r="H2856" s="62">
        <v>2052</v>
      </c>
      <c r="I2856">
        <v>0.55910000000000004</v>
      </c>
    </row>
    <row r="2857" spans="1:9">
      <c r="A2857" t="s">
        <v>104</v>
      </c>
      <c r="B2857" t="s">
        <v>105</v>
      </c>
      <c r="C2857" t="s">
        <v>80</v>
      </c>
      <c r="D2857" t="s">
        <v>86</v>
      </c>
      <c r="E2857" t="s">
        <v>87</v>
      </c>
      <c r="F2857" t="s">
        <v>6</v>
      </c>
      <c r="G2857" t="s">
        <v>109</v>
      </c>
      <c r="H2857" s="62">
        <v>2052</v>
      </c>
      <c r="I2857">
        <v>0.54959999999999998</v>
      </c>
    </row>
    <row r="2858" spans="1:9">
      <c r="A2858" t="s">
        <v>104</v>
      </c>
      <c r="B2858" t="s">
        <v>105</v>
      </c>
      <c r="C2858" t="s">
        <v>80</v>
      </c>
      <c r="D2858" t="s">
        <v>103</v>
      </c>
      <c r="E2858" t="s">
        <v>92</v>
      </c>
      <c r="F2858" t="s">
        <v>6</v>
      </c>
      <c r="G2858" t="s">
        <v>109</v>
      </c>
      <c r="H2858" s="62">
        <v>2052</v>
      </c>
      <c r="I2858">
        <v>0.34100000000000003</v>
      </c>
    </row>
    <row r="2859" spans="1:9">
      <c r="A2859" t="s">
        <v>104</v>
      </c>
      <c r="B2859" t="s">
        <v>105</v>
      </c>
      <c r="C2859" t="s">
        <v>80</v>
      </c>
      <c r="D2859" t="s">
        <v>103</v>
      </c>
      <c r="E2859" t="s">
        <v>89</v>
      </c>
      <c r="F2859" t="s">
        <v>6</v>
      </c>
      <c r="G2859" t="s">
        <v>109</v>
      </c>
      <c r="H2859" s="62">
        <v>2052</v>
      </c>
      <c r="I2859">
        <v>1.7951999999999999</v>
      </c>
    </row>
    <row r="2860" spans="1:9">
      <c r="A2860" t="s">
        <v>104</v>
      </c>
      <c r="B2860" t="s">
        <v>105</v>
      </c>
      <c r="C2860" t="s">
        <v>107</v>
      </c>
      <c r="D2860" t="s">
        <v>107</v>
      </c>
      <c r="E2860" t="s">
        <v>107</v>
      </c>
      <c r="F2860" t="s">
        <v>6</v>
      </c>
      <c r="G2860" t="s">
        <v>109</v>
      </c>
      <c r="H2860" s="62">
        <v>2053</v>
      </c>
      <c r="I2860">
        <v>16.618099999999998</v>
      </c>
    </row>
    <row r="2861" spans="1:9">
      <c r="A2861" t="s">
        <v>104</v>
      </c>
      <c r="B2861" t="s">
        <v>105</v>
      </c>
      <c r="C2861" t="s">
        <v>107</v>
      </c>
      <c r="D2861" t="s">
        <v>108</v>
      </c>
      <c r="E2861" t="s">
        <v>108</v>
      </c>
      <c r="F2861" t="s">
        <v>6</v>
      </c>
      <c r="G2861" t="s">
        <v>109</v>
      </c>
      <c r="H2861" s="62">
        <v>2053</v>
      </c>
      <c r="I2861">
        <v>7.9299999999999995E-2</v>
      </c>
    </row>
    <row r="2862" spans="1:9">
      <c r="A2862" t="s">
        <v>104</v>
      </c>
      <c r="B2862" t="s">
        <v>105</v>
      </c>
      <c r="C2862" t="s">
        <v>80</v>
      </c>
      <c r="D2862" t="s">
        <v>80</v>
      </c>
      <c r="E2862" t="s">
        <v>80</v>
      </c>
      <c r="F2862" t="s">
        <v>6</v>
      </c>
      <c r="G2862" t="s">
        <v>109</v>
      </c>
      <c r="H2862" s="62">
        <v>2053</v>
      </c>
      <c r="I2862">
        <v>16.538799999999998</v>
      </c>
    </row>
    <row r="2863" spans="1:9">
      <c r="A2863" t="s">
        <v>104</v>
      </c>
      <c r="B2863" t="s">
        <v>105</v>
      </c>
      <c r="C2863" t="s">
        <v>80</v>
      </c>
      <c r="D2863" t="s">
        <v>89</v>
      </c>
      <c r="E2863" t="s">
        <v>90</v>
      </c>
      <c r="F2863" t="s">
        <v>6</v>
      </c>
      <c r="G2863" t="s">
        <v>109</v>
      </c>
      <c r="H2863" s="62">
        <v>2053</v>
      </c>
      <c r="I2863">
        <v>0.18509999999999999</v>
      </c>
    </row>
    <row r="2864" spans="1:9">
      <c r="A2864" t="s">
        <v>104</v>
      </c>
      <c r="B2864" t="s">
        <v>105</v>
      </c>
      <c r="C2864" t="s">
        <v>80</v>
      </c>
      <c r="D2864" t="s">
        <v>89</v>
      </c>
      <c r="E2864" t="s">
        <v>91</v>
      </c>
      <c r="F2864" t="s">
        <v>6</v>
      </c>
      <c r="G2864" t="s">
        <v>109</v>
      </c>
      <c r="H2864" s="62">
        <v>2053</v>
      </c>
      <c r="I2864">
        <v>-2.5700000000000001E-2</v>
      </c>
    </row>
    <row r="2865" spans="1:9">
      <c r="A2865" t="s">
        <v>104</v>
      </c>
      <c r="B2865" t="s">
        <v>105</v>
      </c>
      <c r="C2865" t="s">
        <v>80</v>
      </c>
      <c r="D2865" t="s">
        <v>92</v>
      </c>
      <c r="E2865" t="s">
        <v>93</v>
      </c>
      <c r="F2865" t="s">
        <v>6</v>
      </c>
      <c r="G2865" t="s">
        <v>109</v>
      </c>
      <c r="H2865" s="62">
        <v>2053</v>
      </c>
      <c r="I2865">
        <v>-1.1087</v>
      </c>
    </row>
    <row r="2866" spans="1:9">
      <c r="A2866" t="s">
        <v>104</v>
      </c>
      <c r="B2866" t="s">
        <v>105</v>
      </c>
      <c r="C2866" t="s">
        <v>80</v>
      </c>
      <c r="D2866" t="s">
        <v>92</v>
      </c>
      <c r="E2866" t="s">
        <v>94</v>
      </c>
      <c r="F2866" t="s">
        <v>6</v>
      </c>
      <c r="G2866" t="s">
        <v>109</v>
      </c>
      <c r="H2866" s="62">
        <v>2053</v>
      </c>
      <c r="I2866">
        <v>2.0882999999999998</v>
      </c>
    </row>
    <row r="2867" spans="1:9">
      <c r="A2867" t="s">
        <v>104</v>
      </c>
      <c r="B2867" t="s">
        <v>105</v>
      </c>
      <c r="C2867" t="s">
        <v>80</v>
      </c>
      <c r="D2867" t="s">
        <v>92</v>
      </c>
      <c r="E2867" t="s">
        <v>110</v>
      </c>
      <c r="F2867" t="s">
        <v>6</v>
      </c>
      <c r="G2867" t="s">
        <v>109</v>
      </c>
      <c r="H2867" s="62">
        <v>2053</v>
      </c>
      <c r="I2867">
        <v>0</v>
      </c>
    </row>
    <row r="2868" spans="1:9">
      <c r="A2868" t="s">
        <v>104</v>
      </c>
      <c r="B2868" t="s">
        <v>105</v>
      </c>
      <c r="C2868" t="s">
        <v>80</v>
      </c>
      <c r="D2868" t="s">
        <v>92</v>
      </c>
      <c r="E2868" t="s">
        <v>95</v>
      </c>
      <c r="F2868" t="s">
        <v>6</v>
      </c>
      <c r="G2868" t="s">
        <v>109</v>
      </c>
      <c r="H2868" s="62">
        <v>2053</v>
      </c>
      <c r="I2868">
        <v>5.9015000000000004</v>
      </c>
    </row>
    <row r="2869" spans="1:9">
      <c r="A2869" t="s">
        <v>104</v>
      </c>
      <c r="B2869" t="s">
        <v>105</v>
      </c>
      <c r="C2869" t="s">
        <v>80</v>
      </c>
      <c r="D2869" t="s">
        <v>96</v>
      </c>
      <c r="E2869" t="s">
        <v>92</v>
      </c>
      <c r="F2869" t="s">
        <v>6</v>
      </c>
      <c r="G2869" t="s">
        <v>109</v>
      </c>
      <c r="H2869" s="62">
        <v>2053</v>
      </c>
      <c r="I2869">
        <v>0.95250000000000001</v>
      </c>
    </row>
    <row r="2870" spans="1:9">
      <c r="A2870" t="s">
        <v>104</v>
      </c>
      <c r="B2870" t="s">
        <v>105</v>
      </c>
      <c r="C2870" t="s">
        <v>80</v>
      </c>
      <c r="D2870" t="s">
        <v>96</v>
      </c>
      <c r="E2870" t="s">
        <v>89</v>
      </c>
      <c r="F2870" t="s">
        <v>6</v>
      </c>
      <c r="G2870" t="s">
        <v>109</v>
      </c>
      <c r="H2870" s="62">
        <v>2053</v>
      </c>
      <c r="I2870">
        <v>7.9600000000000004E-2</v>
      </c>
    </row>
    <row r="2871" spans="1:9">
      <c r="A2871" t="s">
        <v>104</v>
      </c>
      <c r="B2871" t="s">
        <v>105</v>
      </c>
      <c r="C2871" t="s">
        <v>80</v>
      </c>
      <c r="D2871" t="s">
        <v>97</v>
      </c>
      <c r="E2871" t="s">
        <v>98</v>
      </c>
      <c r="F2871" t="s">
        <v>6</v>
      </c>
      <c r="G2871" t="s">
        <v>109</v>
      </c>
      <c r="H2871" s="62">
        <v>2053</v>
      </c>
      <c r="I2871">
        <v>1.2473000000000001</v>
      </c>
    </row>
    <row r="2872" spans="1:9">
      <c r="A2872" t="s">
        <v>104</v>
      </c>
      <c r="B2872" t="s">
        <v>105</v>
      </c>
      <c r="C2872" t="s">
        <v>80</v>
      </c>
      <c r="D2872" t="s">
        <v>97</v>
      </c>
      <c r="E2872" t="s">
        <v>99</v>
      </c>
      <c r="F2872" t="s">
        <v>6</v>
      </c>
      <c r="G2872" t="s">
        <v>109</v>
      </c>
      <c r="H2872" s="62">
        <v>2053</v>
      </c>
      <c r="I2872">
        <v>3.1E-2</v>
      </c>
    </row>
    <row r="2873" spans="1:9">
      <c r="A2873" t="s">
        <v>104</v>
      </c>
      <c r="B2873" t="s">
        <v>105</v>
      </c>
      <c r="C2873" t="s">
        <v>80</v>
      </c>
      <c r="D2873" t="s">
        <v>100</v>
      </c>
      <c r="E2873" t="s">
        <v>101</v>
      </c>
      <c r="F2873" t="s">
        <v>6</v>
      </c>
      <c r="G2873" t="s">
        <v>109</v>
      </c>
      <c r="H2873" s="62">
        <v>2053</v>
      </c>
      <c r="I2873">
        <v>1.6044</v>
      </c>
    </row>
    <row r="2874" spans="1:9">
      <c r="A2874" t="s">
        <v>104</v>
      </c>
      <c r="B2874" t="s">
        <v>105</v>
      </c>
      <c r="C2874" t="s">
        <v>80</v>
      </c>
      <c r="D2874" t="s">
        <v>100</v>
      </c>
      <c r="E2874" t="s">
        <v>102</v>
      </c>
      <c r="F2874" t="s">
        <v>6</v>
      </c>
      <c r="G2874" t="s">
        <v>109</v>
      </c>
      <c r="H2874" s="62">
        <v>2053</v>
      </c>
      <c r="I2874">
        <v>5.1721000000000004</v>
      </c>
    </row>
    <row r="2875" spans="1:9">
      <c r="A2875" t="s">
        <v>104</v>
      </c>
      <c r="B2875" t="s">
        <v>105</v>
      </c>
      <c r="C2875" t="s">
        <v>80</v>
      </c>
      <c r="D2875" t="s">
        <v>100</v>
      </c>
      <c r="E2875" t="s">
        <v>111</v>
      </c>
      <c r="F2875" t="s">
        <v>6</v>
      </c>
      <c r="G2875" t="s">
        <v>109</v>
      </c>
      <c r="H2875" s="62">
        <v>2053</v>
      </c>
      <c r="I2875">
        <v>0</v>
      </c>
    </row>
    <row r="2876" spans="1:9">
      <c r="A2876" t="s">
        <v>104</v>
      </c>
      <c r="B2876" t="s">
        <v>105</v>
      </c>
      <c r="C2876" t="s">
        <v>80</v>
      </c>
      <c r="D2876" t="s">
        <v>100</v>
      </c>
      <c r="E2876" t="s">
        <v>112</v>
      </c>
      <c r="F2876" t="s">
        <v>6</v>
      </c>
      <c r="G2876" t="s">
        <v>109</v>
      </c>
      <c r="H2876" s="62">
        <v>2053</v>
      </c>
      <c r="I2876">
        <v>0</v>
      </c>
    </row>
    <row r="2877" spans="1:9">
      <c r="A2877" t="s">
        <v>104</v>
      </c>
      <c r="B2877" t="s">
        <v>105</v>
      </c>
      <c r="C2877" t="s">
        <v>80</v>
      </c>
      <c r="D2877" t="s">
        <v>83</v>
      </c>
      <c r="E2877" t="s">
        <v>84</v>
      </c>
      <c r="F2877" t="s">
        <v>6</v>
      </c>
      <c r="G2877" t="s">
        <v>109</v>
      </c>
      <c r="H2877" s="62">
        <v>2053</v>
      </c>
      <c r="I2877">
        <v>0.15029999999999999</v>
      </c>
    </row>
    <row r="2878" spans="1:9">
      <c r="A2878" t="s">
        <v>104</v>
      </c>
      <c r="B2878" t="s">
        <v>105</v>
      </c>
      <c r="C2878" t="s">
        <v>80</v>
      </c>
      <c r="D2878" t="s">
        <v>83</v>
      </c>
      <c r="E2878" t="s">
        <v>85</v>
      </c>
      <c r="F2878" t="s">
        <v>6</v>
      </c>
      <c r="G2878" t="s">
        <v>109</v>
      </c>
      <c r="H2878" s="62">
        <v>2053</v>
      </c>
      <c r="I2878">
        <v>0.2611</v>
      </c>
    </row>
    <row r="2879" spans="1:9">
      <c r="A2879" t="s">
        <v>104</v>
      </c>
      <c r="B2879" t="s">
        <v>105</v>
      </c>
      <c r="C2879" t="s">
        <v>80</v>
      </c>
      <c r="D2879" t="s">
        <v>86</v>
      </c>
      <c r="E2879" t="s">
        <v>106</v>
      </c>
      <c r="F2879" t="s">
        <v>6</v>
      </c>
      <c r="G2879" t="s">
        <v>109</v>
      </c>
      <c r="H2879" s="62">
        <v>2053</v>
      </c>
      <c r="I2879">
        <v>0.5605</v>
      </c>
    </row>
    <row r="2880" spans="1:9">
      <c r="A2880" t="s">
        <v>104</v>
      </c>
      <c r="B2880" t="s">
        <v>105</v>
      </c>
      <c r="C2880" t="s">
        <v>80</v>
      </c>
      <c r="D2880" t="s">
        <v>86</v>
      </c>
      <c r="E2880" t="s">
        <v>87</v>
      </c>
      <c r="F2880" t="s">
        <v>6</v>
      </c>
      <c r="G2880" t="s">
        <v>109</v>
      </c>
      <c r="H2880" s="62">
        <v>2053</v>
      </c>
      <c r="I2880">
        <v>0.57389999999999997</v>
      </c>
    </row>
    <row r="2881" spans="1:9">
      <c r="A2881" t="s">
        <v>104</v>
      </c>
      <c r="B2881" t="s">
        <v>105</v>
      </c>
      <c r="C2881" t="s">
        <v>80</v>
      </c>
      <c r="D2881" t="s">
        <v>103</v>
      </c>
      <c r="E2881" t="s">
        <v>92</v>
      </c>
      <c r="F2881" t="s">
        <v>6</v>
      </c>
      <c r="G2881" t="s">
        <v>109</v>
      </c>
      <c r="H2881" s="62">
        <v>2053</v>
      </c>
      <c r="I2881">
        <v>0.35639999999999999</v>
      </c>
    </row>
    <row r="2882" spans="1:9">
      <c r="A2882" t="s">
        <v>104</v>
      </c>
      <c r="B2882" t="s">
        <v>105</v>
      </c>
      <c r="C2882" t="s">
        <v>80</v>
      </c>
      <c r="D2882" t="s">
        <v>103</v>
      </c>
      <c r="E2882" t="s">
        <v>89</v>
      </c>
      <c r="F2882" t="s">
        <v>6</v>
      </c>
      <c r="G2882" t="s">
        <v>109</v>
      </c>
      <c r="H2882" s="62">
        <v>2053</v>
      </c>
      <c r="I2882">
        <v>1.8537999999999999</v>
      </c>
    </row>
    <row r="2883" spans="1:9">
      <c r="A2883" t="s">
        <v>104</v>
      </c>
      <c r="B2883" t="s">
        <v>105</v>
      </c>
      <c r="C2883" t="s">
        <v>107</v>
      </c>
      <c r="D2883" t="s">
        <v>107</v>
      </c>
      <c r="E2883" t="s">
        <v>107</v>
      </c>
      <c r="F2883" t="s">
        <v>6</v>
      </c>
      <c r="G2883" t="s">
        <v>109</v>
      </c>
      <c r="H2883" s="62">
        <v>2054</v>
      </c>
      <c r="I2883">
        <v>16.405999999999999</v>
      </c>
    </row>
    <row r="2884" spans="1:9">
      <c r="A2884" t="s">
        <v>104</v>
      </c>
      <c r="B2884" t="s">
        <v>105</v>
      </c>
      <c r="C2884" t="s">
        <v>107</v>
      </c>
      <c r="D2884" t="s">
        <v>108</v>
      </c>
      <c r="E2884" t="s">
        <v>108</v>
      </c>
      <c r="F2884" t="s">
        <v>6</v>
      </c>
      <c r="G2884" t="s">
        <v>109</v>
      </c>
      <c r="H2884" s="62">
        <v>2054</v>
      </c>
      <c r="I2884">
        <v>7.7600000000000002E-2</v>
      </c>
    </row>
    <row r="2885" spans="1:9">
      <c r="A2885" t="s">
        <v>104</v>
      </c>
      <c r="B2885" t="s">
        <v>105</v>
      </c>
      <c r="C2885" t="s">
        <v>80</v>
      </c>
      <c r="D2885" t="s">
        <v>80</v>
      </c>
      <c r="E2885" t="s">
        <v>80</v>
      </c>
      <c r="F2885" t="s">
        <v>6</v>
      </c>
      <c r="G2885" t="s">
        <v>109</v>
      </c>
      <c r="H2885" s="62">
        <v>2054</v>
      </c>
      <c r="I2885">
        <v>16.328499999999998</v>
      </c>
    </row>
    <row r="2886" spans="1:9">
      <c r="A2886" t="s">
        <v>104</v>
      </c>
      <c r="B2886" t="s">
        <v>105</v>
      </c>
      <c r="C2886" t="s">
        <v>80</v>
      </c>
      <c r="D2886" t="s">
        <v>89</v>
      </c>
      <c r="E2886" t="s">
        <v>90</v>
      </c>
      <c r="F2886" t="s">
        <v>6</v>
      </c>
      <c r="G2886" t="s">
        <v>109</v>
      </c>
      <c r="H2886" s="62">
        <v>2054</v>
      </c>
      <c r="I2886">
        <v>0.13739999999999999</v>
      </c>
    </row>
    <row r="2887" spans="1:9">
      <c r="A2887" t="s">
        <v>104</v>
      </c>
      <c r="B2887" t="s">
        <v>105</v>
      </c>
      <c r="C2887" t="s">
        <v>80</v>
      </c>
      <c r="D2887" t="s">
        <v>89</v>
      </c>
      <c r="E2887" t="s">
        <v>91</v>
      </c>
      <c r="F2887" t="s">
        <v>6</v>
      </c>
      <c r="G2887" t="s">
        <v>109</v>
      </c>
      <c r="H2887" s="62">
        <v>2054</v>
      </c>
      <c r="I2887">
        <v>-1.9699999999999999E-2</v>
      </c>
    </row>
    <row r="2888" spans="1:9">
      <c r="A2888" t="s">
        <v>104</v>
      </c>
      <c r="B2888" t="s">
        <v>105</v>
      </c>
      <c r="C2888" t="s">
        <v>80</v>
      </c>
      <c r="D2888" t="s">
        <v>92</v>
      </c>
      <c r="E2888" t="s">
        <v>93</v>
      </c>
      <c r="F2888" t="s">
        <v>6</v>
      </c>
      <c r="G2888" t="s">
        <v>109</v>
      </c>
      <c r="H2888" s="62">
        <v>2054</v>
      </c>
      <c r="I2888">
        <v>-1.1442000000000001</v>
      </c>
    </row>
    <row r="2889" spans="1:9">
      <c r="A2889" t="s">
        <v>104</v>
      </c>
      <c r="B2889" t="s">
        <v>105</v>
      </c>
      <c r="C2889" t="s">
        <v>80</v>
      </c>
      <c r="D2889" t="s">
        <v>92</v>
      </c>
      <c r="E2889" t="s">
        <v>94</v>
      </c>
      <c r="F2889" t="s">
        <v>6</v>
      </c>
      <c r="G2889" t="s">
        <v>109</v>
      </c>
      <c r="H2889" s="62">
        <v>2054</v>
      </c>
      <c r="I2889">
        <v>2.0806</v>
      </c>
    </row>
    <row r="2890" spans="1:9">
      <c r="A2890" t="s">
        <v>104</v>
      </c>
      <c r="B2890" t="s">
        <v>105</v>
      </c>
      <c r="C2890" t="s">
        <v>80</v>
      </c>
      <c r="D2890" t="s">
        <v>92</v>
      </c>
      <c r="E2890" t="s">
        <v>110</v>
      </c>
      <c r="F2890" t="s">
        <v>6</v>
      </c>
      <c r="G2890" t="s">
        <v>109</v>
      </c>
      <c r="H2890" s="62">
        <v>2054</v>
      </c>
      <c r="I2890">
        <v>0</v>
      </c>
    </row>
    <row r="2891" spans="1:9">
      <c r="A2891" t="s">
        <v>104</v>
      </c>
      <c r="B2891" t="s">
        <v>105</v>
      </c>
      <c r="C2891" t="s">
        <v>80</v>
      </c>
      <c r="D2891" t="s">
        <v>92</v>
      </c>
      <c r="E2891" t="s">
        <v>95</v>
      </c>
      <c r="F2891" t="s">
        <v>6</v>
      </c>
      <c r="G2891" t="s">
        <v>109</v>
      </c>
      <c r="H2891" s="62">
        <v>2054</v>
      </c>
      <c r="I2891">
        <v>5.9059999999999997</v>
      </c>
    </row>
    <row r="2892" spans="1:9">
      <c r="A2892" t="s">
        <v>104</v>
      </c>
      <c r="B2892" t="s">
        <v>105</v>
      </c>
      <c r="C2892" t="s">
        <v>80</v>
      </c>
      <c r="D2892" t="s">
        <v>96</v>
      </c>
      <c r="E2892" t="s">
        <v>92</v>
      </c>
      <c r="F2892" t="s">
        <v>6</v>
      </c>
      <c r="G2892" t="s">
        <v>109</v>
      </c>
      <c r="H2892" s="62">
        <v>2054</v>
      </c>
      <c r="I2892">
        <v>0.76990000000000003</v>
      </c>
    </row>
    <row r="2893" spans="1:9">
      <c r="A2893" t="s">
        <v>104</v>
      </c>
      <c r="B2893" t="s">
        <v>105</v>
      </c>
      <c r="C2893" t="s">
        <v>80</v>
      </c>
      <c r="D2893" t="s">
        <v>96</v>
      </c>
      <c r="E2893" t="s">
        <v>89</v>
      </c>
      <c r="F2893" t="s">
        <v>6</v>
      </c>
      <c r="G2893" t="s">
        <v>109</v>
      </c>
      <c r="H2893" s="62">
        <v>2054</v>
      </c>
      <c r="I2893">
        <v>8.09E-2</v>
      </c>
    </row>
    <row r="2894" spans="1:9">
      <c r="A2894" t="s">
        <v>104</v>
      </c>
      <c r="B2894" t="s">
        <v>105</v>
      </c>
      <c r="C2894" t="s">
        <v>80</v>
      </c>
      <c r="D2894" t="s">
        <v>97</v>
      </c>
      <c r="E2894" t="s">
        <v>98</v>
      </c>
      <c r="F2894" t="s">
        <v>6</v>
      </c>
      <c r="G2894" t="s">
        <v>109</v>
      </c>
      <c r="H2894" s="62">
        <v>2054</v>
      </c>
      <c r="I2894">
        <v>1.3072999999999999</v>
      </c>
    </row>
    <row r="2895" spans="1:9">
      <c r="A2895" t="s">
        <v>104</v>
      </c>
      <c r="B2895" t="s">
        <v>105</v>
      </c>
      <c r="C2895" t="s">
        <v>80</v>
      </c>
      <c r="D2895" t="s">
        <v>97</v>
      </c>
      <c r="E2895" t="s">
        <v>99</v>
      </c>
      <c r="F2895" t="s">
        <v>6</v>
      </c>
      <c r="G2895" t="s">
        <v>109</v>
      </c>
      <c r="H2895" s="62">
        <v>2054</v>
      </c>
      <c r="I2895">
        <v>3.2399999999999998E-2</v>
      </c>
    </row>
    <row r="2896" spans="1:9">
      <c r="A2896" t="s">
        <v>104</v>
      </c>
      <c r="B2896" t="s">
        <v>105</v>
      </c>
      <c r="C2896" t="s">
        <v>80</v>
      </c>
      <c r="D2896" t="s">
        <v>100</v>
      </c>
      <c r="E2896" t="s">
        <v>101</v>
      </c>
      <c r="F2896" t="s">
        <v>6</v>
      </c>
      <c r="G2896" t="s">
        <v>109</v>
      </c>
      <c r="H2896" s="62">
        <v>2054</v>
      </c>
      <c r="I2896">
        <v>1.6044</v>
      </c>
    </row>
    <row r="2897" spans="1:9">
      <c r="A2897" t="s">
        <v>104</v>
      </c>
      <c r="B2897" t="s">
        <v>105</v>
      </c>
      <c r="C2897" t="s">
        <v>80</v>
      </c>
      <c r="D2897" t="s">
        <v>100</v>
      </c>
      <c r="E2897" t="s">
        <v>102</v>
      </c>
      <c r="F2897" t="s">
        <v>6</v>
      </c>
      <c r="G2897" t="s">
        <v>109</v>
      </c>
      <c r="H2897" s="62">
        <v>2054</v>
      </c>
      <c r="I2897">
        <v>5.1721000000000004</v>
      </c>
    </row>
    <row r="2898" spans="1:9">
      <c r="A2898" t="s">
        <v>104</v>
      </c>
      <c r="B2898" t="s">
        <v>105</v>
      </c>
      <c r="C2898" t="s">
        <v>80</v>
      </c>
      <c r="D2898" t="s">
        <v>100</v>
      </c>
      <c r="E2898" t="s">
        <v>111</v>
      </c>
      <c r="F2898" t="s">
        <v>6</v>
      </c>
      <c r="G2898" t="s">
        <v>109</v>
      </c>
      <c r="H2898" s="62">
        <v>2054</v>
      </c>
      <c r="I2898">
        <v>0</v>
      </c>
    </row>
    <row r="2899" spans="1:9">
      <c r="A2899" t="s">
        <v>104</v>
      </c>
      <c r="B2899" t="s">
        <v>105</v>
      </c>
      <c r="C2899" t="s">
        <v>80</v>
      </c>
      <c r="D2899" t="s">
        <v>100</v>
      </c>
      <c r="E2899" t="s">
        <v>112</v>
      </c>
      <c r="F2899" t="s">
        <v>6</v>
      </c>
      <c r="G2899" t="s">
        <v>109</v>
      </c>
      <c r="H2899" s="62">
        <v>2054</v>
      </c>
      <c r="I2899">
        <v>0</v>
      </c>
    </row>
    <row r="2900" spans="1:9">
      <c r="A2900" t="s">
        <v>104</v>
      </c>
      <c r="B2900" t="s">
        <v>105</v>
      </c>
      <c r="C2900" t="s">
        <v>80</v>
      </c>
      <c r="D2900" t="s">
        <v>83</v>
      </c>
      <c r="E2900" t="s">
        <v>84</v>
      </c>
      <c r="F2900" t="s">
        <v>6</v>
      </c>
      <c r="G2900" t="s">
        <v>109</v>
      </c>
      <c r="H2900" s="62">
        <v>2054</v>
      </c>
      <c r="I2900">
        <v>0.14460000000000001</v>
      </c>
    </row>
    <row r="2901" spans="1:9">
      <c r="A2901" t="s">
        <v>104</v>
      </c>
      <c r="B2901" t="s">
        <v>105</v>
      </c>
      <c r="C2901" t="s">
        <v>80</v>
      </c>
      <c r="D2901" t="s">
        <v>83</v>
      </c>
      <c r="E2901" t="s">
        <v>85</v>
      </c>
      <c r="F2901" t="s">
        <v>6</v>
      </c>
      <c r="G2901" t="s">
        <v>109</v>
      </c>
      <c r="H2901" s="62">
        <v>2054</v>
      </c>
      <c r="I2901">
        <v>0.25679999999999997</v>
      </c>
    </row>
    <row r="2902" spans="1:9">
      <c r="A2902" t="s">
        <v>104</v>
      </c>
      <c r="B2902" t="s">
        <v>105</v>
      </c>
      <c r="C2902" t="s">
        <v>80</v>
      </c>
      <c r="D2902" t="s">
        <v>86</v>
      </c>
      <c r="E2902" t="s">
        <v>106</v>
      </c>
      <c r="F2902" t="s">
        <v>6</v>
      </c>
      <c r="G2902" t="s">
        <v>109</v>
      </c>
      <c r="H2902" s="62">
        <v>2054</v>
      </c>
      <c r="I2902">
        <v>0.5635</v>
      </c>
    </row>
    <row r="2903" spans="1:9">
      <c r="A2903" t="s">
        <v>104</v>
      </c>
      <c r="B2903" t="s">
        <v>105</v>
      </c>
      <c r="C2903" t="s">
        <v>80</v>
      </c>
      <c r="D2903" t="s">
        <v>86</v>
      </c>
      <c r="E2903" t="s">
        <v>87</v>
      </c>
      <c r="F2903" t="s">
        <v>6</v>
      </c>
      <c r="G2903" t="s">
        <v>109</v>
      </c>
      <c r="H2903" s="62">
        <v>2054</v>
      </c>
      <c r="I2903">
        <v>0.60040000000000004</v>
      </c>
    </row>
    <row r="2904" spans="1:9">
      <c r="A2904" t="s">
        <v>104</v>
      </c>
      <c r="B2904" t="s">
        <v>105</v>
      </c>
      <c r="C2904" t="s">
        <v>80</v>
      </c>
      <c r="D2904" t="s">
        <v>103</v>
      </c>
      <c r="E2904" t="s">
        <v>92</v>
      </c>
      <c r="F2904" t="s">
        <v>6</v>
      </c>
      <c r="G2904" t="s">
        <v>109</v>
      </c>
      <c r="H2904" s="62">
        <v>2054</v>
      </c>
      <c r="I2904">
        <v>0.37069999999999997</v>
      </c>
    </row>
    <row r="2905" spans="1:9">
      <c r="A2905" t="s">
        <v>104</v>
      </c>
      <c r="B2905" t="s">
        <v>105</v>
      </c>
      <c r="C2905" t="s">
        <v>80</v>
      </c>
      <c r="D2905" t="s">
        <v>103</v>
      </c>
      <c r="E2905" t="s">
        <v>89</v>
      </c>
      <c r="F2905" t="s">
        <v>6</v>
      </c>
      <c r="G2905" t="s">
        <v>109</v>
      </c>
      <c r="H2905" s="62">
        <v>2054</v>
      </c>
      <c r="I2905">
        <v>1.9060999999999999</v>
      </c>
    </row>
    <row r="2906" spans="1:9">
      <c r="A2906" t="s">
        <v>104</v>
      </c>
      <c r="B2906" t="s">
        <v>105</v>
      </c>
      <c r="C2906" t="s">
        <v>107</v>
      </c>
      <c r="D2906" t="s">
        <v>108</v>
      </c>
      <c r="E2906" t="s">
        <v>108</v>
      </c>
      <c r="F2906" t="s">
        <v>4</v>
      </c>
      <c r="G2906" t="s">
        <v>82</v>
      </c>
      <c r="H2906" s="62">
        <v>2019</v>
      </c>
      <c r="I2906">
        <v>2.6524000000000001</v>
      </c>
    </row>
    <row r="2907" spans="1:9">
      <c r="A2907" t="s">
        <v>104</v>
      </c>
      <c r="B2907" t="s">
        <v>105</v>
      </c>
      <c r="C2907" t="s">
        <v>80</v>
      </c>
      <c r="D2907" t="s">
        <v>80</v>
      </c>
      <c r="E2907" t="s">
        <v>80</v>
      </c>
      <c r="F2907" t="s">
        <v>4</v>
      </c>
      <c r="G2907" t="s">
        <v>82</v>
      </c>
      <c r="H2907" s="62">
        <v>2019</v>
      </c>
      <c r="I2907">
        <v>42.057200000000002</v>
      </c>
    </row>
    <row r="2908" spans="1:9">
      <c r="A2908" t="s">
        <v>104</v>
      </c>
      <c r="B2908" t="s">
        <v>105</v>
      </c>
      <c r="C2908" t="s">
        <v>80</v>
      </c>
      <c r="D2908" t="s">
        <v>83</v>
      </c>
      <c r="E2908" t="s">
        <v>84</v>
      </c>
      <c r="F2908" t="s">
        <v>4</v>
      </c>
      <c r="G2908" t="s">
        <v>82</v>
      </c>
      <c r="H2908" s="62">
        <v>2019</v>
      </c>
      <c r="I2908">
        <v>1.7995000000000001</v>
      </c>
    </row>
    <row r="2909" spans="1:9">
      <c r="A2909" t="s">
        <v>104</v>
      </c>
      <c r="B2909" t="s">
        <v>105</v>
      </c>
      <c r="C2909" t="s">
        <v>80</v>
      </c>
      <c r="D2909" t="s">
        <v>83</v>
      </c>
      <c r="E2909" t="s">
        <v>85</v>
      </c>
      <c r="F2909" t="s">
        <v>4</v>
      </c>
      <c r="G2909" t="s">
        <v>82</v>
      </c>
      <c r="H2909" s="62">
        <v>2019</v>
      </c>
      <c r="I2909">
        <v>0.75280000000000002</v>
      </c>
    </row>
    <row r="2910" spans="1:9">
      <c r="A2910" t="s">
        <v>104</v>
      </c>
      <c r="B2910" t="s">
        <v>105</v>
      </c>
      <c r="C2910" t="s">
        <v>80</v>
      </c>
      <c r="D2910" t="s">
        <v>86</v>
      </c>
      <c r="E2910" t="s">
        <v>106</v>
      </c>
      <c r="F2910" t="s">
        <v>4</v>
      </c>
      <c r="G2910" t="s">
        <v>82</v>
      </c>
      <c r="H2910" s="62">
        <v>2019</v>
      </c>
      <c r="I2910">
        <v>0.92110000000000003</v>
      </c>
    </row>
    <row r="2911" spans="1:9">
      <c r="A2911" t="s">
        <v>104</v>
      </c>
      <c r="B2911" t="s">
        <v>105</v>
      </c>
      <c r="C2911" t="s">
        <v>80</v>
      </c>
      <c r="D2911" t="s">
        <v>86</v>
      </c>
      <c r="E2911" t="s">
        <v>87</v>
      </c>
      <c r="F2911" t="s">
        <v>4</v>
      </c>
      <c r="G2911" t="s">
        <v>82</v>
      </c>
      <c r="H2911" s="62">
        <v>2019</v>
      </c>
      <c r="I2911">
        <v>0.1356</v>
      </c>
    </row>
    <row r="2912" spans="1:9">
      <c r="A2912" t="s">
        <v>104</v>
      </c>
      <c r="B2912" t="s">
        <v>105</v>
      </c>
      <c r="C2912" t="s">
        <v>107</v>
      </c>
      <c r="D2912" t="s">
        <v>108</v>
      </c>
      <c r="E2912" t="s">
        <v>108</v>
      </c>
      <c r="F2912" t="s">
        <v>4</v>
      </c>
      <c r="G2912" t="s">
        <v>82</v>
      </c>
      <c r="H2912" s="62">
        <v>2020</v>
      </c>
      <c r="I2912">
        <v>2.6055999999999999</v>
      </c>
    </row>
    <row r="2913" spans="1:9">
      <c r="A2913" t="s">
        <v>104</v>
      </c>
      <c r="B2913" t="s">
        <v>105</v>
      </c>
      <c r="C2913" t="s">
        <v>80</v>
      </c>
      <c r="D2913" t="s">
        <v>80</v>
      </c>
      <c r="E2913" t="s">
        <v>80</v>
      </c>
      <c r="F2913" t="s">
        <v>4</v>
      </c>
      <c r="G2913" t="s">
        <v>82</v>
      </c>
      <c r="H2913" s="62">
        <v>2020</v>
      </c>
      <c r="I2913">
        <v>41.782400000000003</v>
      </c>
    </row>
    <row r="2914" spans="1:9">
      <c r="A2914" t="s">
        <v>104</v>
      </c>
      <c r="B2914" t="s">
        <v>105</v>
      </c>
      <c r="C2914" t="s">
        <v>80</v>
      </c>
      <c r="D2914" t="s">
        <v>83</v>
      </c>
      <c r="E2914" t="s">
        <v>84</v>
      </c>
      <c r="F2914" t="s">
        <v>4</v>
      </c>
      <c r="G2914" t="s">
        <v>82</v>
      </c>
      <c r="H2914" s="62">
        <v>2020</v>
      </c>
      <c r="I2914">
        <v>1.7246999999999999</v>
      </c>
    </row>
    <row r="2915" spans="1:9">
      <c r="A2915" t="s">
        <v>104</v>
      </c>
      <c r="B2915" t="s">
        <v>105</v>
      </c>
      <c r="C2915" t="s">
        <v>80</v>
      </c>
      <c r="D2915" t="s">
        <v>83</v>
      </c>
      <c r="E2915" t="s">
        <v>85</v>
      </c>
      <c r="F2915" t="s">
        <v>4</v>
      </c>
      <c r="G2915" t="s">
        <v>82</v>
      </c>
      <c r="H2915" s="62">
        <v>2020</v>
      </c>
      <c r="I2915">
        <v>0.83150000000000002</v>
      </c>
    </row>
    <row r="2916" spans="1:9">
      <c r="A2916" t="s">
        <v>104</v>
      </c>
      <c r="B2916" t="s">
        <v>105</v>
      </c>
      <c r="C2916" t="s">
        <v>80</v>
      </c>
      <c r="D2916" t="s">
        <v>86</v>
      </c>
      <c r="E2916" t="s">
        <v>106</v>
      </c>
      <c r="F2916" t="s">
        <v>4</v>
      </c>
      <c r="G2916" t="s">
        <v>82</v>
      </c>
      <c r="H2916" s="62">
        <v>2020</v>
      </c>
      <c r="I2916">
        <v>0.84599999999999997</v>
      </c>
    </row>
    <row r="2917" spans="1:9">
      <c r="A2917" t="s">
        <v>104</v>
      </c>
      <c r="B2917" t="s">
        <v>105</v>
      </c>
      <c r="C2917" t="s">
        <v>80</v>
      </c>
      <c r="D2917" t="s">
        <v>86</v>
      </c>
      <c r="E2917" t="s">
        <v>87</v>
      </c>
      <c r="F2917" t="s">
        <v>4</v>
      </c>
      <c r="G2917" t="s">
        <v>82</v>
      </c>
      <c r="H2917" s="62">
        <v>2020</v>
      </c>
      <c r="I2917">
        <v>0.22700000000000001</v>
      </c>
    </row>
    <row r="2918" spans="1:9">
      <c r="A2918" t="s">
        <v>104</v>
      </c>
      <c r="B2918" t="s">
        <v>105</v>
      </c>
      <c r="C2918" t="s">
        <v>107</v>
      </c>
      <c r="D2918" t="s">
        <v>108</v>
      </c>
      <c r="E2918" t="s">
        <v>108</v>
      </c>
      <c r="F2918" t="s">
        <v>4</v>
      </c>
      <c r="G2918" t="s">
        <v>82</v>
      </c>
      <c r="H2918" s="62">
        <v>2021</v>
      </c>
      <c r="I2918">
        <v>2.6267</v>
      </c>
    </row>
    <row r="2919" spans="1:9">
      <c r="A2919" t="s">
        <v>104</v>
      </c>
      <c r="B2919" t="s">
        <v>105</v>
      </c>
      <c r="C2919" t="s">
        <v>80</v>
      </c>
      <c r="D2919" t="s">
        <v>80</v>
      </c>
      <c r="E2919" t="s">
        <v>80</v>
      </c>
      <c r="F2919" t="s">
        <v>4</v>
      </c>
      <c r="G2919" t="s">
        <v>82</v>
      </c>
      <c r="H2919" s="62">
        <v>2021</v>
      </c>
      <c r="I2919">
        <v>40.798699999999997</v>
      </c>
    </row>
    <row r="2920" spans="1:9">
      <c r="A2920" t="s">
        <v>104</v>
      </c>
      <c r="B2920" t="s">
        <v>105</v>
      </c>
      <c r="C2920" t="s">
        <v>80</v>
      </c>
      <c r="D2920" t="s">
        <v>83</v>
      </c>
      <c r="E2920" t="s">
        <v>84</v>
      </c>
      <c r="F2920" t="s">
        <v>4</v>
      </c>
      <c r="G2920" t="s">
        <v>82</v>
      </c>
      <c r="H2920" s="62">
        <v>2021</v>
      </c>
      <c r="I2920">
        <v>1.6536999999999999</v>
      </c>
    </row>
    <row r="2921" spans="1:9">
      <c r="A2921" t="s">
        <v>104</v>
      </c>
      <c r="B2921" t="s">
        <v>105</v>
      </c>
      <c r="C2921" t="s">
        <v>80</v>
      </c>
      <c r="D2921" t="s">
        <v>83</v>
      </c>
      <c r="E2921" t="s">
        <v>85</v>
      </c>
      <c r="F2921" t="s">
        <v>4</v>
      </c>
      <c r="G2921" t="s">
        <v>82</v>
      </c>
      <c r="H2921" s="62">
        <v>2021</v>
      </c>
      <c r="I2921">
        <v>0.87309999999999999</v>
      </c>
    </row>
    <row r="2922" spans="1:9">
      <c r="A2922" t="s">
        <v>104</v>
      </c>
      <c r="B2922" t="s">
        <v>105</v>
      </c>
      <c r="C2922" t="s">
        <v>80</v>
      </c>
      <c r="D2922" t="s">
        <v>86</v>
      </c>
      <c r="E2922" t="s">
        <v>106</v>
      </c>
      <c r="F2922" t="s">
        <v>4</v>
      </c>
      <c r="G2922" t="s">
        <v>82</v>
      </c>
      <c r="H2922" s="62">
        <v>2021</v>
      </c>
      <c r="I2922">
        <v>0.79830000000000001</v>
      </c>
    </row>
    <row r="2923" spans="1:9">
      <c r="A2923" t="s">
        <v>104</v>
      </c>
      <c r="B2923" t="s">
        <v>105</v>
      </c>
      <c r="C2923" t="s">
        <v>80</v>
      </c>
      <c r="D2923" t="s">
        <v>86</v>
      </c>
      <c r="E2923" t="s">
        <v>87</v>
      </c>
      <c r="F2923" t="s">
        <v>4</v>
      </c>
      <c r="G2923" t="s">
        <v>82</v>
      </c>
      <c r="H2923" s="62">
        <v>2021</v>
      </c>
      <c r="I2923">
        <v>0.39910000000000001</v>
      </c>
    </row>
    <row r="2924" spans="1:9">
      <c r="A2924" t="s">
        <v>104</v>
      </c>
      <c r="B2924" t="s">
        <v>105</v>
      </c>
      <c r="C2924" t="s">
        <v>107</v>
      </c>
      <c r="D2924" t="s">
        <v>108</v>
      </c>
      <c r="E2924" t="s">
        <v>108</v>
      </c>
      <c r="F2924" t="s">
        <v>4</v>
      </c>
      <c r="G2924" t="s">
        <v>82</v>
      </c>
      <c r="H2924" s="62">
        <v>2022</v>
      </c>
      <c r="I2924">
        <v>2.5246</v>
      </c>
    </row>
    <row r="2925" spans="1:9">
      <c r="A2925" t="s">
        <v>104</v>
      </c>
      <c r="B2925" t="s">
        <v>105</v>
      </c>
      <c r="C2925" t="s">
        <v>80</v>
      </c>
      <c r="D2925" t="s">
        <v>80</v>
      </c>
      <c r="E2925" t="s">
        <v>80</v>
      </c>
      <c r="F2925" t="s">
        <v>4</v>
      </c>
      <c r="G2925" t="s">
        <v>82</v>
      </c>
      <c r="H2925" s="62">
        <v>2022</v>
      </c>
      <c r="I2925">
        <v>41.106400000000001</v>
      </c>
    </row>
    <row r="2926" spans="1:9">
      <c r="A2926" t="s">
        <v>104</v>
      </c>
      <c r="B2926" t="s">
        <v>105</v>
      </c>
      <c r="C2926" t="s">
        <v>80</v>
      </c>
      <c r="D2926" t="s">
        <v>83</v>
      </c>
      <c r="E2926" t="s">
        <v>84</v>
      </c>
      <c r="F2926" t="s">
        <v>4</v>
      </c>
      <c r="G2926" t="s">
        <v>82</v>
      </c>
      <c r="H2926" s="62">
        <v>2022</v>
      </c>
      <c r="I2926">
        <v>1.6313</v>
      </c>
    </row>
    <row r="2927" spans="1:9">
      <c r="A2927" t="s">
        <v>104</v>
      </c>
      <c r="B2927" t="s">
        <v>105</v>
      </c>
      <c r="C2927" t="s">
        <v>80</v>
      </c>
      <c r="D2927" t="s">
        <v>83</v>
      </c>
      <c r="E2927" t="s">
        <v>85</v>
      </c>
      <c r="F2927" t="s">
        <v>4</v>
      </c>
      <c r="G2927" t="s">
        <v>82</v>
      </c>
      <c r="H2927" s="62">
        <v>2022</v>
      </c>
      <c r="I2927">
        <v>0.92079999999999995</v>
      </c>
    </row>
    <row r="2928" spans="1:9">
      <c r="A2928" t="s">
        <v>104</v>
      </c>
      <c r="B2928" t="s">
        <v>105</v>
      </c>
      <c r="C2928" t="s">
        <v>80</v>
      </c>
      <c r="D2928" t="s">
        <v>86</v>
      </c>
      <c r="E2928" t="s">
        <v>106</v>
      </c>
      <c r="F2928" t="s">
        <v>4</v>
      </c>
      <c r="G2928" t="s">
        <v>82</v>
      </c>
      <c r="H2928" s="62">
        <v>2022</v>
      </c>
      <c r="I2928">
        <v>0.85050000000000003</v>
      </c>
    </row>
    <row r="2929" spans="1:9">
      <c r="A2929" t="s">
        <v>104</v>
      </c>
      <c r="B2929" t="s">
        <v>105</v>
      </c>
      <c r="C2929" t="s">
        <v>80</v>
      </c>
      <c r="D2929" t="s">
        <v>86</v>
      </c>
      <c r="E2929" t="s">
        <v>87</v>
      </c>
      <c r="F2929" t="s">
        <v>4</v>
      </c>
      <c r="G2929" t="s">
        <v>82</v>
      </c>
      <c r="H2929" s="62">
        <v>2022</v>
      </c>
      <c r="I2929">
        <v>0.52869999999999995</v>
      </c>
    </row>
    <row r="2930" spans="1:9">
      <c r="A2930" t="s">
        <v>104</v>
      </c>
      <c r="B2930" t="s">
        <v>105</v>
      </c>
      <c r="C2930" t="s">
        <v>107</v>
      </c>
      <c r="D2930" t="s">
        <v>108</v>
      </c>
      <c r="E2930" t="s">
        <v>108</v>
      </c>
      <c r="F2930" t="s">
        <v>4</v>
      </c>
      <c r="G2930" t="s">
        <v>82</v>
      </c>
      <c r="H2930" s="62">
        <v>2023</v>
      </c>
      <c r="I2930">
        <v>2.4268999999999998</v>
      </c>
    </row>
    <row r="2931" spans="1:9">
      <c r="A2931" t="s">
        <v>104</v>
      </c>
      <c r="B2931" t="s">
        <v>105</v>
      </c>
      <c r="C2931" t="s">
        <v>80</v>
      </c>
      <c r="D2931" t="s">
        <v>80</v>
      </c>
      <c r="E2931" t="s">
        <v>80</v>
      </c>
      <c r="F2931" t="s">
        <v>4</v>
      </c>
      <c r="G2931" t="s">
        <v>82</v>
      </c>
      <c r="H2931" s="62">
        <v>2023</v>
      </c>
      <c r="I2931">
        <v>41.053199999999997</v>
      </c>
    </row>
    <row r="2932" spans="1:9">
      <c r="A2932" t="s">
        <v>104</v>
      </c>
      <c r="B2932" t="s">
        <v>105</v>
      </c>
      <c r="C2932" t="s">
        <v>80</v>
      </c>
      <c r="D2932" t="s">
        <v>83</v>
      </c>
      <c r="E2932" t="s">
        <v>84</v>
      </c>
      <c r="F2932" t="s">
        <v>4</v>
      </c>
      <c r="G2932" t="s">
        <v>82</v>
      </c>
      <c r="H2932" s="62">
        <v>2023</v>
      </c>
      <c r="I2932">
        <v>1.5838000000000001</v>
      </c>
    </row>
    <row r="2933" spans="1:9">
      <c r="A2933" t="s">
        <v>104</v>
      </c>
      <c r="B2933" t="s">
        <v>105</v>
      </c>
      <c r="C2933" t="s">
        <v>80</v>
      </c>
      <c r="D2933" t="s">
        <v>83</v>
      </c>
      <c r="E2933" t="s">
        <v>85</v>
      </c>
      <c r="F2933" t="s">
        <v>4</v>
      </c>
      <c r="G2933" t="s">
        <v>82</v>
      </c>
      <c r="H2933" s="62">
        <v>2023</v>
      </c>
      <c r="I2933">
        <v>0.91959999999999997</v>
      </c>
    </row>
    <row r="2934" spans="1:9">
      <c r="A2934" t="s">
        <v>104</v>
      </c>
      <c r="B2934" t="s">
        <v>105</v>
      </c>
      <c r="C2934" t="s">
        <v>80</v>
      </c>
      <c r="D2934" t="s">
        <v>86</v>
      </c>
      <c r="E2934" t="s">
        <v>106</v>
      </c>
      <c r="F2934" t="s">
        <v>4</v>
      </c>
      <c r="G2934" t="s">
        <v>82</v>
      </c>
      <c r="H2934" s="62">
        <v>2023</v>
      </c>
      <c r="I2934">
        <v>0.82889999999999997</v>
      </c>
    </row>
    <row r="2935" spans="1:9">
      <c r="A2935" t="s">
        <v>104</v>
      </c>
      <c r="B2935" t="s">
        <v>105</v>
      </c>
      <c r="C2935" t="s">
        <v>80</v>
      </c>
      <c r="D2935" t="s">
        <v>86</v>
      </c>
      <c r="E2935" t="s">
        <v>87</v>
      </c>
      <c r="F2935" t="s">
        <v>4</v>
      </c>
      <c r="G2935" t="s">
        <v>82</v>
      </c>
      <c r="H2935" s="62">
        <v>2023</v>
      </c>
      <c r="I2935">
        <v>0.58140000000000003</v>
      </c>
    </row>
    <row r="2936" spans="1:9">
      <c r="A2936" t="s">
        <v>104</v>
      </c>
      <c r="B2936" t="s">
        <v>105</v>
      </c>
      <c r="C2936" t="s">
        <v>107</v>
      </c>
      <c r="D2936" t="s">
        <v>108</v>
      </c>
      <c r="E2936" t="s">
        <v>108</v>
      </c>
      <c r="F2936" t="s">
        <v>4</v>
      </c>
      <c r="G2936" t="s">
        <v>82</v>
      </c>
      <c r="H2936" s="62">
        <v>2024</v>
      </c>
      <c r="I2936">
        <v>2.4499</v>
      </c>
    </row>
    <row r="2937" spans="1:9">
      <c r="A2937" t="s">
        <v>104</v>
      </c>
      <c r="B2937" t="s">
        <v>105</v>
      </c>
      <c r="C2937" t="s">
        <v>80</v>
      </c>
      <c r="D2937" t="s">
        <v>80</v>
      </c>
      <c r="E2937" t="s">
        <v>80</v>
      </c>
      <c r="F2937" t="s">
        <v>4</v>
      </c>
      <c r="G2937" t="s">
        <v>82</v>
      </c>
      <c r="H2937" s="62">
        <v>2024</v>
      </c>
      <c r="I2937">
        <v>39.602600000000002</v>
      </c>
    </row>
    <row r="2938" spans="1:9">
      <c r="A2938" t="s">
        <v>104</v>
      </c>
      <c r="B2938" t="s">
        <v>105</v>
      </c>
      <c r="C2938" t="s">
        <v>80</v>
      </c>
      <c r="D2938" t="s">
        <v>83</v>
      </c>
      <c r="E2938" t="s">
        <v>84</v>
      </c>
      <c r="F2938" t="s">
        <v>4</v>
      </c>
      <c r="G2938" t="s">
        <v>82</v>
      </c>
      <c r="H2938" s="62">
        <v>2024</v>
      </c>
      <c r="I2938">
        <v>1.5382</v>
      </c>
    </row>
    <row r="2939" spans="1:9">
      <c r="A2939" t="s">
        <v>104</v>
      </c>
      <c r="B2939" t="s">
        <v>105</v>
      </c>
      <c r="C2939" t="s">
        <v>80</v>
      </c>
      <c r="D2939" t="s">
        <v>83</v>
      </c>
      <c r="E2939" t="s">
        <v>85</v>
      </c>
      <c r="F2939" t="s">
        <v>4</v>
      </c>
      <c r="G2939" t="s">
        <v>82</v>
      </c>
      <c r="H2939" s="62">
        <v>2024</v>
      </c>
      <c r="I2939">
        <v>0.8871</v>
      </c>
    </row>
    <row r="2940" spans="1:9">
      <c r="A2940" t="s">
        <v>104</v>
      </c>
      <c r="B2940" t="s">
        <v>105</v>
      </c>
      <c r="C2940" t="s">
        <v>80</v>
      </c>
      <c r="D2940" t="s">
        <v>86</v>
      </c>
      <c r="E2940" t="s">
        <v>106</v>
      </c>
      <c r="F2940" t="s">
        <v>4</v>
      </c>
      <c r="G2940" t="s">
        <v>82</v>
      </c>
      <c r="H2940" s="62">
        <v>2024</v>
      </c>
      <c r="I2940">
        <v>0.82189999999999996</v>
      </c>
    </row>
    <row r="2941" spans="1:9">
      <c r="A2941" t="s">
        <v>104</v>
      </c>
      <c r="B2941" t="s">
        <v>105</v>
      </c>
      <c r="C2941" t="s">
        <v>80</v>
      </c>
      <c r="D2941" t="s">
        <v>86</v>
      </c>
      <c r="E2941" t="s">
        <v>87</v>
      </c>
      <c r="F2941" t="s">
        <v>4</v>
      </c>
      <c r="G2941" t="s">
        <v>82</v>
      </c>
      <c r="H2941" s="62">
        <v>2024</v>
      </c>
      <c r="I2941">
        <v>0.67020000000000002</v>
      </c>
    </row>
    <row r="2942" spans="1:9">
      <c r="A2942" t="s">
        <v>104</v>
      </c>
      <c r="B2942" t="s">
        <v>105</v>
      </c>
      <c r="C2942" t="s">
        <v>107</v>
      </c>
      <c r="D2942" t="s">
        <v>107</v>
      </c>
      <c r="E2942" t="s">
        <v>107</v>
      </c>
      <c r="F2942" t="s">
        <v>4</v>
      </c>
      <c r="G2942" t="s">
        <v>109</v>
      </c>
      <c r="H2942" s="62">
        <v>2025</v>
      </c>
      <c r="I2942">
        <v>42.739400000000003</v>
      </c>
    </row>
    <row r="2943" spans="1:9">
      <c r="A2943" t="s">
        <v>104</v>
      </c>
      <c r="B2943" t="s">
        <v>105</v>
      </c>
      <c r="C2943" t="s">
        <v>107</v>
      </c>
      <c r="D2943" t="s">
        <v>108</v>
      </c>
      <c r="E2943" t="s">
        <v>108</v>
      </c>
      <c r="F2943" t="s">
        <v>4</v>
      </c>
      <c r="G2943" t="s">
        <v>109</v>
      </c>
      <c r="H2943" s="62">
        <v>2025</v>
      </c>
      <c r="I2943">
        <v>2.4754</v>
      </c>
    </row>
    <row r="2944" spans="1:9">
      <c r="A2944" t="s">
        <v>104</v>
      </c>
      <c r="B2944" t="s">
        <v>105</v>
      </c>
      <c r="C2944" t="s">
        <v>80</v>
      </c>
      <c r="D2944" t="s">
        <v>80</v>
      </c>
      <c r="E2944" t="s">
        <v>80</v>
      </c>
      <c r="F2944" t="s">
        <v>4</v>
      </c>
      <c r="G2944" t="s">
        <v>109</v>
      </c>
      <c r="H2944" s="62">
        <v>2025</v>
      </c>
      <c r="I2944">
        <v>40.264000000000003</v>
      </c>
    </row>
    <row r="2945" spans="1:9">
      <c r="A2945" t="s">
        <v>104</v>
      </c>
      <c r="B2945" t="s">
        <v>105</v>
      </c>
      <c r="C2945" t="s">
        <v>80</v>
      </c>
      <c r="D2945" t="s">
        <v>89</v>
      </c>
      <c r="E2945" t="s">
        <v>90</v>
      </c>
      <c r="F2945" t="s">
        <v>4</v>
      </c>
      <c r="G2945" t="s">
        <v>109</v>
      </c>
      <c r="H2945" s="62">
        <v>2025</v>
      </c>
      <c r="I2945">
        <v>9.2072000000000003</v>
      </c>
    </row>
    <row r="2946" spans="1:9">
      <c r="A2946" t="s">
        <v>104</v>
      </c>
      <c r="B2946" t="s">
        <v>105</v>
      </c>
      <c r="C2946" t="s">
        <v>80</v>
      </c>
      <c r="D2946" t="s">
        <v>89</v>
      </c>
      <c r="E2946" t="s">
        <v>91</v>
      </c>
      <c r="F2946" t="s">
        <v>4</v>
      </c>
      <c r="G2946" t="s">
        <v>109</v>
      </c>
      <c r="H2946" s="62">
        <v>2025</v>
      </c>
      <c r="I2946">
        <v>-0.37590000000000001</v>
      </c>
    </row>
    <row r="2947" spans="1:9">
      <c r="A2947" t="s">
        <v>104</v>
      </c>
      <c r="B2947" t="s">
        <v>105</v>
      </c>
      <c r="C2947" t="s">
        <v>80</v>
      </c>
      <c r="D2947" t="s">
        <v>92</v>
      </c>
      <c r="E2947" t="s">
        <v>93</v>
      </c>
      <c r="F2947" t="s">
        <v>4</v>
      </c>
      <c r="G2947" t="s">
        <v>109</v>
      </c>
      <c r="H2947" s="62">
        <v>2025</v>
      </c>
      <c r="I2947">
        <v>-1.2230000000000001</v>
      </c>
    </row>
    <row r="2948" spans="1:9">
      <c r="A2948" t="s">
        <v>104</v>
      </c>
      <c r="B2948" t="s">
        <v>105</v>
      </c>
      <c r="C2948" t="s">
        <v>80</v>
      </c>
      <c r="D2948" t="s">
        <v>92</v>
      </c>
      <c r="E2948" t="s">
        <v>94</v>
      </c>
      <c r="F2948" t="s">
        <v>4</v>
      </c>
      <c r="G2948" t="s">
        <v>109</v>
      </c>
      <c r="H2948" s="62">
        <v>2025</v>
      </c>
      <c r="I2948">
        <v>23.1462</v>
      </c>
    </row>
    <row r="2949" spans="1:9">
      <c r="A2949" t="s">
        <v>104</v>
      </c>
      <c r="B2949" t="s">
        <v>105</v>
      </c>
      <c r="C2949" t="s">
        <v>80</v>
      </c>
      <c r="D2949" t="s">
        <v>92</v>
      </c>
      <c r="E2949" t="s">
        <v>110</v>
      </c>
      <c r="F2949" t="s">
        <v>4</v>
      </c>
      <c r="G2949" t="s">
        <v>109</v>
      </c>
      <c r="H2949" s="62">
        <v>2025</v>
      </c>
      <c r="I2949">
        <v>0</v>
      </c>
    </row>
    <row r="2950" spans="1:9">
      <c r="A2950" t="s">
        <v>104</v>
      </c>
      <c r="B2950" t="s">
        <v>105</v>
      </c>
      <c r="C2950" t="s">
        <v>80</v>
      </c>
      <c r="D2950" t="s">
        <v>92</v>
      </c>
      <c r="E2950" t="s">
        <v>95</v>
      </c>
      <c r="F2950" t="s">
        <v>4</v>
      </c>
      <c r="G2950" t="s">
        <v>109</v>
      </c>
      <c r="H2950" s="62">
        <v>2025</v>
      </c>
      <c r="I2950">
        <v>6.8110999999999997</v>
      </c>
    </row>
    <row r="2951" spans="1:9">
      <c r="A2951" t="s">
        <v>104</v>
      </c>
      <c r="B2951" t="s">
        <v>105</v>
      </c>
      <c r="C2951" t="s">
        <v>80</v>
      </c>
      <c r="D2951" t="s">
        <v>96</v>
      </c>
      <c r="E2951" t="s">
        <v>92</v>
      </c>
      <c r="F2951" t="s">
        <v>4</v>
      </c>
      <c r="G2951" t="s">
        <v>109</v>
      </c>
      <c r="H2951" s="62">
        <v>2025</v>
      </c>
      <c r="I2951">
        <v>6.7100000000000007E-2</v>
      </c>
    </row>
    <row r="2952" spans="1:9">
      <c r="A2952" t="s">
        <v>104</v>
      </c>
      <c r="B2952" t="s">
        <v>105</v>
      </c>
      <c r="C2952" t="s">
        <v>80</v>
      </c>
      <c r="D2952" t="s">
        <v>96</v>
      </c>
      <c r="E2952" t="s">
        <v>89</v>
      </c>
      <c r="F2952" t="s">
        <v>4</v>
      </c>
      <c r="G2952" t="s">
        <v>109</v>
      </c>
      <c r="H2952" s="62">
        <v>2025</v>
      </c>
      <c r="I2952">
        <v>2.63E-2</v>
      </c>
    </row>
    <row r="2953" spans="1:9">
      <c r="A2953" t="s">
        <v>104</v>
      </c>
      <c r="B2953" t="s">
        <v>105</v>
      </c>
      <c r="C2953" t="s">
        <v>80</v>
      </c>
      <c r="D2953" t="s">
        <v>97</v>
      </c>
      <c r="E2953" t="s">
        <v>98</v>
      </c>
      <c r="F2953" t="s">
        <v>4</v>
      </c>
      <c r="G2953" t="s">
        <v>109</v>
      </c>
      <c r="H2953" s="62">
        <v>2025</v>
      </c>
      <c r="I2953">
        <v>0.20979999999999999</v>
      </c>
    </row>
    <row r="2954" spans="1:9">
      <c r="A2954" t="s">
        <v>104</v>
      </c>
      <c r="B2954" t="s">
        <v>105</v>
      </c>
      <c r="C2954" t="s">
        <v>80</v>
      </c>
      <c r="D2954" t="s">
        <v>97</v>
      </c>
      <c r="E2954" t="s">
        <v>99</v>
      </c>
      <c r="F2954" t="s">
        <v>4</v>
      </c>
      <c r="G2954" t="s">
        <v>109</v>
      </c>
      <c r="H2954" s="62">
        <v>2025</v>
      </c>
      <c r="I2954">
        <v>0</v>
      </c>
    </row>
    <row r="2955" spans="1:9">
      <c r="A2955" t="s">
        <v>104</v>
      </c>
      <c r="B2955" t="s">
        <v>105</v>
      </c>
      <c r="C2955" t="s">
        <v>80</v>
      </c>
      <c r="D2955" t="s">
        <v>100</v>
      </c>
      <c r="E2955" t="s">
        <v>101</v>
      </c>
      <c r="F2955" t="s">
        <v>4</v>
      </c>
      <c r="G2955" t="s">
        <v>109</v>
      </c>
      <c r="H2955" s="62">
        <v>2025</v>
      </c>
      <c r="I2955">
        <v>5.8000000000000003E-2</v>
      </c>
    </row>
    <row r="2956" spans="1:9">
      <c r="A2956" t="s">
        <v>104</v>
      </c>
      <c r="B2956" t="s">
        <v>105</v>
      </c>
      <c r="C2956" t="s">
        <v>80</v>
      </c>
      <c r="D2956" t="s">
        <v>100</v>
      </c>
      <c r="E2956" t="s">
        <v>102</v>
      </c>
      <c r="F2956" t="s">
        <v>4</v>
      </c>
      <c r="G2956" t="s">
        <v>109</v>
      </c>
      <c r="H2956" s="62">
        <v>2025</v>
      </c>
      <c r="I2956">
        <v>0</v>
      </c>
    </row>
    <row r="2957" spans="1:9">
      <c r="A2957" t="s">
        <v>104</v>
      </c>
      <c r="B2957" t="s">
        <v>105</v>
      </c>
      <c r="C2957" t="s">
        <v>80</v>
      </c>
      <c r="D2957" t="s">
        <v>100</v>
      </c>
      <c r="E2957" t="s">
        <v>111</v>
      </c>
      <c r="F2957" t="s">
        <v>4</v>
      </c>
      <c r="G2957" t="s">
        <v>109</v>
      </c>
      <c r="H2957" s="62">
        <v>2025</v>
      </c>
      <c r="I2957">
        <v>0</v>
      </c>
    </row>
    <row r="2958" spans="1:9">
      <c r="A2958" t="s">
        <v>104</v>
      </c>
      <c r="B2958" t="s">
        <v>105</v>
      </c>
      <c r="C2958" t="s">
        <v>80</v>
      </c>
      <c r="D2958" t="s">
        <v>100</v>
      </c>
      <c r="E2958" t="s">
        <v>112</v>
      </c>
      <c r="F2958" t="s">
        <v>4</v>
      </c>
      <c r="G2958" t="s">
        <v>109</v>
      </c>
      <c r="H2958" s="62">
        <v>2025</v>
      </c>
      <c r="I2958">
        <v>0</v>
      </c>
    </row>
    <row r="2959" spans="1:9">
      <c r="A2959" t="s">
        <v>104</v>
      </c>
      <c r="B2959" t="s">
        <v>105</v>
      </c>
      <c r="C2959" t="s">
        <v>80</v>
      </c>
      <c r="D2959" t="s">
        <v>83</v>
      </c>
      <c r="E2959" t="s">
        <v>84</v>
      </c>
      <c r="F2959" t="s">
        <v>4</v>
      </c>
      <c r="G2959" t="s">
        <v>109</v>
      </c>
      <c r="H2959" s="62">
        <v>2025</v>
      </c>
      <c r="I2959">
        <v>1.4532</v>
      </c>
    </row>
    <row r="2960" spans="1:9">
      <c r="A2960" t="s">
        <v>104</v>
      </c>
      <c r="B2960" t="s">
        <v>105</v>
      </c>
      <c r="C2960" t="s">
        <v>80</v>
      </c>
      <c r="D2960" t="s">
        <v>83</v>
      </c>
      <c r="E2960" t="s">
        <v>85</v>
      </c>
      <c r="F2960" t="s">
        <v>4</v>
      </c>
      <c r="G2960" t="s">
        <v>109</v>
      </c>
      <c r="H2960" s="62">
        <v>2025</v>
      </c>
      <c r="I2960">
        <v>0.8841</v>
      </c>
    </row>
    <row r="2961" spans="1:9">
      <c r="A2961" t="s">
        <v>104</v>
      </c>
      <c r="B2961" t="s">
        <v>105</v>
      </c>
      <c r="C2961" t="s">
        <v>80</v>
      </c>
      <c r="D2961" t="s">
        <v>86</v>
      </c>
      <c r="E2961" t="s">
        <v>106</v>
      </c>
      <c r="F2961" t="s">
        <v>4</v>
      </c>
      <c r="G2961" t="s">
        <v>109</v>
      </c>
      <c r="H2961" s="62">
        <v>2025</v>
      </c>
      <c r="I2961">
        <v>0.76770000000000005</v>
      </c>
    </row>
    <row r="2962" spans="1:9">
      <c r="A2962" t="s">
        <v>104</v>
      </c>
      <c r="B2962" t="s">
        <v>105</v>
      </c>
      <c r="C2962" t="s">
        <v>80</v>
      </c>
      <c r="D2962" t="s">
        <v>86</v>
      </c>
      <c r="E2962" t="s">
        <v>87</v>
      </c>
      <c r="F2962" t="s">
        <v>4</v>
      </c>
      <c r="G2962" t="s">
        <v>109</v>
      </c>
      <c r="H2962" s="62">
        <v>2025</v>
      </c>
      <c r="I2962">
        <v>0.83120000000000005</v>
      </c>
    </row>
    <row r="2963" spans="1:9">
      <c r="A2963" t="s">
        <v>104</v>
      </c>
      <c r="B2963" t="s">
        <v>105</v>
      </c>
      <c r="C2963" t="s">
        <v>80</v>
      </c>
      <c r="D2963" t="s">
        <v>103</v>
      </c>
      <c r="E2963" t="s">
        <v>92</v>
      </c>
      <c r="F2963" t="s">
        <v>4</v>
      </c>
      <c r="G2963" t="s">
        <v>109</v>
      </c>
      <c r="H2963" s="62">
        <v>2025</v>
      </c>
      <c r="I2963">
        <v>1.1651</v>
      </c>
    </row>
    <row r="2964" spans="1:9">
      <c r="A2964" t="s">
        <v>104</v>
      </c>
      <c r="B2964" t="s">
        <v>105</v>
      </c>
      <c r="C2964" t="s">
        <v>80</v>
      </c>
      <c r="D2964" t="s">
        <v>103</v>
      </c>
      <c r="E2964" t="s">
        <v>89</v>
      </c>
      <c r="F2964" t="s">
        <v>4</v>
      </c>
      <c r="G2964" t="s">
        <v>109</v>
      </c>
      <c r="H2964" s="62">
        <v>2025</v>
      </c>
      <c r="I2964">
        <v>4.5145</v>
      </c>
    </row>
    <row r="2965" spans="1:9">
      <c r="A2965" t="s">
        <v>104</v>
      </c>
      <c r="B2965" t="s">
        <v>105</v>
      </c>
      <c r="C2965" t="s">
        <v>107</v>
      </c>
      <c r="D2965" t="s">
        <v>107</v>
      </c>
      <c r="E2965" t="s">
        <v>107</v>
      </c>
      <c r="F2965" t="s">
        <v>4</v>
      </c>
      <c r="G2965" t="s">
        <v>109</v>
      </c>
      <c r="H2965" s="62">
        <v>2026</v>
      </c>
      <c r="I2965">
        <v>43.168199999999999</v>
      </c>
    </row>
    <row r="2966" spans="1:9">
      <c r="A2966" t="s">
        <v>104</v>
      </c>
      <c r="B2966" t="s">
        <v>105</v>
      </c>
      <c r="C2966" t="s">
        <v>107</v>
      </c>
      <c r="D2966" t="s">
        <v>108</v>
      </c>
      <c r="E2966" t="s">
        <v>108</v>
      </c>
      <c r="F2966" t="s">
        <v>4</v>
      </c>
      <c r="G2966" t="s">
        <v>109</v>
      </c>
      <c r="H2966" s="62">
        <v>2026</v>
      </c>
      <c r="I2966">
        <v>2.6111</v>
      </c>
    </row>
    <row r="2967" spans="1:9">
      <c r="A2967" t="s">
        <v>104</v>
      </c>
      <c r="B2967" t="s">
        <v>105</v>
      </c>
      <c r="C2967" t="s">
        <v>80</v>
      </c>
      <c r="D2967" t="s">
        <v>80</v>
      </c>
      <c r="E2967" t="s">
        <v>80</v>
      </c>
      <c r="F2967" t="s">
        <v>4</v>
      </c>
      <c r="G2967" t="s">
        <v>109</v>
      </c>
      <c r="H2967" s="62">
        <v>2026</v>
      </c>
      <c r="I2967">
        <v>40.557200000000002</v>
      </c>
    </row>
    <row r="2968" spans="1:9">
      <c r="A2968" t="s">
        <v>104</v>
      </c>
      <c r="B2968" t="s">
        <v>105</v>
      </c>
      <c r="C2968" t="s">
        <v>80</v>
      </c>
      <c r="D2968" t="s">
        <v>89</v>
      </c>
      <c r="E2968" t="s">
        <v>90</v>
      </c>
      <c r="F2968" t="s">
        <v>4</v>
      </c>
      <c r="G2968" t="s">
        <v>109</v>
      </c>
      <c r="H2968" s="62">
        <v>2026</v>
      </c>
      <c r="I2968">
        <v>8.6188000000000002</v>
      </c>
    </row>
    <row r="2969" spans="1:9">
      <c r="A2969" t="s">
        <v>104</v>
      </c>
      <c r="B2969" t="s">
        <v>105</v>
      </c>
      <c r="C2969" t="s">
        <v>80</v>
      </c>
      <c r="D2969" t="s">
        <v>89</v>
      </c>
      <c r="E2969" t="s">
        <v>91</v>
      </c>
      <c r="F2969" t="s">
        <v>4</v>
      </c>
      <c r="G2969" t="s">
        <v>109</v>
      </c>
      <c r="H2969" s="62">
        <v>2026</v>
      </c>
      <c r="I2969">
        <v>-0.3911</v>
      </c>
    </row>
    <row r="2970" spans="1:9">
      <c r="A2970" t="s">
        <v>104</v>
      </c>
      <c r="B2970" t="s">
        <v>105</v>
      </c>
      <c r="C2970" t="s">
        <v>80</v>
      </c>
      <c r="D2970" t="s">
        <v>92</v>
      </c>
      <c r="E2970" t="s">
        <v>93</v>
      </c>
      <c r="F2970" t="s">
        <v>4</v>
      </c>
      <c r="G2970" t="s">
        <v>109</v>
      </c>
      <c r="H2970" s="62">
        <v>2026</v>
      </c>
      <c r="I2970">
        <v>-1.3879999999999999</v>
      </c>
    </row>
    <row r="2971" spans="1:9">
      <c r="A2971" t="s">
        <v>104</v>
      </c>
      <c r="B2971" t="s">
        <v>105</v>
      </c>
      <c r="C2971" t="s">
        <v>80</v>
      </c>
      <c r="D2971" t="s">
        <v>92</v>
      </c>
      <c r="E2971" t="s">
        <v>94</v>
      </c>
      <c r="F2971" t="s">
        <v>4</v>
      </c>
      <c r="G2971" t="s">
        <v>109</v>
      </c>
      <c r="H2971" s="62">
        <v>2026</v>
      </c>
      <c r="I2971">
        <v>23.226099999999999</v>
      </c>
    </row>
    <row r="2972" spans="1:9">
      <c r="A2972" t="s">
        <v>104</v>
      </c>
      <c r="B2972" t="s">
        <v>105</v>
      </c>
      <c r="C2972" t="s">
        <v>80</v>
      </c>
      <c r="D2972" t="s">
        <v>92</v>
      </c>
      <c r="E2972" t="s">
        <v>110</v>
      </c>
      <c r="F2972" t="s">
        <v>4</v>
      </c>
      <c r="G2972" t="s">
        <v>109</v>
      </c>
      <c r="H2972" s="62">
        <v>2026</v>
      </c>
      <c r="I2972">
        <v>0</v>
      </c>
    </row>
    <row r="2973" spans="1:9">
      <c r="A2973" t="s">
        <v>104</v>
      </c>
      <c r="B2973" t="s">
        <v>105</v>
      </c>
      <c r="C2973" t="s">
        <v>80</v>
      </c>
      <c r="D2973" t="s">
        <v>92</v>
      </c>
      <c r="E2973" t="s">
        <v>95</v>
      </c>
      <c r="F2973" t="s">
        <v>4</v>
      </c>
      <c r="G2973" t="s">
        <v>109</v>
      </c>
      <c r="H2973" s="62">
        <v>2026</v>
      </c>
      <c r="I2973">
        <v>7.3635999999999999</v>
      </c>
    </row>
    <row r="2974" spans="1:9">
      <c r="A2974" t="s">
        <v>104</v>
      </c>
      <c r="B2974" t="s">
        <v>105</v>
      </c>
      <c r="C2974" t="s">
        <v>80</v>
      </c>
      <c r="D2974" t="s">
        <v>96</v>
      </c>
      <c r="E2974" t="s">
        <v>92</v>
      </c>
      <c r="F2974" t="s">
        <v>4</v>
      </c>
      <c r="G2974" t="s">
        <v>109</v>
      </c>
      <c r="H2974" s="62">
        <v>2026</v>
      </c>
      <c r="I2974">
        <v>0.161</v>
      </c>
    </row>
    <row r="2975" spans="1:9">
      <c r="A2975" t="s">
        <v>104</v>
      </c>
      <c r="B2975" t="s">
        <v>105</v>
      </c>
      <c r="C2975" t="s">
        <v>80</v>
      </c>
      <c r="D2975" t="s">
        <v>96</v>
      </c>
      <c r="E2975" t="s">
        <v>89</v>
      </c>
      <c r="F2975" t="s">
        <v>4</v>
      </c>
      <c r="G2975" t="s">
        <v>109</v>
      </c>
      <c r="H2975" s="62">
        <v>2026</v>
      </c>
      <c r="I2975">
        <v>0.16750000000000001</v>
      </c>
    </row>
    <row r="2976" spans="1:9">
      <c r="A2976" t="s">
        <v>104</v>
      </c>
      <c r="B2976" t="s">
        <v>105</v>
      </c>
      <c r="C2976" t="s">
        <v>80</v>
      </c>
      <c r="D2976" t="s">
        <v>97</v>
      </c>
      <c r="E2976" t="s">
        <v>98</v>
      </c>
      <c r="F2976" t="s">
        <v>4</v>
      </c>
      <c r="G2976" t="s">
        <v>109</v>
      </c>
      <c r="H2976" s="62">
        <v>2026</v>
      </c>
      <c r="I2976">
        <v>0.36940000000000001</v>
      </c>
    </row>
    <row r="2977" spans="1:9">
      <c r="A2977" t="s">
        <v>104</v>
      </c>
      <c r="B2977" t="s">
        <v>105</v>
      </c>
      <c r="C2977" t="s">
        <v>80</v>
      </c>
      <c r="D2977" t="s">
        <v>97</v>
      </c>
      <c r="E2977" t="s">
        <v>99</v>
      </c>
      <c r="F2977" t="s">
        <v>4</v>
      </c>
      <c r="G2977" t="s">
        <v>109</v>
      </c>
      <c r="H2977" s="62">
        <v>2026</v>
      </c>
      <c r="I2977">
        <v>0</v>
      </c>
    </row>
    <row r="2978" spans="1:9">
      <c r="A2978" t="s">
        <v>104</v>
      </c>
      <c r="B2978" t="s">
        <v>105</v>
      </c>
      <c r="C2978" t="s">
        <v>80</v>
      </c>
      <c r="D2978" t="s">
        <v>100</v>
      </c>
      <c r="E2978" t="s">
        <v>101</v>
      </c>
      <c r="F2978" t="s">
        <v>4</v>
      </c>
      <c r="G2978" t="s">
        <v>109</v>
      </c>
      <c r="H2978" s="62">
        <v>2026</v>
      </c>
      <c r="I2978">
        <v>8.7900000000000006E-2</v>
      </c>
    </row>
    <row r="2979" spans="1:9">
      <c r="A2979" t="s">
        <v>104</v>
      </c>
      <c r="B2979" t="s">
        <v>105</v>
      </c>
      <c r="C2979" t="s">
        <v>80</v>
      </c>
      <c r="D2979" t="s">
        <v>100</v>
      </c>
      <c r="E2979" t="s">
        <v>102</v>
      </c>
      <c r="F2979" t="s">
        <v>4</v>
      </c>
      <c r="G2979" t="s">
        <v>109</v>
      </c>
      <c r="H2979" s="62">
        <v>2026</v>
      </c>
      <c r="I2979">
        <v>0</v>
      </c>
    </row>
    <row r="2980" spans="1:9">
      <c r="A2980" t="s">
        <v>104</v>
      </c>
      <c r="B2980" t="s">
        <v>105</v>
      </c>
      <c r="C2980" t="s">
        <v>80</v>
      </c>
      <c r="D2980" t="s">
        <v>100</v>
      </c>
      <c r="E2980" t="s">
        <v>111</v>
      </c>
      <c r="F2980" t="s">
        <v>4</v>
      </c>
      <c r="G2980" t="s">
        <v>109</v>
      </c>
      <c r="H2980" s="62">
        <v>2026</v>
      </c>
      <c r="I2980">
        <v>0</v>
      </c>
    </row>
    <row r="2981" spans="1:9">
      <c r="A2981" t="s">
        <v>104</v>
      </c>
      <c r="B2981" t="s">
        <v>105</v>
      </c>
      <c r="C2981" t="s">
        <v>80</v>
      </c>
      <c r="D2981" t="s">
        <v>100</v>
      </c>
      <c r="E2981" t="s">
        <v>112</v>
      </c>
      <c r="F2981" t="s">
        <v>4</v>
      </c>
      <c r="G2981" t="s">
        <v>109</v>
      </c>
      <c r="H2981" s="62">
        <v>2026</v>
      </c>
      <c r="I2981">
        <v>0</v>
      </c>
    </row>
    <row r="2982" spans="1:9">
      <c r="A2982" t="s">
        <v>104</v>
      </c>
      <c r="B2982" t="s">
        <v>105</v>
      </c>
      <c r="C2982" t="s">
        <v>80</v>
      </c>
      <c r="D2982" t="s">
        <v>83</v>
      </c>
      <c r="E2982" t="s">
        <v>84</v>
      </c>
      <c r="F2982" t="s">
        <v>4</v>
      </c>
      <c r="G2982" t="s">
        <v>109</v>
      </c>
      <c r="H2982" s="62">
        <v>2026</v>
      </c>
      <c r="I2982">
        <v>1.4481999999999999</v>
      </c>
    </row>
    <row r="2983" spans="1:9">
      <c r="A2983" t="s">
        <v>104</v>
      </c>
      <c r="B2983" t="s">
        <v>105</v>
      </c>
      <c r="C2983" t="s">
        <v>80</v>
      </c>
      <c r="D2983" t="s">
        <v>83</v>
      </c>
      <c r="E2983" t="s">
        <v>85</v>
      </c>
      <c r="F2983" t="s">
        <v>4</v>
      </c>
      <c r="G2983" t="s">
        <v>109</v>
      </c>
      <c r="H2983" s="62">
        <v>2026</v>
      </c>
      <c r="I2983">
        <v>0.89390000000000003</v>
      </c>
    </row>
    <row r="2984" spans="1:9">
      <c r="A2984" t="s">
        <v>104</v>
      </c>
      <c r="B2984" t="s">
        <v>105</v>
      </c>
      <c r="C2984" t="s">
        <v>80</v>
      </c>
      <c r="D2984" t="s">
        <v>86</v>
      </c>
      <c r="E2984" t="s">
        <v>106</v>
      </c>
      <c r="F2984" t="s">
        <v>4</v>
      </c>
      <c r="G2984" t="s">
        <v>109</v>
      </c>
      <c r="H2984" s="62">
        <v>2026</v>
      </c>
      <c r="I2984">
        <v>0.78210000000000002</v>
      </c>
    </row>
    <row r="2985" spans="1:9">
      <c r="A2985" t="s">
        <v>104</v>
      </c>
      <c r="B2985" t="s">
        <v>105</v>
      </c>
      <c r="C2985" t="s">
        <v>80</v>
      </c>
      <c r="D2985" t="s">
        <v>86</v>
      </c>
      <c r="E2985" t="s">
        <v>87</v>
      </c>
      <c r="F2985" t="s">
        <v>4</v>
      </c>
      <c r="G2985" t="s">
        <v>109</v>
      </c>
      <c r="H2985" s="62">
        <v>2026</v>
      </c>
      <c r="I2985">
        <v>0.997</v>
      </c>
    </row>
    <row r="2986" spans="1:9">
      <c r="A2986" t="s">
        <v>104</v>
      </c>
      <c r="B2986" t="s">
        <v>105</v>
      </c>
      <c r="C2986" t="s">
        <v>80</v>
      </c>
      <c r="D2986" t="s">
        <v>103</v>
      </c>
      <c r="E2986" t="s">
        <v>92</v>
      </c>
      <c r="F2986" t="s">
        <v>4</v>
      </c>
      <c r="G2986" t="s">
        <v>109</v>
      </c>
      <c r="H2986" s="62">
        <v>2026</v>
      </c>
      <c r="I2986">
        <v>1.2898000000000001</v>
      </c>
    </row>
    <row r="2987" spans="1:9">
      <c r="A2987" t="s">
        <v>104</v>
      </c>
      <c r="B2987" t="s">
        <v>105</v>
      </c>
      <c r="C2987" t="s">
        <v>80</v>
      </c>
      <c r="D2987" t="s">
        <v>103</v>
      </c>
      <c r="E2987" t="s">
        <v>89</v>
      </c>
      <c r="F2987" t="s">
        <v>4</v>
      </c>
      <c r="G2987" t="s">
        <v>109</v>
      </c>
      <c r="H2987" s="62">
        <v>2026</v>
      </c>
      <c r="I2987">
        <v>5.2077999999999998</v>
      </c>
    </row>
    <row r="2988" spans="1:9">
      <c r="A2988" t="s">
        <v>104</v>
      </c>
      <c r="B2988" t="s">
        <v>105</v>
      </c>
      <c r="C2988" t="s">
        <v>107</v>
      </c>
      <c r="D2988" t="s">
        <v>107</v>
      </c>
      <c r="E2988" t="s">
        <v>107</v>
      </c>
      <c r="F2988" t="s">
        <v>4</v>
      </c>
      <c r="G2988" t="s">
        <v>109</v>
      </c>
      <c r="H2988" s="62">
        <v>2027</v>
      </c>
      <c r="I2988">
        <v>43.849899999999998</v>
      </c>
    </row>
    <row r="2989" spans="1:9">
      <c r="A2989" t="s">
        <v>104</v>
      </c>
      <c r="B2989" t="s">
        <v>105</v>
      </c>
      <c r="C2989" t="s">
        <v>107</v>
      </c>
      <c r="D2989" t="s">
        <v>108</v>
      </c>
      <c r="E2989" t="s">
        <v>108</v>
      </c>
      <c r="F2989" t="s">
        <v>4</v>
      </c>
      <c r="G2989" t="s">
        <v>109</v>
      </c>
      <c r="H2989" s="62">
        <v>2027</v>
      </c>
      <c r="I2989">
        <v>2.6381999999999999</v>
      </c>
    </row>
    <row r="2990" spans="1:9">
      <c r="A2990" t="s">
        <v>104</v>
      </c>
      <c r="B2990" t="s">
        <v>105</v>
      </c>
      <c r="C2990" t="s">
        <v>80</v>
      </c>
      <c r="D2990" t="s">
        <v>80</v>
      </c>
      <c r="E2990" t="s">
        <v>80</v>
      </c>
      <c r="F2990" t="s">
        <v>4</v>
      </c>
      <c r="G2990" t="s">
        <v>109</v>
      </c>
      <c r="H2990" s="62">
        <v>2027</v>
      </c>
      <c r="I2990">
        <v>41.2117</v>
      </c>
    </row>
    <row r="2991" spans="1:9">
      <c r="A2991" t="s">
        <v>104</v>
      </c>
      <c r="B2991" t="s">
        <v>105</v>
      </c>
      <c r="C2991" t="s">
        <v>80</v>
      </c>
      <c r="D2991" t="s">
        <v>89</v>
      </c>
      <c r="E2991" t="s">
        <v>90</v>
      </c>
      <c r="F2991" t="s">
        <v>4</v>
      </c>
      <c r="G2991" t="s">
        <v>109</v>
      </c>
      <c r="H2991" s="62">
        <v>2027</v>
      </c>
      <c r="I2991">
        <v>7.9676999999999998</v>
      </c>
    </row>
    <row r="2992" spans="1:9">
      <c r="A2992" t="s">
        <v>104</v>
      </c>
      <c r="B2992" t="s">
        <v>105</v>
      </c>
      <c r="C2992" t="s">
        <v>80</v>
      </c>
      <c r="D2992" t="s">
        <v>89</v>
      </c>
      <c r="E2992" t="s">
        <v>91</v>
      </c>
      <c r="F2992" t="s">
        <v>4</v>
      </c>
      <c r="G2992" t="s">
        <v>109</v>
      </c>
      <c r="H2992" s="62">
        <v>2027</v>
      </c>
      <c r="I2992">
        <v>-0.3957</v>
      </c>
    </row>
    <row r="2993" spans="1:9">
      <c r="A2993" t="s">
        <v>104</v>
      </c>
      <c r="B2993" t="s">
        <v>105</v>
      </c>
      <c r="C2993" t="s">
        <v>80</v>
      </c>
      <c r="D2993" t="s">
        <v>92</v>
      </c>
      <c r="E2993" t="s">
        <v>93</v>
      </c>
      <c r="F2993" t="s">
        <v>4</v>
      </c>
      <c r="G2993" t="s">
        <v>109</v>
      </c>
      <c r="H2993" s="62">
        <v>2027</v>
      </c>
      <c r="I2993">
        <v>-1.5637000000000001</v>
      </c>
    </row>
    <row r="2994" spans="1:9">
      <c r="A2994" t="s">
        <v>104</v>
      </c>
      <c r="B2994" t="s">
        <v>105</v>
      </c>
      <c r="C2994" t="s">
        <v>80</v>
      </c>
      <c r="D2994" t="s">
        <v>92</v>
      </c>
      <c r="E2994" t="s">
        <v>94</v>
      </c>
      <c r="F2994" t="s">
        <v>4</v>
      </c>
      <c r="G2994" t="s">
        <v>109</v>
      </c>
      <c r="H2994" s="62">
        <v>2027</v>
      </c>
      <c r="I2994">
        <v>23.415900000000001</v>
      </c>
    </row>
    <row r="2995" spans="1:9">
      <c r="A2995" t="s">
        <v>104</v>
      </c>
      <c r="B2995" t="s">
        <v>105</v>
      </c>
      <c r="C2995" t="s">
        <v>80</v>
      </c>
      <c r="D2995" t="s">
        <v>92</v>
      </c>
      <c r="E2995" t="s">
        <v>110</v>
      </c>
      <c r="F2995" t="s">
        <v>4</v>
      </c>
      <c r="G2995" t="s">
        <v>109</v>
      </c>
      <c r="H2995" s="62">
        <v>2027</v>
      </c>
      <c r="I2995">
        <v>0</v>
      </c>
    </row>
    <row r="2996" spans="1:9">
      <c r="A2996" t="s">
        <v>104</v>
      </c>
      <c r="B2996" t="s">
        <v>105</v>
      </c>
      <c r="C2996" t="s">
        <v>80</v>
      </c>
      <c r="D2996" t="s">
        <v>92</v>
      </c>
      <c r="E2996" t="s">
        <v>95</v>
      </c>
      <c r="F2996" t="s">
        <v>4</v>
      </c>
      <c r="G2996" t="s">
        <v>109</v>
      </c>
      <c r="H2996" s="62">
        <v>2027</v>
      </c>
      <c r="I2996">
        <v>8.0717999999999996</v>
      </c>
    </row>
    <row r="2997" spans="1:9">
      <c r="A2997" t="s">
        <v>104</v>
      </c>
      <c r="B2997" t="s">
        <v>105</v>
      </c>
      <c r="C2997" t="s">
        <v>80</v>
      </c>
      <c r="D2997" t="s">
        <v>96</v>
      </c>
      <c r="E2997" t="s">
        <v>92</v>
      </c>
      <c r="F2997" t="s">
        <v>4</v>
      </c>
      <c r="G2997" t="s">
        <v>109</v>
      </c>
      <c r="H2997" s="62">
        <v>2027</v>
      </c>
      <c r="I2997">
        <v>0.25330000000000003</v>
      </c>
    </row>
    <row r="2998" spans="1:9">
      <c r="A2998" t="s">
        <v>104</v>
      </c>
      <c r="B2998" t="s">
        <v>105</v>
      </c>
      <c r="C2998" t="s">
        <v>80</v>
      </c>
      <c r="D2998" t="s">
        <v>96</v>
      </c>
      <c r="E2998" t="s">
        <v>89</v>
      </c>
      <c r="F2998" t="s">
        <v>4</v>
      </c>
      <c r="G2998" t="s">
        <v>109</v>
      </c>
      <c r="H2998" s="62">
        <v>2027</v>
      </c>
      <c r="I2998">
        <v>0.43</v>
      </c>
    </row>
    <row r="2999" spans="1:9">
      <c r="A2999" t="s">
        <v>104</v>
      </c>
      <c r="B2999" t="s">
        <v>105</v>
      </c>
      <c r="C2999" t="s">
        <v>80</v>
      </c>
      <c r="D2999" t="s">
        <v>97</v>
      </c>
      <c r="E2999" t="s">
        <v>98</v>
      </c>
      <c r="F2999" t="s">
        <v>4</v>
      </c>
      <c r="G2999" t="s">
        <v>109</v>
      </c>
      <c r="H2999" s="62">
        <v>2027</v>
      </c>
      <c r="I2999">
        <v>0.58150000000000002</v>
      </c>
    </row>
    <row r="3000" spans="1:9">
      <c r="A3000" t="s">
        <v>104</v>
      </c>
      <c r="B3000" t="s">
        <v>105</v>
      </c>
      <c r="C3000" t="s">
        <v>80</v>
      </c>
      <c r="D3000" t="s">
        <v>97</v>
      </c>
      <c r="E3000" t="s">
        <v>99</v>
      </c>
      <c r="F3000" t="s">
        <v>4</v>
      </c>
      <c r="G3000" t="s">
        <v>109</v>
      </c>
      <c r="H3000" s="62">
        <v>2027</v>
      </c>
      <c r="I3000">
        <v>0</v>
      </c>
    </row>
    <row r="3001" spans="1:9">
      <c r="A3001" t="s">
        <v>104</v>
      </c>
      <c r="B3001" t="s">
        <v>105</v>
      </c>
      <c r="C3001" t="s">
        <v>80</v>
      </c>
      <c r="D3001" t="s">
        <v>100</v>
      </c>
      <c r="E3001" t="s">
        <v>101</v>
      </c>
      <c r="F3001" t="s">
        <v>4</v>
      </c>
      <c r="G3001" t="s">
        <v>109</v>
      </c>
      <c r="H3001" s="62">
        <v>2027</v>
      </c>
      <c r="I3001">
        <v>8.5999999999999993E-2</v>
      </c>
    </row>
    <row r="3002" spans="1:9">
      <c r="A3002" t="s">
        <v>104</v>
      </c>
      <c r="B3002" t="s">
        <v>105</v>
      </c>
      <c r="C3002" t="s">
        <v>80</v>
      </c>
      <c r="D3002" t="s">
        <v>100</v>
      </c>
      <c r="E3002" t="s">
        <v>102</v>
      </c>
      <c r="F3002" t="s">
        <v>4</v>
      </c>
      <c r="G3002" t="s">
        <v>109</v>
      </c>
      <c r="H3002" s="62">
        <v>2027</v>
      </c>
      <c r="I3002">
        <v>0</v>
      </c>
    </row>
    <row r="3003" spans="1:9">
      <c r="A3003" t="s">
        <v>104</v>
      </c>
      <c r="B3003" t="s">
        <v>105</v>
      </c>
      <c r="C3003" t="s">
        <v>80</v>
      </c>
      <c r="D3003" t="s">
        <v>100</v>
      </c>
      <c r="E3003" t="s">
        <v>111</v>
      </c>
      <c r="F3003" t="s">
        <v>4</v>
      </c>
      <c r="G3003" t="s">
        <v>109</v>
      </c>
      <c r="H3003" s="62">
        <v>2027</v>
      </c>
      <c r="I3003">
        <v>0</v>
      </c>
    </row>
    <row r="3004" spans="1:9">
      <c r="A3004" t="s">
        <v>104</v>
      </c>
      <c r="B3004" t="s">
        <v>105</v>
      </c>
      <c r="C3004" t="s">
        <v>80</v>
      </c>
      <c r="D3004" t="s">
        <v>100</v>
      </c>
      <c r="E3004" t="s">
        <v>112</v>
      </c>
      <c r="F3004" t="s">
        <v>4</v>
      </c>
      <c r="G3004" t="s">
        <v>109</v>
      </c>
      <c r="H3004" s="62">
        <v>2027</v>
      </c>
      <c r="I3004">
        <v>0</v>
      </c>
    </row>
    <row r="3005" spans="1:9">
      <c r="A3005" t="s">
        <v>104</v>
      </c>
      <c r="B3005" t="s">
        <v>105</v>
      </c>
      <c r="C3005" t="s">
        <v>80</v>
      </c>
      <c r="D3005" t="s">
        <v>83</v>
      </c>
      <c r="E3005" t="s">
        <v>84</v>
      </c>
      <c r="F3005" t="s">
        <v>4</v>
      </c>
      <c r="G3005" t="s">
        <v>109</v>
      </c>
      <c r="H3005" s="62">
        <v>2027</v>
      </c>
      <c r="I3005">
        <v>1.4528000000000001</v>
      </c>
    </row>
    <row r="3006" spans="1:9">
      <c r="A3006" t="s">
        <v>104</v>
      </c>
      <c r="B3006" t="s">
        <v>105</v>
      </c>
      <c r="C3006" t="s">
        <v>80</v>
      </c>
      <c r="D3006" t="s">
        <v>83</v>
      </c>
      <c r="E3006" t="s">
        <v>85</v>
      </c>
      <c r="F3006" t="s">
        <v>4</v>
      </c>
      <c r="G3006" t="s">
        <v>109</v>
      </c>
      <c r="H3006" s="62">
        <v>2027</v>
      </c>
      <c r="I3006">
        <v>0.91210000000000002</v>
      </c>
    </row>
    <row r="3007" spans="1:9">
      <c r="A3007" t="s">
        <v>104</v>
      </c>
      <c r="B3007" t="s">
        <v>105</v>
      </c>
      <c r="C3007" t="s">
        <v>80</v>
      </c>
      <c r="D3007" t="s">
        <v>86</v>
      </c>
      <c r="E3007" t="s">
        <v>106</v>
      </c>
      <c r="F3007" t="s">
        <v>4</v>
      </c>
      <c r="G3007" t="s">
        <v>109</v>
      </c>
      <c r="H3007" s="62">
        <v>2027</v>
      </c>
      <c r="I3007">
        <v>0.79649999999999999</v>
      </c>
    </row>
    <row r="3008" spans="1:9">
      <c r="A3008" t="s">
        <v>104</v>
      </c>
      <c r="B3008" t="s">
        <v>105</v>
      </c>
      <c r="C3008" t="s">
        <v>80</v>
      </c>
      <c r="D3008" t="s">
        <v>86</v>
      </c>
      <c r="E3008" t="s">
        <v>87</v>
      </c>
      <c r="F3008" t="s">
        <v>4</v>
      </c>
      <c r="G3008" t="s">
        <v>109</v>
      </c>
      <c r="H3008" s="62">
        <v>2027</v>
      </c>
      <c r="I3008">
        <v>1.1628000000000001</v>
      </c>
    </row>
    <row r="3009" spans="1:9">
      <c r="A3009" t="s">
        <v>104</v>
      </c>
      <c r="B3009" t="s">
        <v>105</v>
      </c>
      <c r="C3009" t="s">
        <v>80</v>
      </c>
      <c r="D3009" t="s">
        <v>103</v>
      </c>
      <c r="E3009" t="s">
        <v>92</v>
      </c>
      <c r="F3009" t="s">
        <v>4</v>
      </c>
      <c r="G3009" t="s">
        <v>109</v>
      </c>
      <c r="H3009" s="62">
        <v>2027</v>
      </c>
      <c r="I3009">
        <v>1.4171</v>
      </c>
    </row>
    <row r="3010" spans="1:9">
      <c r="A3010" t="s">
        <v>104</v>
      </c>
      <c r="B3010" t="s">
        <v>105</v>
      </c>
      <c r="C3010" t="s">
        <v>80</v>
      </c>
      <c r="D3010" t="s">
        <v>103</v>
      </c>
      <c r="E3010" t="s">
        <v>89</v>
      </c>
      <c r="F3010" t="s">
        <v>4</v>
      </c>
      <c r="G3010" t="s">
        <v>109</v>
      </c>
      <c r="H3010" s="62">
        <v>2027</v>
      </c>
      <c r="I3010">
        <v>5.9105999999999996</v>
      </c>
    </row>
    <row r="3011" spans="1:9">
      <c r="A3011" t="s">
        <v>104</v>
      </c>
      <c r="B3011" t="s">
        <v>105</v>
      </c>
      <c r="C3011" t="s">
        <v>107</v>
      </c>
      <c r="D3011" t="s">
        <v>107</v>
      </c>
      <c r="E3011" t="s">
        <v>107</v>
      </c>
      <c r="F3011" t="s">
        <v>4</v>
      </c>
      <c r="G3011" t="s">
        <v>109</v>
      </c>
      <c r="H3011" s="62">
        <v>2028</v>
      </c>
      <c r="I3011">
        <v>43.862499999999997</v>
      </c>
    </row>
    <row r="3012" spans="1:9">
      <c r="A3012" t="s">
        <v>104</v>
      </c>
      <c r="B3012" t="s">
        <v>105</v>
      </c>
      <c r="C3012" t="s">
        <v>107</v>
      </c>
      <c r="D3012" t="s">
        <v>108</v>
      </c>
      <c r="E3012" t="s">
        <v>108</v>
      </c>
      <c r="F3012" t="s">
        <v>4</v>
      </c>
      <c r="G3012" t="s">
        <v>109</v>
      </c>
      <c r="H3012" s="62">
        <v>2028</v>
      </c>
      <c r="I3012">
        <v>2.1379999999999999</v>
      </c>
    </row>
    <row r="3013" spans="1:9">
      <c r="A3013" t="s">
        <v>104</v>
      </c>
      <c r="B3013" t="s">
        <v>105</v>
      </c>
      <c r="C3013" t="s">
        <v>80</v>
      </c>
      <c r="D3013" t="s">
        <v>80</v>
      </c>
      <c r="E3013" t="s">
        <v>80</v>
      </c>
      <c r="F3013" t="s">
        <v>4</v>
      </c>
      <c r="G3013" t="s">
        <v>109</v>
      </c>
      <c r="H3013" s="62">
        <v>2028</v>
      </c>
      <c r="I3013">
        <v>41.724499999999999</v>
      </c>
    </row>
    <row r="3014" spans="1:9">
      <c r="A3014" t="s">
        <v>104</v>
      </c>
      <c r="B3014" t="s">
        <v>105</v>
      </c>
      <c r="C3014" t="s">
        <v>80</v>
      </c>
      <c r="D3014" t="s">
        <v>89</v>
      </c>
      <c r="E3014" t="s">
        <v>90</v>
      </c>
      <c r="F3014" t="s">
        <v>4</v>
      </c>
      <c r="G3014" t="s">
        <v>109</v>
      </c>
      <c r="H3014" s="62">
        <v>2028</v>
      </c>
      <c r="I3014">
        <v>7.3273999999999999</v>
      </c>
    </row>
    <row r="3015" spans="1:9">
      <c r="A3015" t="s">
        <v>104</v>
      </c>
      <c r="B3015" t="s">
        <v>105</v>
      </c>
      <c r="C3015" t="s">
        <v>80</v>
      </c>
      <c r="D3015" t="s">
        <v>89</v>
      </c>
      <c r="E3015" t="s">
        <v>91</v>
      </c>
      <c r="F3015" t="s">
        <v>4</v>
      </c>
      <c r="G3015" t="s">
        <v>109</v>
      </c>
      <c r="H3015" s="62">
        <v>2028</v>
      </c>
      <c r="I3015">
        <v>-0.39910000000000001</v>
      </c>
    </row>
    <row r="3016" spans="1:9">
      <c r="A3016" t="s">
        <v>104</v>
      </c>
      <c r="B3016" t="s">
        <v>105</v>
      </c>
      <c r="C3016" t="s">
        <v>80</v>
      </c>
      <c r="D3016" t="s">
        <v>92</v>
      </c>
      <c r="E3016" t="s">
        <v>93</v>
      </c>
      <c r="F3016" t="s">
        <v>4</v>
      </c>
      <c r="G3016" t="s">
        <v>109</v>
      </c>
      <c r="H3016" s="62">
        <v>2028</v>
      </c>
      <c r="I3016">
        <v>-1.7472000000000001</v>
      </c>
    </row>
    <row r="3017" spans="1:9">
      <c r="A3017" t="s">
        <v>104</v>
      </c>
      <c r="B3017" t="s">
        <v>105</v>
      </c>
      <c r="C3017" t="s">
        <v>80</v>
      </c>
      <c r="D3017" t="s">
        <v>92</v>
      </c>
      <c r="E3017" t="s">
        <v>94</v>
      </c>
      <c r="F3017" t="s">
        <v>4</v>
      </c>
      <c r="G3017" t="s">
        <v>109</v>
      </c>
      <c r="H3017" s="62">
        <v>2028</v>
      </c>
      <c r="I3017">
        <v>23.652699999999999</v>
      </c>
    </row>
    <row r="3018" spans="1:9">
      <c r="A3018" t="s">
        <v>104</v>
      </c>
      <c r="B3018" t="s">
        <v>105</v>
      </c>
      <c r="C3018" t="s">
        <v>80</v>
      </c>
      <c r="D3018" t="s">
        <v>92</v>
      </c>
      <c r="E3018" t="s">
        <v>110</v>
      </c>
      <c r="F3018" t="s">
        <v>4</v>
      </c>
      <c r="G3018" t="s">
        <v>109</v>
      </c>
      <c r="H3018" s="62">
        <v>2028</v>
      </c>
      <c r="I3018">
        <v>0</v>
      </c>
    </row>
    <row r="3019" spans="1:9">
      <c r="A3019" t="s">
        <v>104</v>
      </c>
      <c r="B3019" t="s">
        <v>105</v>
      </c>
      <c r="C3019" t="s">
        <v>80</v>
      </c>
      <c r="D3019" t="s">
        <v>92</v>
      </c>
      <c r="E3019" t="s">
        <v>95</v>
      </c>
      <c r="F3019" t="s">
        <v>4</v>
      </c>
      <c r="G3019" t="s">
        <v>109</v>
      </c>
      <c r="H3019" s="62">
        <v>2028</v>
      </c>
      <c r="I3019">
        <v>8.4259000000000004</v>
      </c>
    </row>
    <row r="3020" spans="1:9">
      <c r="A3020" t="s">
        <v>104</v>
      </c>
      <c r="B3020" t="s">
        <v>105</v>
      </c>
      <c r="C3020" t="s">
        <v>80</v>
      </c>
      <c r="D3020" t="s">
        <v>96</v>
      </c>
      <c r="E3020" t="s">
        <v>92</v>
      </c>
      <c r="F3020" t="s">
        <v>4</v>
      </c>
      <c r="G3020" t="s">
        <v>109</v>
      </c>
      <c r="H3020" s="62">
        <v>2028</v>
      </c>
      <c r="I3020">
        <v>0.32079999999999997</v>
      </c>
    </row>
    <row r="3021" spans="1:9">
      <c r="A3021" t="s">
        <v>104</v>
      </c>
      <c r="B3021" t="s">
        <v>105</v>
      </c>
      <c r="C3021" t="s">
        <v>80</v>
      </c>
      <c r="D3021" t="s">
        <v>96</v>
      </c>
      <c r="E3021" t="s">
        <v>89</v>
      </c>
      <c r="F3021" t="s">
        <v>4</v>
      </c>
      <c r="G3021" t="s">
        <v>109</v>
      </c>
      <c r="H3021" s="62">
        <v>2028</v>
      </c>
      <c r="I3021">
        <v>0.81769999999999998</v>
      </c>
    </row>
    <row r="3022" spans="1:9">
      <c r="A3022" t="s">
        <v>104</v>
      </c>
      <c r="B3022" t="s">
        <v>105</v>
      </c>
      <c r="C3022" t="s">
        <v>80</v>
      </c>
      <c r="D3022" t="s">
        <v>97</v>
      </c>
      <c r="E3022" t="s">
        <v>98</v>
      </c>
      <c r="F3022" t="s">
        <v>4</v>
      </c>
      <c r="G3022" t="s">
        <v>109</v>
      </c>
      <c r="H3022" s="62">
        <v>2028</v>
      </c>
      <c r="I3022">
        <v>0.84789999999999999</v>
      </c>
    </row>
    <row r="3023" spans="1:9">
      <c r="A3023" t="s">
        <v>104</v>
      </c>
      <c r="B3023" t="s">
        <v>105</v>
      </c>
      <c r="C3023" t="s">
        <v>80</v>
      </c>
      <c r="D3023" t="s">
        <v>97</v>
      </c>
      <c r="E3023" t="s">
        <v>99</v>
      </c>
      <c r="F3023" t="s">
        <v>4</v>
      </c>
      <c r="G3023" t="s">
        <v>109</v>
      </c>
      <c r="H3023" s="62">
        <v>2028</v>
      </c>
      <c r="I3023">
        <v>0</v>
      </c>
    </row>
    <row r="3024" spans="1:9">
      <c r="A3024" t="s">
        <v>104</v>
      </c>
      <c r="B3024" t="s">
        <v>105</v>
      </c>
      <c r="C3024" t="s">
        <v>80</v>
      </c>
      <c r="D3024" t="s">
        <v>100</v>
      </c>
      <c r="E3024" t="s">
        <v>101</v>
      </c>
      <c r="F3024" t="s">
        <v>4</v>
      </c>
      <c r="G3024" t="s">
        <v>109</v>
      </c>
      <c r="H3024" s="62">
        <v>2028</v>
      </c>
      <c r="I3024">
        <v>8.4199999999999997E-2</v>
      </c>
    </row>
    <row r="3025" spans="1:9">
      <c r="A3025" t="s">
        <v>104</v>
      </c>
      <c r="B3025" t="s">
        <v>105</v>
      </c>
      <c r="C3025" t="s">
        <v>80</v>
      </c>
      <c r="D3025" t="s">
        <v>100</v>
      </c>
      <c r="E3025" t="s">
        <v>102</v>
      </c>
      <c r="F3025" t="s">
        <v>4</v>
      </c>
      <c r="G3025" t="s">
        <v>109</v>
      </c>
      <c r="H3025" s="62">
        <v>2028</v>
      </c>
      <c r="I3025">
        <v>0</v>
      </c>
    </row>
    <row r="3026" spans="1:9">
      <c r="A3026" t="s">
        <v>104</v>
      </c>
      <c r="B3026" t="s">
        <v>105</v>
      </c>
      <c r="C3026" t="s">
        <v>80</v>
      </c>
      <c r="D3026" t="s">
        <v>100</v>
      </c>
      <c r="E3026" t="s">
        <v>111</v>
      </c>
      <c r="F3026" t="s">
        <v>4</v>
      </c>
      <c r="G3026" t="s">
        <v>109</v>
      </c>
      <c r="H3026" s="62">
        <v>2028</v>
      </c>
      <c r="I3026">
        <v>0</v>
      </c>
    </row>
    <row r="3027" spans="1:9">
      <c r="A3027" t="s">
        <v>104</v>
      </c>
      <c r="B3027" t="s">
        <v>105</v>
      </c>
      <c r="C3027" t="s">
        <v>80</v>
      </c>
      <c r="D3027" t="s">
        <v>100</v>
      </c>
      <c r="E3027" t="s">
        <v>112</v>
      </c>
      <c r="F3027" t="s">
        <v>4</v>
      </c>
      <c r="G3027" t="s">
        <v>109</v>
      </c>
      <c r="H3027" s="62">
        <v>2028</v>
      </c>
      <c r="I3027">
        <v>0</v>
      </c>
    </row>
    <row r="3028" spans="1:9">
      <c r="A3028" t="s">
        <v>104</v>
      </c>
      <c r="B3028" t="s">
        <v>105</v>
      </c>
      <c r="C3028" t="s">
        <v>80</v>
      </c>
      <c r="D3028" t="s">
        <v>83</v>
      </c>
      <c r="E3028" t="s">
        <v>84</v>
      </c>
      <c r="F3028" t="s">
        <v>4</v>
      </c>
      <c r="G3028" t="s">
        <v>109</v>
      </c>
      <c r="H3028" s="62">
        <v>2028</v>
      </c>
      <c r="I3028">
        <v>1.4670000000000001</v>
      </c>
    </row>
    <row r="3029" spans="1:9">
      <c r="A3029" t="s">
        <v>104</v>
      </c>
      <c r="B3029" t="s">
        <v>105</v>
      </c>
      <c r="C3029" t="s">
        <v>80</v>
      </c>
      <c r="D3029" t="s">
        <v>83</v>
      </c>
      <c r="E3029" t="s">
        <v>85</v>
      </c>
      <c r="F3029" t="s">
        <v>4</v>
      </c>
      <c r="G3029" t="s">
        <v>109</v>
      </c>
      <c r="H3029" s="62">
        <v>2028</v>
      </c>
      <c r="I3029">
        <v>0.92720000000000002</v>
      </c>
    </row>
    <row r="3030" spans="1:9">
      <c r="A3030" t="s">
        <v>104</v>
      </c>
      <c r="B3030" t="s">
        <v>105</v>
      </c>
      <c r="C3030" t="s">
        <v>80</v>
      </c>
      <c r="D3030" t="s">
        <v>86</v>
      </c>
      <c r="E3030" t="s">
        <v>106</v>
      </c>
      <c r="F3030" t="s">
        <v>4</v>
      </c>
      <c r="G3030" t="s">
        <v>109</v>
      </c>
      <c r="H3030" s="62">
        <v>2028</v>
      </c>
      <c r="I3030">
        <v>0.81310000000000004</v>
      </c>
    </row>
    <row r="3031" spans="1:9">
      <c r="A3031" t="s">
        <v>104</v>
      </c>
      <c r="B3031" t="s">
        <v>105</v>
      </c>
      <c r="C3031" t="s">
        <v>80</v>
      </c>
      <c r="D3031" t="s">
        <v>86</v>
      </c>
      <c r="E3031" t="s">
        <v>87</v>
      </c>
      <c r="F3031" t="s">
        <v>4</v>
      </c>
      <c r="G3031" t="s">
        <v>109</v>
      </c>
      <c r="H3031" s="62">
        <v>2028</v>
      </c>
      <c r="I3031">
        <v>1.3331999999999999</v>
      </c>
    </row>
    <row r="3032" spans="1:9">
      <c r="A3032" t="s">
        <v>104</v>
      </c>
      <c r="B3032" t="s">
        <v>105</v>
      </c>
      <c r="C3032" t="s">
        <v>80</v>
      </c>
      <c r="D3032" t="s">
        <v>103</v>
      </c>
      <c r="E3032" t="s">
        <v>92</v>
      </c>
      <c r="F3032" t="s">
        <v>4</v>
      </c>
      <c r="G3032" t="s">
        <v>109</v>
      </c>
      <c r="H3032" s="62">
        <v>2028</v>
      </c>
      <c r="I3032">
        <v>1.5468</v>
      </c>
    </row>
    <row r="3033" spans="1:9">
      <c r="A3033" t="s">
        <v>104</v>
      </c>
      <c r="B3033" t="s">
        <v>105</v>
      </c>
      <c r="C3033" t="s">
        <v>80</v>
      </c>
      <c r="D3033" t="s">
        <v>103</v>
      </c>
      <c r="E3033" t="s">
        <v>89</v>
      </c>
      <c r="F3033" t="s">
        <v>4</v>
      </c>
      <c r="G3033" t="s">
        <v>109</v>
      </c>
      <c r="H3033" s="62">
        <v>2028</v>
      </c>
      <c r="I3033">
        <v>6.6241000000000003</v>
      </c>
    </row>
    <row r="3034" spans="1:9">
      <c r="A3034" t="s">
        <v>104</v>
      </c>
      <c r="B3034" t="s">
        <v>105</v>
      </c>
      <c r="C3034" t="s">
        <v>107</v>
      </c>
      <c r="D3034" t="s">
        <v>107</v>
      </c>
      <c r="E3034" t="s">
        <v>107</v>
      </c>
      <c r="F3034" t="s">
        <v>4</v>
      </c>
      <c r="G3034" t="s">
        <v>109</v>
      </c>
      <c r="H3034" s="62">
        <v>2029</v>
      </c>
      <c r="I3034">
        <v>43.646500000000003</v>
      </c>
    </row>
    <row r="3035" spans="1:9">
      <c r="A3035" t="s">
        <v>104</v>
      </c>
      <c r="B3035" t="s">
        <v>105</v>
      </c>
      <c r="C3035" t="s">
        <v>107</v>
      </c>
      <c r="D3035" t="s">
        <v>108</v>
      </c>
      <c r="E3035" t="s">
        <v>108</v>
      </c>
      <c r="F3035" t="s">
        <v>4</v>
      </c>
      <c r="G3035" t="s">
        <v>109</v>
      </c>
      <c r="H3035" s="62">
        <v>2029</v>
      </c>
      <c r="I3035">
        <v>1.4822</v>
      </c>
    </row>
    <row r="3036" spans="1:9">
      <c r="A3036" t="s">
        <v>104</v>
      </c>
      <c r="B3036" t="s">
        <v>105</v>
      </c>
      <c r="C3036" t="s">
        <v>80</v>
      </c>
      <c r="D3036" t="s">
        <v>80</v>
      </c>
      <c r="E3036" t="s">
        <v>80</v>
      </c>
      <c r="F3036" t="s">
        <v>4</v>
      </c>
      <c r="G3036" t="s">
        <v>109</v>
      </c>
      <c r="H3036" s="62">
        <v>2029</v>
      </c>
      <c r="I3036">
        <v>42.164299999999997</v>
      </c>
    </row>
    <row r="3037" spans="1:9">
      <c r="A3037" t="s">
        <v>104</v>
      </c>
      <c r="B3037" t="s">
        <v>105</v>
      </c>
      <c r="C3037" t="s">
        <v>80</v>
      </c>
      <c r="D3037" t="s">
        <v>89</v>
      </c>
      <c r="E3037" t="s">
        <v>90</v>
      </c>
      <c r="F3037" t="s">
        <v>4</v>
      </c>
      <c r="G3037" t="s">
        <v>109</v>
      </c>
      <c r="H3037" s="62">
        <v>2029</v>
      </c>
      <c r="I3037">
        <v>6.7952000000000004</v>
      </c>
    </row>
    <row r="3038" spans="1:9">
      <c r="A3038" t="s">
        <v>104</v>
      </c>
      <c r="B3038" t="s">
        <v>105</v>
      </c>
      <c r="C3038" t="s">
        <v>80</v>
      </c>
      <c r="D3038" t="s">
        <v>89</v>
      </c>
      <c r="E3038" t="s">
        <v>91</v>
      </c>
      <c r="F3038" t="s">
        <v>4</v>
      </c>
      <c r="G3038" t="s">
        <v>109</v>
      </c>
      <c r="H3038" s="62">
        <v>2029</v>
      </c>
      <c r="I3038">
        <v>-0.39829999999999999</v>
      </c>
    </row>
    <row r="3039" spans="1:9">
      <c r="A3039" t="s">
        <v>104</v>
      </c>
      <c r="B3039" t="s">
        <v>105</v>
      </c>
      <c r="C3039" t="s">
        <v>80</v>
      </c>
      <c r="D3039" t="s">
        <v>92</v>
      </c>
      <c r="E3039" t="s">
        <v>93</v>
      </c>
      <c r="F3039" t="s">
        <v>4</v>
      </c>
      <c r="G3039" t="s">
        <v>109</v>
      </c>
      <c r="H3039" s="62">
        <v>2029</v>
      </c>
      <c r="I3039">
        <v>-1.8903000000000001</v>
      </c>
    </row>
    <row r="3040" spans="1:9">
      <c r="A3040" t="s">
        <v>104</v>
      </c>
      <c r="B3040" t="s">
        <v>105</v>
      </c>
      <c r="C3040" t="s">
        <v>80</v>
      </c>
      <c r="D3040" t="s">
        <v>92</v>
      </c>
      <c r="E3040" t="s">
        <v>94</v>
      </c>
      <c r="F3040" t="s">
        <v>4</v>
      </c>
      <c r="G3040" t="s">
        <v>109</v>
      </c>
      <c r="H3040" s="62">
        <v>2029</v>
      </c>
      <c r="I3040">
        <v>23.573799999999999</v>
      </c>
    </row>
    <row r="3041" spans="1:9">
      <c r="A3041" t="s">
        <v>104</v>
      </c>
      <c r="B3041" t="s">
        <v>105</v>
      </c>
      <c r="C3041" t="s">
        <v>80</v>
      </c>
      <c r="D3041" t="s">
        <v>92</v>
      </c>
      <c r="E3041" t="s">
        <v>110</v>
      </c>
      <c r="F3041" t="s">
        <v>4</v>
      </c>
      <c r="G3041" t="s">
        <v>109</v>
      </c>
      <c r="H3041" s="62">
        <v>2029</v>
      </c>
      <c r="I3041">
        <v>0</v>
      </c>
    </row>
    <row r="3042" spans="1:9">
      <c r="A3042" t="s">
        <v>104</v>
      </c>
      <c r="B3042" t="s">
        <v>105</v>
      </c>
      <c r="C3042" t="s">
        <v>80</v>
      </c>
      <c r="D3042" t="s">
        <v>92</v>
      </c>
      <c r="E3042" t="s">
        <v>95</v>
      </c>
      <c r="F3042" t="s">
        <v>4</v>
      </c>
      <c r="G3042" t="s">
        <v>109</v>
      </c>
      <c r="H3042" s="62">
        <v>2029</v>
      </c>
      <c r="I3042">
        <v>8.6795000000000009</v>
      </c>
    </row>
    <row r="3043" spans="1:9">
      <c r="A3043" t="s">
        <v>104</v>
      </c>
      <c r="B3043" t="s">
        <v>105</v>
      </c>
      <c r="C3043" t="s">
        <v>80</v>
      </c>
      <c r="D3043" t="s">
        <v>96</v>
      </c>
      <c r="E3043" t="s">
        <v>92</v>
      </c>
      <c r="F3043" t="s">
        <v>4</v>
      </c>
      <c r="G3043" t="s">
        <v>109</v>
      </c>
      <c r="H3043" s="62">
        <v>2029</v>
      </c>
      <c r="I3043">
        <v>0.41880000000000001</v>
      </c>
    </row>
    <row r="3044" spans="1:9">
      <c r="A3044" t="s">
        <v>104</v>
      </c>
      <c r="B3044" t="s">
        <v>105</v>
      </c>
      <c r="C3044" t="s">
        <v>80</v>
      </c>
      <c r="D3044" t="s">
        <v>96</v>
      </c>
      <c r="E3044" t="s">
        <v>89</v>
      </c>
      <c r="F3044" t="s">
        <v>4</v>
      </c>
      <c r="G3044" t="s">
        <v>109</v>
      </c>
      <c r="H3044" s="62">
        <v>2029</v>
      </c>
      <c r="I3044">
        <v>1.3323</v>
      </c>
    </row>
    <row r="3045" spans="1:9">
      <c r="A3045" t="s">
        <v>104</v>
      </c>
      <c r="B3045" t="s">
        <v>105</v>
      </c>
      <c r="C3045" t="s">
        <v>80</v>
      </c>
      <c r="D3045" t="s">
        <v>97</v>
      </c>
      <c r="E3045" t="s">
        <v>98</v>
      </c>
      <c r="F3045" t="s">
        <v>4</v>
      </c>
      <c r="G3045" t="s">
        <v>109</v>
      </c>
      <c r="H3045" s="62">
        <v>2029</v>
      </c>
      <c r="I3045">
        <v>1.1448</v>
      </c>
    </row>
    <row r="3046" spans="1:9">
      <c r="A3046" t="s">
        <v>104</v>
      </c>
      <c r="B3046" t="s">
        <v>105</v>
      </c>
      <c r="C3046" t="s">
        <v>80</v>
      </c>
      <c r="D3046" t="s">
        <v>97</v>
      </c>
      <c r="E3046" t="s">
        <v>99</v>
      </c>
      <c r="F3046" t="s">
        <v>4</v>
      </c>
      <c r="G3046" t="s">
        <v>109</v>
      </c>
      <c r="H3046" s="62">
        <v>2029</v>
      </c>
      <c r="I3046">
        <v>0</v>
      </c>
    </row>
    <row r="3047" spans="1:9">
      <c r="A3047" t="s">
        <v>104</v>
      </c>
      <c r="B3047" t="s">
        <v>105</v>
      </c>
      <c r="C3047" t="s">
        <v>80</v>
      </c>
      <c r="D3047" t="s">
        <v>100</v>
      </c>
      <c r="E3047" t="s">
        <v>101</v>
      </c>
      <c r="F3047" t="s">
        <v>4</v>
      </c>
      <c r="G3047" t="s">
        <v>109</v>
      </c>
      <c r="H3047" s="62">
        <v>2029</v>
      </c>
      <c r="I3047">
        <v>8.8800000000000004E-2</v>
      </c>
    </row>
    <row r="3048" spans="1:9">
      <c r="A3048" t="s">
        <v>104</v>
      </c>
      <c r="B3048" t="s">
        <v>105</v>
      </c>
      <c r="C3048" t="s">
        <v>80</v>
      </c>
      <c r="D3048" t="s">
        <v>100</v>
      </c>
      <c r="E3048" t="s">
        <v>102</v>
      </c>
      <c r="F3048" t="s">
        <v>4</v>
      </c>
      <c r="G3048" t="s">
        <v>109</v>
      </c>
      <c r="H3048" s="62">
        <v>2029</v>
      </c>
      <c r="I3048">
        <v>0</v>
      </c>
    </row>
    <row r="3049" spans="1:9">
      <c r="A3049" t="s">
        <v>104</v>
      </c>
      <c r="B3049" t="s">
        <v>105</v>
      </c>
      <c r="C3049" t="s">
        <v>80</v>
      </c>
      <c r="D3049" t="s">
        <v>100</v>
      </c>
      <c r="E3049" t="s">
        <v>111</v>
      </c>
      <c r="F3049" t="s">
        <v>4</v>
      </c>
      <c r="G3049" t="s">
        <v>109</v>
      </c>
      <c r="H3049" s="62">
        <v>2029</v>
      </c>
      <c r="I3049">
        <v>0</v>
      </c>
    </row>
    <row r="3050" spans="1:9">
      <c r="A3050" t="s">
        <v>104</v>
      </c>
      <c r="B3050" t="s">
        <v>105</v>
      </c>
      <c r="C3050" t="s">
        <v>80</v>
      </c>
      <c r="D3050" t="s">
        <v>100</v>
      </c>
      <c r="E3050" t="s">
        <v>112</v>
      </c>
      <c r="F3050" t="s">
        <v>4</v>
      </c>
      <c r="G3050" t="s">
        <v>109</v>
      </c>
      <c r="H3050" s="62">
        <v>2029</v>
      </c>
      <c r="I3050">
        <v>0</v>
      </c>
    </row>
    <row r="3051" spans="1:9">
      <c r="A3051" t="s">
        <v>104</v>
      </c>
      <c r="B3051" t="s">
        <v>105</v>
      </c>
      <c r="C3051" t="s">
        <v>80</v>
      </c>
      <c r="D3051" t="s">
        <v>83</v>
      </c>
      <c r="E3051" t="s">
        <v>84</v>
      </c>
      <c r="F3051" t="s">
        <v>4</v>
      </c>
      <c r="G3051" t="s">
        <v>109</v>
      </c>
      <c r="H3051" s="62">
        <v>2029</v>
      </c>
      <c r="I3051">
        <v>1.4802999999999999</v>
      </c>
    </row>
    <row r="3052" spans="1:9">
      <c r="A3052" t="s">
        <v>104</v>
      </c>
      <c r="B3052" t="s">
        <v>105</v>
      </c>
      <c r="C3052" t="s">
        <v>80</v>
      </c>
      <c r="D3052" t="s">
        <v>83</v>
      </c>
      <c r="E3052" t="s">
        <v>85</v>
      </c>
      <c r="F3052" t="s">
        <v>4</v>
      </c>
      <c r="G3052" t="s">
        <v>109</v>
      </c>
      <c r="H3052" s="62">
        <v>2029</v>
      </c>
      <c r="I3052">
        <v>0.93959999999999999</v>
      </c>
    </row>
    <row r="3053" spans="1:9">
      <c r="A3053" t="s">
        <v>104</v>
      </c>
      <c r="B3053" t="s">
        <v>105</v>
      </c>
      <c r="C3053" t="s">
        <v>80</v>
      </c>
      <c r="D3053" t="s">
        <v>86</v>
      </c>
      <c r="E3053" t="s">
        <v>106</v>
      </c>
      <c r="F3053" t="s">
        <v>4</v>
      </c>
      <c r="G3053" t="s">
        <v>109</v>
      </c>
      <c r="H3053" s="62">
        <v>2029</v>
      </c>
      <c r="I3053">
        <v>0.79400000000000004</v>
      </c>
    </row>
    <row r="3054" spans="1:9">
      <c r="A3054" t="s">
        <v>104</v>
      </c>
      <c r="B3054" t="s">
        <v>105</v>
      </c>
      <c r="C3054" t="s">
        <v>80</v>
      </c>
      <c r="D3054" t="s">
        <v>86</v>
      </c>
      <c r="E3054" t="s">
        <v>87</v>
      </c>
      <c r="F3054" t="s">
        <v>4</v>
      </c>
      <c r="G3054" t="s">
        <v>109</v>
      </c>
      <c r="H3054" s="62">
        <v>2029</v>
      </c>
      <c r="I3054">
        <v>1.4944999999999999</v>
      </c>
    </row>
    <row r="3055" spans="1:9">
      <c r="A3055" t="s">
        <v>104</v>
      </c>
      <c r="B3055" t="s">
        <v>105</v>
      </c>
      <c r="C3055" t="s">
        <v>80</v>
      </c>
      <c r="D3055" t="s">
        <v>103</v>
      </c>
      <c r="E3055" t="s">
        <v>92</v>
      </c>
      <c r="F3055" t="s">
        <v>4</v>
      </c>
      <c r="G3055" t="s">
        <v>109</v>
      </c>
      <c r="H3055" s="62">
        <v>2029</v>
      </c>
      <c r="I3055">
        <v>1.681</v>
      </c>
    </row>
    <row r="3056" spans="1:9">
      <c r="A3056" t="s">
        <v>104</v>
      </c>
      <c r="B3056" t="s">
        <v>105</v>
      </c>
      <c r="C3056" t="s">
        <v>80</v>
      </c>
      <c r="D3056" t="s">
        <v>103</v>
      </c>
      <c r="E3056" t="s">
        <v>89</v>
      </c>
      <c r="F3056" t="s">
        <v>4</v>
      </c>
      <c r="G3056" t="s">
        <v>109</v>
      </c>
      <c r="H3056" s="62">
        <v>2029</v>
      </c>
      <c r="I3056">
        <v>7.2436999999999996</v>
      </c>
    </row>
    <row r="3057" spans="1:9">
      <c r="A3057" t="s">
        <v>104</v>
      </c>
      <c r="B3057" t="s">
        <v>105</v>
      </c>
      <c r="C3057" t="s">
        <v>107</v>
      </c>
      <c r="D3057" t="s">
        <v>107</v>
      </c>
      <c r="E3057" t="s">
        <v>107</v>
      </c>
      <c r="F3057" t="s">
        <v>4</v>
      </c>
      <c r="G3057" t="s">
        <v>109</v>
      </c>
      <c r="H3057" s="62">
        <v>2030</v>
      </c>
      <c r="I3057">
        <v>44.310200000000002</v>
      </c>
    </row>
    <row r="3058" spans="1:9">
      <c r="A3058" t="s">
        <v>104</v>
      </c>
      <c r="B3058" t="s">
        <v>105</v>
      </c>
      <c r="C3058" t="s">
        <v>107</v>
      </c>
      <c r="D3058" t="s">
        <v>108</v>
      </c>
      <c r="E3058" t="s">
        <v>108</v>
      </c>
      <c r="F3058" t="s">
        <v>4</v>
      </c>
      <c r="G3058" t="s">
        <v>109</v>
      </c>
      <c r="H3058" s="62">
        <v>2030</v>
      </c>
      <c r="I3058">
        <v>1.4670000000000001</v>
      </c>
    </row>
    <row r="3059" spans="1:9">
      <c r="A3059" t="s">
        <v>104</v>
      </c>
      <c r="B3059" t="s">
        <v>105</v>
      </c>
      <c r="C3059" t="s">
        <v>80</v>
      </c>
      <c r="D3059" t="s">
        <v>80</v>
      </c>
      <c r="E3059" t="s">
        <v>80</v>
      </c>
      <c r="F3059" t="s">
        <v>4</v>
      </c>
      <c r="G3059" t="s">
        <v>109</v>
      </c>
      <c r="H3059" s="62">
        <v>2030</v>
      </c>
      <c r="I3059">
        <v>42.843200000000003</v>
      </c>
    </row>
    <row r="3060" spans="1:9">
      <c r="A3060" t="s">
        <v>104</v>
      </c>
      <c r="B3060" t="s">
        <v>105</v>
      </c>
      <c r="C3060" t="s">
        <v>80</v>
      </c>
      <c r="D3060" t="s">
        <v>89</v>
      </c>
      <c r="E3060" t="s">
        <v>90</v>
      </c>
      <c r="F3060" t="s">
        <v>4</v>
      </c>
      <c r="G3060" t="s">
        <v>109</v>
      </c>
      <c r="H3060" s="62">
        <v>2030</v>
      </c>
      <c r="I3060">
        <v>6.4302999999999999</v>
      </c>
    </row>
    <row r="3061" spans="1:9">
      <c r="A3061" t="s">
        <v>104</v>
      </c>
      <c r="B3061" t="s">
        <v>105</v>
      </c>
      <c r="C3061" t="s">
        <v>80</v>
      </c>
      <c r="D3061" t="s">
        <v>89</v>
      </c>
      <c r="E3061" t="s">
        <v>91</v>
      </c>
      <c r="F3061" t="s">
        <v>4</v>
      </c>
      <c r="G3061" t="s">
        <v>109</v>
      </c>
      <c r="H3061" s="62">
        <v>2030</v>
      </c>
      <c r="I3061">
        <v>-0.40789999999999998</v>
      </c>
    </row>
    <row r="3062" spans="1:9">
      <c r="A3062" t="s">
        <v>104</v>
      </c>
      <c r="B3062" t="s">
        <v>105</v>
      </c>
      <c r="C3062" t="s">
        <v>80</v>
      </c>
      <c r="D3062" t="s">
        <v>92</v>
      </c>
      <c r="E3062" t="s">
        <v>93</v>
      </c>
      <c r="F3062" t="s">
        <v>4</v>
      </c>
      <c r="G3062" t="s">
        <v>109</v>
      </c>
      <c r="H3062" s="62">
        <v>2030</v>
      </c>
      <c r="I3062">
        <v>-2.0613000000000001</v>
      </c>
    </row>
    <row r="3063" spans="1:9">
      <c r="A3063" t="s">
        <v>104</v>
      </c>
      <c r="B3063" t="s">
        <v>105</v>
      </c>
      <c r="C3063" t="s">
        <v>80</v>
      </c>
      <c r="D3063" t="s">
        <v>92</v>
      </c>
      <c r="E3063" t="s">
        <v>94</v>
      </c>
      <c r="F3063" t="s">
        <v>4</v>
      </c>
      <c r="G3063" t="s">
        <v>109</v>
      </c>
      <c r="H3063" s="62">
        <v>2030</v>
      </c>
      <c r="I3063">
        <v>23.648199999999999</v>
      </c>
    </row>
    <row r="3064" spans="1:9">
      <c r="A3064" t="s">
        <v>104</v>
      </c>
      <c r="B3064" t="s">
        <v>105</v>
      </c>
      <c r="C3064" t="s">
        <v>80</v>
      </c>
      <c r="D3064" t="s">
        <v>92</v>
      </c>
      <c r="E3064" t="s">
        <v>110</v>
      </c>
      <c r="F3064" t="s">
        <v>4</v>
      </c>
      <c r="G3064" t="s">
        <v>109</v>
      </c>
      <c r="H3064" s="62">
        <v>2030</v>
      </c>
      <c r="I3064">
        <v>0</v>
      </c>
    </row>
    <row r="3065" spans="1:9">
      <c r="A3065" t="s">
        <v>104</v>
      </c>
      <c r="B3065" t="s">
        <v>105</v>
      </c>
      <c r="C3065" t="s">
        <v>80</v>
      </c>
      <c r="D3065" t="s">
        <v>92</v>
      </c>
      <c r="E3065" t="s">
        <v>95</v>
      </c>
      <c r="F3065" t="s">
        <v>4</v>
      </c>
      <c r="G3065" t="s">
        <v>109</v>
      </c>
      <c r="H3065" s="62">
        <v>2030</v>
      </c>
      <c r="I3065">
        <v>8.8486999999999991</v>
      </c>
    </row>
    <row r="3066" spans="1:9">
      <c r="A3066" t="s">
        <v>104</v>
      </c>
      <c r="B3066" t="s">
        <v>105</v>
      </c>
      <c r="C3066" t="s">
        <v>80</v>
      </c>
      <c r="D3066" t="s">
        <v>96</v>
      </c>
      <c r="E3066" t="s">
        <v>92</v>
      </c>
      <c r="F3066" t="s">
        <v>4</v>
      </c>
      <c r="G3066" t="s">
        <v>109</v>
      </c>
      <c r="H3066" s="62">
        <v>2030</v>
      </c>
      <c r="I3066">
        <v>0.45240000000000002</v>
      </c>
    </row>
    <row r="3067" spans="1:9">
      <c r="A3067" t="s">
        <v>104</v>
      </c>
      <c r="B3067" t="s">
        <v>105</v>
      </c>
      <c r="C3067" t="s">
        <v>80</v>
      </c>
      <c r="D3067" t="s">
        <v>96</v>
      </c>
      <c r="E3067" t="s">
        <v>89</v>
      </c>
      <c r="F3067" t="s">
        <v>4</v>
      </c>
      <c r="G3067" t="s">
        <v>109</v>
      </c>
      <c r="H3067" s="62">
        <v>2030</v>
      </c>
      <c r="I3067">
        <v>1.7996000000000001</v>
      </c>
    </row>
    <row r="3068" spans="1:9">
      <c r="A3068" t="s">
        <v>104</v>
      </c>
      <c r="B3068" t="s">
        <v>105</v>
      </c>
      <c r="C3068" t="s">
        <v>80</v>
      </c>
      <c r="D3068" t="s">
        <v>97</v>
      </c>
      <c r="E3068" t="s">
        <v>98</v>
      </c>
      <c r="F3068" t="s">
        <v>4</v>
      </c>
      <c r="G3068" t="s">
        <v>109</v>
      </c>
      <c r="H3068" s="62">
        <v>2030</v>
      </c>
      <c r="I3068">
        <v>1.4816</v>
      </c>
    </row>
    <row r="3069" spans="1:9">
      <c r="A3069" t="s">
        <v>104</v>
      </c>
      <c r="B3069" t="s">
        <v>105</v>
      </c>
      <c r="C3069" t="s">
        <v>80</v>
      </c>
      <c r="D3069" t="s">
        <v>97</v>
      </c>
      <c r="E3069" t="s">
        <v>99</v>
      </c>
      <c r="F3069" t="s">
        <v>4</v>
      </c>
      <c r="G3069" t="s">
        <v>109</v>
      </c>
      <c r="H3069" s="62">
        <v>2030</v>
      </c>
      <c r="I3069">
        <v>0</v>
      </c>
    </row>
    <row r="3070" spans="1:9">
      <c r="A3070" t="s">
        <v>104</v>
      </c>
      <c r="B3070" t="s">
        <v>105</v>
      </c>
      <c r="C3070" t="s">
        <v>80</v>
      </c>
      <c r="D3070" t="s">
        <v>100</v>
      </c>
      <c r="E3070" t="s">
        <v>101</v>
      </c>
      <c r="F3070" t="s">
        <v>4</v>
      </c>
      <c r="G3070" t="s">
        <v>109</v>
      </c>
      <c r="H3070" s="62">
        <v>2030</v>
      </c>
      <c r="I3070">
        <v>0.1913</v>
      </c>
    </row>
    <row r="3071" spans="1:9">
      <c r="A3071" t="s">
        <v>104</v>
      </c>
      <c r="B3071" t="s">
        <v>105</v>
      </c>
      <c r="C3071" t="s">
        <v>80</v>
      </c>
      <c r="D3071" t="s">
        <v>100</v>
      </c>
      <c r="E3071" t="s">
        <v>102</v>
      </c>
      <c r="F3071" t="s">
        <v>4</v>
      </c>
      <c r="G3071" t="s">
        <v>109</v>
      </c>
      <c r="H3071" s="62">
        <v>2030</v>
      </c>
      <c r="I3071">
        <v>0</v>
      </c>
    </row>
    <row r="3072" spans="1:9">
      <c r="A3072" t="s">
        <v>104</v>
      </c>
      <c r="B3072" t="s">
        <v>105</v>
      </c>
      <c r="C3072" t="s">
        <v>80</v>
      </c>
      <c r="D3072" t="s">
        <v>100</v>
      </c>
      <c r="E3072" t="s">
        <v>111</v>
      </c>
      <c r="F3072" t="s">
        <v>4</v>
      </c>
      <c r="G3072" t="s">
        <v>109</v>
      </c>
      <c r="H3072" s="62">
        <v>2030</v>
      </c>
      <c r="I3072">
        <v>0</v>
      </c>
    </row>
    <row r="3073" spans="1:9">
      <c r="A3073" t="s">
        <v>104</v>
      </c>
      <c r="B3073" t="s">
        <v>105</v>
      </c>
      <c r="C3073" t="s">
        <v>80</v>
      </c>
      <c r="D3073" t="s">
        <v>100</v>
      </c>
      <c r="E3073" t="s">
        <v>112</v>
      </c>
      <c r="F3073" t="s">
        <v>4</v>
      </c>
      <c r="G3073" t="s">
        <v>109</v>
      </c>
      <c r="H3073" s="62">
        <v>2030</v>
      </c>
      <c r="I3073">
        <v>0</v>
      </c>
    </row>
    <row r="3074" spans="1:9">
      <c r="A3074" t="s">
        <v>104</v>
      </c>
      <c r="B3074" t="s">
        <v>105</v>
      </c>
      <c r="C3074" t="s">
        <v>80</v>
      </c>
      <c r="D3074" t="s">
        <v>83</v>
      </c>
      <c r="E3074" t="s">
        <v>84</v>
      </c>
      <c r="F3074" t="s">
        <v>4</v>
      </c>
      <c r="G3074" t="s">
        <v>109</v>
      </c>
      <c r="H3074" s="62">
        <v>2030</v>
      </c>
      <c r="I3074">
        <v>1.5045999999999999</v>
      </c>
    </row>
    <row r="3075" spans="1:9">
      <c r="A3075" t="s">
        <v>104</v>
      </c>
      <c r="B3075" t="s">
        <v>105</v>
      </c>
      <c r="C3075" t="s">
        <v>80</v>
      </c>
      <c r="D3075" t="s">
        <v>83</v>
      </c>
      <c r="E3075" t="s">
        <v>85</v>
      </c>
      <c r="F3075" t="s">
        <v>4</v>
      </c>
      <c r="G3075" t="s">
        <v>109</v>
      </c>
      <c r="H3075" s="62">
        <v>2030</v>
      </c>
      <c r="I3075">
        <v>0.9556</v>
      </c>
    </row>
    <row r="3076" spans="1:9">
      <c r="A3076" t="s">
        <v>104</v>
      </c>
      <c r="B3076" t="s">
        <v>105</v>
      </c>
      <c r="C3076" t="s">
        <v>80</v>
      </c>
      <c r="D3076" t="s">
        <v>86</v>
      </c>
      <c r="E3076" t="s">
        <v>106</v>
      </c>
      <c r="F3076" t="s">
        <v>4</v>
      </c>
      <c r="G3076" t="s">
        <v>109</v>
      </c>
      <c r="H3076" s="62">
        <v>2030</v>
      </c>
      <c r="I3076">
        <v>0.80840000000000001</v>
      </c>
    </row>
    <row r="3077" spans="1:9">
      <c r="A3077" t="s">
        <v>104</v>
      </c>
      <c r="B3077" t="s">
        <v>105</v>
      </c>
      <c r="C3077" t="s">
        <v>80</v>
      </c>
      <c r="D3077" t="s">
        <v>86</v>
      </c>
      <c r="E3077" t="s">
        <v>87</v>
      </c>
      <c r="F3077" t="s">
        <v>4</v>
      </c>
      <c r="G3077" t="s">
        <v>109</v>
      </c>
      <c r="H3077" s="62">
        <v>2030</v>
      </c>
      <c r="I3077">
        <v>1.6608000000000001</v>
      </c>
    </row>
    <row r="3078" spans="1:9">
      <c r="A3078" t="s">
        <v>104</v>
      </c>
      <c r="B3078" t="s">
        <v>105</v>
      </c>
      <c r="C3078" t="s">
        <v>80</v>
      </c>
      <c r="D3078" t="s">
        <v>103</v>
      </c>
      <c r="E3078" t="s">
        <v>92</v>
      </c>
      <c r="F3078" t="s">
        <v>4</v>
      </c>
      <c r="G3078" t="s">
        <v>109</v>
      </c>
      <c r="H3078" s="62">
        <v>2030</v>
      </c>
      <c r="I3078">
        <v>1.8097000000000001</v>
      </c>
    </row>
    <row r="3079" spans="1:9">
      <c r="A3079" t="s">
        <v>104</v>
      </c>
      <c r="B3079" t="s">
        <v>105</v>
      </c>
      <c r="C3079" t="s">
        <v>80</v>
      </c>
      <c r="D3079" t="s">
        <v>103</v>
      </c>
      <c r="E3079" t="s">
        <v>89</v>
      </c>
      <c r="F3079" t="s">
        <v>4</v>
      </c>
      <c r="G3079" t="s">
        <v>109</v>
      </c>
      <c r="H3079" s="62">
        <v>2030</v>
      </c>
      <c r="I3079">
        <v>7.7455999999999996</v>
      </c>
    </row>
    <row r="3080" spans="1:9">
      <c r="A3080" t="s">
        <v>104</v>
      </c>
      <c r="B3080" t="s">
        <v>105</v>
      </c>
      <c r="C3080" t="s">
        <v>107</v>
      </c>
      <c r="D3080" t="s">
        <v>107</v>
      </c>
      <c r="E3080" t="s">
        <v>107</v>
      </c>
      <c r="F3080" t="s">
        <v>4</v>
      </c>
      <c r="G3080" t="s">
        <v>109</v>
      </c>
      <c r="H3080" s="62">
        <v>2031</v>
      </c>
      <c r="I3080">
        <v>44.9542</v>
      </c>
    </row>
    <row r="3081" spans="1:9">
      <c r="A3081" t="s">
        <v>104</v>
      </c>
      <c r="B3081" t="s">
        <v>105</v>
      </c>
      <c r="C3081" t="s">
        <v>107</v>
      </c>
      <c r="D3081" t="s">
        <v>108</v>
      </c>
      <c r="E3081" t="s">
        <v>108</v>
      </c>
      <c r="F3081" t="s">
        <v>4</v>
      </c>
      <c r="G3081" t="s">
        <v>109</v>
      </c>
      <c r="H3081" s="62">
        <v>2031</v>
      </c>
      <c r="I3081">
        <v>1.4487000000000001</v>
      </c>
    </row>
    <row r="3082" spans="1:9">
      <c r="A3082" t="s">
        <v>104</v>
      </c>
      <c r="B3082" t="s">
        <v>105</v>
      </c>
      <c r="C3082" t="s">
        <v>80</v>
      </c>
      <c r="D3082" t="s">
        <v>80</v>
      </c>
      <c r="E3082" t="s">
        <v>80</v>
      </c>
      <c r="F3082" t="s">
        <v>4</v>
      </c>
      <c r="G3082" t="s">
        <v>109</v>
      </c>
      <c r="H3082" s="62">
        <v>2031</v>
      </c>
      <c r="I3082">
        <v>43.505499999999998</v>
      </c>
    </row>
    <row r="3083" spans="1:9">
      <c r="A3083" t="s">
        <v>104</v>
      </c>
      <c r="B3083" t="s">
        <v>105</v>
      </c>
      <c r="C3083" t="s">
        <v>80</v>
      </c>
      <c r="D3083" t="s">
        <v>89</v>
      </c>
      <c r="E3083" t="s">
        <v>90</v>
      </c>
      <c r="F3083" t="s">
        <v>4</v>
      </c>
      <c r="G3083" t="s">
        <v>109</v>
      </c>
      <c r="H3083" s="62">
        <v>2031</v>
      </c>
      <c r="I3083">
        <v>5.9664999999999999</v>
      </c>
    </row>
    <row r="3084" spans="1:9">
      <c r="A3084" t="s">
        <v>104</v>
      </c>
      <c r="B3084" t="s">
        <v>105</v>
      </c>
      <c r="C3084" t="s">
        <v>80</v>
      </c>
      <c r="D3084" t="s">
        <v>89</v>
      </c>
      <c r="E3084" t="s">
        <v>91</v>
      </c>
      <c r="F3084" t="s">
        <v>4</v>
      </c>
      <c r="G3084" t="s">
        <v>109</v>
      </c>
      <c r="H3084" s="62">
        <v>2031</v>
      </c>
      <c r="I3084">
        <v>-0.41439999999999999</v>
      </c>
    </row>
    <row r="3085" spans="1:9">
      <c r="A3085" t="s">
        <v>104</v>
      </c>
      <c r="B3085" t="s">
        <v>105</v>
      </c>
      <c r="C3085" t="s">
        <v>80</v>
      </c>
      <c r="D3085" t="s">
        <v>92</v>
      </c>
      <c r="E3085" t="s">
        <v>93</v>
      </c>
      <c r="F3085" t="s">
        <v>4</v>
      </c>
      <c r="G3085" t="s">
        <v>109</v>
      </c>
      <c r="H3085" s="62">
        <v>2031</v>
      </c>
      <c r="I3085">
        <v>-2.2723</v>
      </c>
    </row>
    <row r="3086" spans="1:9">
      <c r="A3086" t="s">
        <v>104</v>
      </c>
      <c r="B3086" t="s">
        <v>105</v>
      </c>
      <c r="C3086" t="s">
        <v>80</v>
      </c>
      <c r="D3086" t="s">
        <v>92</v>
      </c>
      <c r="E3086" t="s">
        <v>94</v>
      </c>
      <c r="F3086" t="s">
        <v>4</v>
      </c>
      <c r="G3086" t="s">
        <v>109</v>
      </c>
      <c r="H3086" s="62">
        <v>2031</v>
      </c>
      <c r="I3086">
        <v>23.8476</v>
      </c>
    </row>
    <row r="3087" spans="1:9">
      <c r="A3087" t="s">
        <v>104</v>
      </c>
      <c r="B3087" t="s">
        <v>105</v>
      </c>
      <c r="C3087" t="s">
        <v>80</v>
      </c>
      <c r="D3087" t="s">
        <v>92</v>
      </c>
      <c r="E3087" t="s">
        <v>110</v>
      </c>
      <c r="F3087" t="s">
        <v>4</v>
      </c>
      <c r="G3087" t="s">
        <v>109</v>
      </c>
      <c r="H3087" s="62">
        <v>2031</v>
      </c>
      <c r="I3087">
        <v>0</v>
      </c>
    </row>
    <row r="3088" spans="1:9">
      <c r="A3088" t="s">
        <v>104</v>
      </c>
      <c r="B3088" t="s">
        <v>105</v>
      </c>
      <c r="C3088" t="s">
        <v>80</v>
      </c>
      <c r="D3088" t="s">
        <v>92</v>
      </c>
      <c r="E3088" t="s">
        <v>95</v>
      </c>
      <c r="F3088" t="s">
        <v>4</v>
      </c>
      <c r="G3088" t="s">
        <v>109</v>
      </c>
      <c r="H3088" s="62">
        <v>2031</v>
      </c>
      <c r="I3088">
        <v>8.8707999999999991</v>
      </c>
    </row>
    <row r="3089" spans="1:9">
      <c r="A3089" t="s">
        <v>104</v>
      </c>
      <c r="B3089" t="s">
        <v>105</v>
      </c>
      <c r="C3089" t="s">
        <v>80</v>
      </c>
      <c r="D3089" t="s">
        <v>96</v>
      </c>
      <c r="E3089" t="s">
        <v>92</v>
      </c>
      <c r="F3089" t="s">
        <v>4</v>
      </c>
      <c r="G3089" t="s">
        <v>109</v>
      </c>
      <c r="H3089" s="62">
        <v>2031</v>
      </c>
      <c r="I3089">
        <v>0.4995</v>
      </c>
    </row>
    <row r="3090" spans="1:9">
      <c r="A3090" t="s">
        <v>104</v>
      </c>
      <c r="B3090" t="s">
        <v>105</v>
      </c>
      <c r="C3090" t="s">
        <v>80</v>
      </c>
      <c r="D3090" t="s">
        <v>96</v>
      </c>
      <c r="E3090" t="s">
        <v>89</v>
      </c>
      <c r="F3090" t="s">
        <v>4</v>
      </c>
      <c r="G3090" t="s">
        <v>109</v>
      </c>
      <c r="H3090" s="62">
        <v>2031</v>
      </c>
      <c r="I3090">
        <v>2.1396999999999999</v>
      </c>
    </row>
    <row r="3091" spans="1:9">
      <c r="A3091" t="s">
        <v>104</v>
      </c>
      <c r="B3091" t="s">
        <v>105</v>
      </c>
      <c r="C3091" t="s">
        <v>80</v>
      </c>
      <c r="D3091" t="s">
        <v>97</v>
      </c>
      <c r="E3091" t="s">
        <v>98</v>
      </c>
      <c r="F3091" t="s">
        <v>4</v>
      </c>
      <c r="G3091" t="s">
        <v>109</v>
      </c>
      <c r="H3091" s="62">
        <v>2031</v>
      </c>
      <c r="I3091">
        <v>1.8609</v>
      </c>
    </row>
    <row r="3092" spans="1:9">
      <c r="A3092" t="s">
        <v>104</v>
      </c>
      <c r="B3092" t="s">
        <v>105</v>
      </c>
      <c r="C3092" t="s">
        <v>80</v>
      </c>
      <c r="D3092" t="s">
        <v>97</v>
      </c>
      <c r="E3092" t="s">
        <v>99</v>
      </c>
      <c r="F3092" t="s">
        <v>4</v>
      </c>
      <c r="G3092" t="s">
        <v>109</v>
      </c>
      <c r="H3092" s="62">
        <v>2031</v>
      </c>
      <c r="I3092">
        <v>2.0999999999999999E-3</v>
      </c>
    </row>
    <row r="3093" spans="1:9">
      <c r="A3093" t="s">
        <v>104</v>
      </c>
      <c r="B3093" t="s">
        <v>105</v>
      </c>
      <c r="C3093" t="s">
        <v>80</v>
      </c>
      <c r="D3093" t="s">
        <v>100</v>
      </c>
      <c r="E3093" t="s">
        <v>101</v>
      </c>
      <c r="F3093" t="s">
        <v>4</v>
      </c>
      <c r="G3093" t="s">
        <v>109</v>
      </c>
      <c r="H3093" s="62">
        <v>2031</v>
      </c>
      <c r="I3093">
        <v>0.51060000000000005</v>
      </c>
    </row>
    <row r="3094" spans="1:9">
      <c r="A3094" t="s">
        <v>104</v>
      </c>
      <c r="B3094" t="s">
        <v>105</v>
      </c>
      <c r="C3094" t="s">
        <v>80</v>
      </c>
      <c r="D3094" t="s">
        <v>100</v>
      </c>
      <c r="E3094" t="s">
        <v>102</v>
      </c>
      <c r="F3094" t="s">
        <v>4</v>
      </c>
      <c r="G3094" t="s">
        <v>109</v>
      </c>
      <c r="H3094" s="62">
        <v>2031</v>
      </c>
      <c r="I3094">
        <v>0</v>
      </c>
    </row>
    <row r="3095" spans="1:9">
      <c r="A3095" t="s">
        <v>104</v>
      </c>
      <c r="B3095" t="s">
        <v>105</v>
      </c>
      <c r="C3095" t="s">
        <v>80</v>
      </c>
      <c r="D3095" t="s">
        <v>100</v>
      </c>
      <c r="E3095" t="s">
        <v>111</v>
      </c>
      <c r="F3095" t="s">
        <v>4</v>
      </c>
      <c r="G3095" t="s">
        <v>109</v>
      </c>
      <c r="H3095" s="62">
        <v>2031</v>
      </c>
      <c r="I3095">
        <v>0</v>
      </c>
    </row>
    <row r="3096" spans="1:9">
      <c r="A3096" t="s">
        <v>104</v>
      </c>
      <c r="B3096" t="s">
        <v>105</v>
      </c>
      <c r="C3096" t="s">
        <v>80</v>
      </c>
      <c r="D3096" t="s">
        <v>100</v>
      </c>
      <c r="E3096" t="s">
        <v>112</v>
      </c>
      <c r="F3096" t="s">
        <v>4</v>
      </c>
      <c r="G3096" t="s">
        <v>109</v>
      </c>
      <c r="H3096" s="62">
        <v>2031</v>
      </c>
      <c r="I3096">
        <v>0</v>
      </c>
    </row>
    <row r="3097" spans="1:9">
      <c r="A3097" t="s">
        <v>104</v>
      </c>
      <c r="B3097" t="s">
        <v>105</v>
      </c>
      <c r="C3097" t="s">
        <v>80</v>
      </c>
      <c r="D3097" t="s">
        <v>83</v>
      </c>
      <c r="E3097" t="s">
        <v>84</v>
      </c>
      <c r="F3097" t="s">
        <v>4</v>
      </c>
      <c r="G3097" t="s">
        <v>109</v>
      </c>
      <c r="H3097" s="62">
        <v>2031</v>
      </c>
      <c r="I3097">
        <v>1.5270999999999999</v>
      </c>
    </row>
    <row r="3098" spans="1:9">
      <c r="A3098" t="s">
        <v>104</v>
      </c>
      <c r="B3098" t="s">
        <v>105</v>
      </c>
      <c r="C3098" t="s">
        <v>80</v>
      </c>
      <c r="D3098" t="s">
        <v>83</v>
      </c>
      <c r="E3098" t="s">
        <v>85</v>
      </c>
      <c r="F3098" t="s">
        <v>4</v>
      </c>
      <c r="G3098" t="s">
        <v>109</v>
      </c>
      <c r="H3098" s="62">
        <v>2031</v>
      </c>
      <c r="I3098">
        <v>0.96740000000000004</v>
      </c>
    </row>
    <row r="3099" spans="1:9">
      <c r="A3099" t="s">
        <v>104</v>
      </c>
      <c r="B3099" t="s">
        <v>105</v>
      </c>
      <c r="C3099" t="s">
        <v>80</v>
      </c>
      <c r="D3099" t="s">
        <v>86</v>
      </c>
      <c r="E3099" t="s">
        <v>106</v>
      </c>
      <c r="F3099" t="s">
        <v>4</v>
      </c>
      <c r="G3099" t="s">
        <v>109</v>
      </c>
      <c r="H3099" s="62">
        <v>2031</v>
      </c>
      <c r="I3099">
        <v>0.82279999999999998</v>
      </c>
    </row>
    <row r="3100" spans="1:9">
      <c r="A3100" t="s">
        <v>104</v>
      </c>
      <c r="B3100" t="s">
        <v>105</v>
      </c>
      <c r="C3100" t="s">
        <v>80</v>
      </c>
      <c r="D3100" t="s">
        <v>86</v>
      </c>
      <c r="E3100" t="s">
        <v>87</v>
      </c>
      <c r="F3100" t="s">
        <v>4</v>
      </c>
      <c r="G3100" t="s">
        <v>109</v>
      </c>
      <c r="H3100" s="62">
        <v>2031</v>
      </c>
      <c r="I3100">
        <v>1.8637999999999999</v>
      </c>
    </row>
    <row r="3101" spans="1:9">
      <c r="A3101" t="s">
        <v>104</v>
      </c>
      <c r="B3101" t="s">
        <v>105</v>
      </c>
      <c r="C3101" t="s">
        <v>80</v>
      </c>
      <c r="D3101" t="s">
        <v>103</v>
      </c>
      <c r="E3101" t="s">
        <v>92</v>
      </c>
      <c r="F3101" t="s">
        <v>4</v>
      </c>
      <c r="G3101" t="s">
        <v>109</v>
      </c>
      <c r="H3101" s="62">
        <v>2031</v>
      </c>
      <c r="I3101">
        <v>1.9444999999999999</v>
      </c>
    </row>
    <row r="3102" spans="1:9">
      <c r="A3102" t="s">
        <v>104</v>
      </c>
      <c r="B3102" t="s">
        <v>105</v>
      </c>
      <c r="C3102" t="s">
        <v>80</v>
      </c>
      <c r="D3102" t="s">
        <v>103</v>
      </c>
      <c r="E3102" t="s">
        <v>89</v>
      </c>
      <c r="F3102" t="s">
        <v>4</v>
      </c>
      <c r="G3102" t="s">
        <v>109</v>
      </c>
      <c r="H3102" s="62">
        <v>2031</v>
      </c>
      <c r="I3102">
        <v>8.2800999999999991</v>
      </c>
    </row>
    <row r="3103" spans="1:9">
      <c r="A3103" t="s">
        <v>104</v>
      </c>
      <c r="B3103" t="s">
        <v>105</v>
      </c>
      <c r="C3103" t="s">
        <v>107</v>
      </c>
      <c r="D3103" t="s">
        <v>107</v>
      </c>
      <c r="E3103" t="s">
        <v>107</v>
      </c>
      <c r="F3103" t="s">
        <v>4</v>
      </c>
      <c r="G3103" t="s">
        <v>109</v>
      </c>
      <c r="H3103" s="62">
        <v>2032</v>
      </c>
      <c r="I3103">
        <v>46.714300000000001</v>
      </c>
    </row>
    <row r="3104" spans="1:9">
      <c r="A3104" t="s">
        <v>104</v>
      </c>
      <c r="B3104" t="s">
        <v>105</v>
      </c>
      <c r="C3104" t="s">
        <v>107</v>
      </c>
      <c r="D3104" t="s">
        <v>108</v>
      </c>
      <c r="E3104" t="s">
        <v>108</v>
      </c>
      <c r="F3104" t="s">
        <v>4</v>
      </c>
      <c r="G3104" t="s">
        <v>109</v>
      </c>
      <c r="H3104" s="62">
        <v>2032</v>
      </c>
      <c r="I3104">
        <v>1.2102999999999999</v>
      </c>
    </row>
    <row r="3105" spans="1:9">
      <c r="A3105" t="s">
        <v>104</v>
      </c>
      <c r="B3105" t="s">
        <v>105</v>
      </c>
      <c r="C3105" t="s">
        <v>80</v>
      </c>
      <c r="D3105" t="s">
        <v>80</v>
      </c>
      <c r="E3105" t="s">
        <v>80</v>
      </c>
      <c r="F3105" t="s">
        <v>4</v>
      </c>
      <c r="G3105" t="s">
        <v>109</v>
      </c>
      <c r="H3105" s="62">
        <v>2032</v>
      </c>
      <c r="I3105">
        <v>45.503999999999998</v>
      </c>
    </row>
    <row r="3106" spans="1:9">
      <c r="A3106" t="s">
        <v>104</v>
      </c>
      <c r="B3106" t="s">
        <v>105</v>
      </c>
      <c r="C3106" t="s">
        <v>80</v>
      </c>
      <c r="D3106" t="s">
        <v>89</v>
      </c>
      <c r="E3106" t="s">
        <v>90</v>
      </c>
      <c r="F3106" t="s">
        <v>4</v>
      </c>
      <c r="G3106" t="s">
        <v>109</v>
      </c>
      <c r="H3106" s="62">
        <v>2032</v>
      </c>
      <c r="I3106">
        <v>5.4711999999999996</v>
      </c>
    </row>
    <row r="3107" spans="1:9">
      <c r="A3107" t="s">
        <v>104</v>
      </c>
      <c r="B3107" t="s">
        <v>105</v>
      </c>
      <c r="C3107" t="s">
        <v>80</v>
      </c>
      <c r="D3107" t="s">
        <v>89</v>
      </c>
      <c r="E3107" t="s">
        <v>91</v>
      </c>
      <c r="F3107" t="s">
        <v>4</v>
      </c>
      <c r="G3107" t="s">
        <v>109</v>
      </c>
      <c r="H3107" s="62">
        <v>2032</v>
      </c>
      <c r="I3107">
        <v>-0.40739999999999998</v>
      </c>
    </row>
    <row r="3108" spans="1:9">
      <c r="A3108" t="s">
        <v>104</v>
      </c>
      <c r="B3108" t="s">
        <v>105</v>
      </c>
      <c r="C3108" t="s">
        <v>80</v>
      </c>
      <c r="D3108" t="s">
        <v>92</v>
      </c>
      <c r="E3108" t="s">
        <v>93</v>
      </c>
      <c r="F3108" t="s">
        <v>4</v>
      </c>
      <c r="G3108" t="s">
        <v>109</v>
      </c>
      <c r="H3108" s="62">
        <v>2032</v>
      </c>
      <c r="I3108">
        <v>-2.4697</v>
      </c>
    </row>
    <row r="3109" spans="1:9">
      <c r="A3109" t="s">
        <v>104</v>
      </c>
      <c r="B3109" t="s">
        <v>105</v>
      </c>
      <c r="C3109" t="s">
        <v>80</v>
      </c>
      <c r="D3109" t="s">
        <v>92</v>
      </c>
      <c r="E3109" t="s">
        <v>94</v>
      </c>
      <c r="F3109" t="s">
        <v>4</v>
      </c>
      <c r="G3109" t="s">
        <v>109</v>
      </c>
      <c r="H3109" s="62">
        <v>2032</v>
      </c>
      <c r="I3109">
        <v>24.245899999999999</v>
      </c>
    </row>
    <row r="3110" spans="1:9">
      <c r="A3110" t="s">
        <v>104</v>
      </c>
      <c r="B3110" t="s">
        <v>105</v>
      </c>
      <c r="C3110" t="s">
        <v>80</v>
      </c>
      <c r="D3110" t="s">
        <v>92</v>
      </c>
      <c r="E3110" t="s">
        <v>110</v>
      </c>
      <c r="F3110" t="s">
        <v>4</v>
      </c>
      <c r="G3110" t="s">
        <v>109</v>
      </c>
      <c r="H3110" s="62">
        <v>2032</v>
      </c>
      <c r="I3110">
        <v>0</v>
      </c>
    </row>
    <row r="3111" spans="1:9">
      <c r="A3111" t="s">
        <v>104</v>
      </c>
      <c r="B3111" t="s">
        <v>105</v>
      </c>
      <c r="C3111" t="s">
        <v>80</v>
      </c>
      <c r="D3111" t="s">
        <v>92</v>
      </c>
      <c r="E3111" t="s">
        <v>95</v>
      </c>
      <c r="F3111" t="s">
        <v>4</v>
      </c>
      <c r="G3111" t="s">
        <v>109</v>
      </c>
      <c r="H3111" s="62">
        <v>2032</v>
      </c>
      <c r="I3111">
        <v>8.9189000000000007</v>
      </c>
    </row>
    <row r="3112" spans="1:9">
      <c r="A3112" t="s">
        <v>104</v>
      </c>
      <c r="B3112" t="s">
        <v>105</v>
      </c>
      <c r="C3112" t="s">
        <v>80</v>
      </c>
      <c r="D3112" t="s">
        <v>96</v>
      </c>
      <c r="E3112" t="s">
        <v>92</v>
      </c>
      <c r="F3112" t="s">
        <v>4</v>
      </c>
      <c r="G3112" t="s">
        <v>109</v>
      </c>
      <c r="H3112" s="62">
        <v>2032</v>
      </c>
      <c r="I3112">
        <v>0.64870000000000005</v>
      </c>
    </row>
    <row r="3113" spans="1:9">
      <c r="A3113" t="s">
        <v>104</v>
      </c>
      <c r="B3113" t="s">
        <v>105</v>
      </c>
      <c r="C3113" t="s">
        <v>80</v>
      </c>
      <c r="D3113" t="s">
        <v>96</v>
      </c>
      <c r="E3113" t="s">
        <v>89</v>
      </c>
      <c r="F3113" t="s">
        <v>4</v>
      </c>
      <c r="G3113" t="s">
        <v>109</v>
      </c>
      <c r="H3113" s="62">
        <v>2032</v>
      </c>
      <c r="I3113">
        <v>2.5051999999999999</v>
      </c>
    </row>
    <row r="3114" spans="1:9">
      <c r="A3114" t="s">
        <v>104</v>
      </c>
      <c r="B3114" t="s">
        <v>105</v>
      </c>
      <c r="C3114" t="s">
        <v>80</v>
      </c>
      <c r="D3114" t="s">
        <v>97</v>
      </c>
      <c r="E3114" t="s">
        <v>98</v>
      </c>
      <c r="F3114" t="s">
        <v>4</v>
      </c>
      <c r="G3114" t="s">
        <v>109</v>
      </c>
      <c r="H3114" s="62">
        <v>2032</v>
      </c>
      <c r="I3114">
        <v>2.2791000000000001</v>
      </c>
    </row>
    <row r="3115" spans="1:9">
      <c r="A3115" t="s">
        <v>104</v>
      </c>
      <c r="B3115" t="s">
        <v>105</v>
      </c>
      <c r="C3115" t="s">
        <v>80</v>
      </c>
      <c r="D3115" t="s">
        <v>97</v>
      </c>
      <c r="E3115" t="s">
        <v>99</v>
      </c>
      <c r="F3115" t="s">
        <v>4</v>
      </c>
      <c r="G3115" t="s">
        <v>109</v>
      </c>
      <c r="H3115" s="62">
        <v>2032</v>
      </c>
      <c r="I3115">
        <v>5.1000000000000004E-3</v>
      </c>
    </row>
    <row r="3116" spans="1:9">
      <c r="A3116" t="s">
        <v>104</v>
      </c>
      <c r="B3116" t="s">
        <v>105</v>
      </c>
      <c r="C3116" t="s">
        <v>80</v>
      </c>
      <c r="D3116" t="s">
        <v>100</v>
      </c>
      <c r="E3116" t="s">
        <v>101</v>
      </c>
      <c r="F3116" t="s">
        <v>4</v>
      </c>
      <c r="G3116" t="s">
        <v>109</v>
      </c>
      <c r="H3116" s="62">
        <v>2032</v>
      </c>
      <c r="I3116">
        <v>1.7553000000000001</v>
      </c>
    </row>
    <row r="3117" spans="1:9">
      <c r="A3117" t="s">
        <v>104</v>
      </c>
      <c r="B3117" t="s">
        <v>105</v>
      </c>
      <c r="C3117" t="s">
        <v>80</v>
      </c>
      <c r="D3117" t="s">
        <v>100</v>
      </c>
      <c r="E3117" t="s">
        <v>102</v>
      </c>
      <c r="F3117" t="s">
        <v>4</v>
      </c>
      <c r="G3117" t="s">
        <v>109</v>
      </c>
      <c r="H3117" s="62">
        <v>2032</v>
      </c>
      <c r="I3117">
        <v>0</v>
      </c>
    </row>
    <row r="3118" spans="1:9">
      <c r="A3118" t="s">
        <v>104</v>
      </c>
      <c r="B3118" t="s">
        <v>105</v>
      </c>
      <c r="C3118" t="s">
        <v>80</v>
      </c>
      <c r="D3118" t="s">
        <v>100</v>
      </c>
      <c r="E3118" t="s">
        <v>111</v>
      </c>
      <c r="F3118" t="s">
        <v>4</v>
      </c>
      <c r="G3118" t="s">
        <v>109</v>
      </c>
      <c r="H3118" s="62">
        <v>2032</v>
      </c>
      <c r="I3118">
        <v>0</v>
      </c>
    </row>
    <row r="3119" spans="1:9">
      <c r="A3119" t="s">
        <v>104</v>
      </c>
      <c r="B3119" t="s">
        <v>105</v>
      </c>
      <c r="C3119" t="s">
        <v>80</v>
      </c>
      <c r="D3119" t="s">
        <v>100</v>
      </c>
      <c r="E3119" t="s">
        <v>112</v>
      </c>
      <c r="F3119" t="s">
        <v>4</v>
      </c>
      <c r="G3119" t="s">
        <v>109</v>
      </c>
      <c r="H3119" s="62">
        <v>2032</v>
      </c>
      <c r="I3119">
        <v>0</v>
      </c>
    </row>
    <row r="3120" spans="1:9">
      <c r="A3120" t="s">
        <v>104</v>
      </c>
      <c r="B3120" t="s">
        <v>105</v>
      </c>
      <c r="C3120" t="s">
        <v>80</v>
      </c>
      <c r="D3120" t="s">
        <v>83</v>
      </c>
      <c r="E3120" t="s">
        <v>84</v>
      </c>
      <c r="F3120" t="s">
        <v>4</v>
      </c>
      <c r="G3120" t="s">
        <v>109</v>
      </c>
      <c r="H3120" s="62">
        <v>2032</v>
      </c>
      <c r="I3120">
        <v>1.5644</v>
      </c>
    </row>
    <row r="3121" spans="1:9">
      <c r="A3121" t="s">
        <v>104</v>
      </c>
      <c r="B3121" t="s">
        <v>105</v>
      </c>
      <c r="C3121" t="s">
        <v>80</v>
      </c>
      <c r="D3121" t="s">
        <v>83</v>
      </c>
      <c r="E3121" t="s">
        <v>85</v>
      </c>
      <c r="F3121" t="s">
        <v>4</v>
      </c>
      <c r="G3121" t="s">
        <v>109</v>
      </c>
      <c r="H3121" s="62">
        <v>2032</v>
      </c>
      <c r="I3121">
        <v>0.98729999999999996</v>
      </c>
    </row>
    <row r="3122" spans="1:9">
      <c r="A3122" t="s">
        <v>104</v>
      </c>
      <c r="B3122" t="s">
        <v>105</v>
      </c>
      <c r="C3122" t="s">
        <v>80</v>
      </c>
      <c r="D3122" t="s">
        <v>86</v>
      </c>
      <c r="E3122" t="s">
        <v>106</v>
      </c>
      <c r="F3122" t="s">
        <v>4</v>
      </c>
      <c r="G3122" t="s">
        <v>109</v>
      </c>
      <c r="H3122" s="62">
        <v>2032</v>
      </c>
      <c r="I3122">
        <v>0.78210000000000002</v>
      </c>
    </row>
    <row r="3123" spans="1:9">
      <c r="A3123" t="s">
        <v>104</v>
      </c>
      <c r="B3123" t="s">
        <v>105</v>
      </c>
      <c r="C3123" t="s">
        <v>80</v>
      </c>
      <c r="D3123" t="s">
        <v>86</v>
      </c>
      <c r="E3123" t="s">
        <v>87</v>
      </c>
      <c r="F3123" t="s">
        <v>4</v>
      </c>
      <c r="G3123" t="s">
        <v>109</v>
      </c>
      <c r="H3123" s="62">
        <v>2032</v>
      </c>
      <c r="I3123">
        <v>2.0950000000000002</v>
      </c>
    </row>
    <row r="3124" spans="1:9">
      <c r="A3124" t="s">
        <v>104</v>
      </c>
      <c r="B3124" t="s">
        <v>105</v>
      </c>
      <c r="C3124" t="s">
        <v>80</v>
      </c>
      <c r="D3124" t="s">
        <v>103</v>
      </c>
      <c r="E3124" t="s">
        <v>92</v>
      </c>
      <c r="F3124" t="s">
        <v>4</v>
      </c>
      <c r="G3124" t="s">
        <v>109</v>
      </c>
      <c r="H3124" s="62">
        <v>2032</v>
      </c>
      <c r="I3124">
        <v>2.0869</v>
      </c>
    </row>
    <row r="3125" spans="1:9">
      <c r="A3125" t="s">
        <v>104</v>
      </c>
      <c r="B3125" t="s">
        <v>105</v>
      </c>
      <c r="C3125" t="s">
        <v>80</v>
      </c>
      <c r="D3125" t="s">
        <v>103</v>
      </c>
      <c r="E3125" t="s">
        <v>89</v>
      </c>
      <c r="F3125" t="s">
        <v>4</v>
      </c>
      <c r="G3125" t="s">
        <v>109</v>
      </c>
      <c r="H3125" s="62">
        <v>2032</v>
      </c>
      <c r="I3125">
        <v>8.8527000000000005</v>
      </c>
    </row>
    <row r="3126" spans="1:9">
      <c r="A3126" t="s">
        <v>104</v>
      </c>
      <c r="B3126" t="s">
        <v>105</v>
      </c>
      <c r="C3126" t="s">
        <v>107</v>
      </c>
      <c r="D3126" t="s">
        <v>107</v>
      </c>
      <c r="E3126" t="s">
        <v>107</v>
      </c>
      <c r="F3126" t="s">
        <v>4</v>
      </c>
      <c r="G3126" t="s">
        <v>109</v>
      </c>
      <c r="H3126" s="62">
        <v>2033</v>
      </c>
      <c r="I3126">
        <v>49.811</v>
      </c>
    </row>
    <row r="3127" spans="1:9">
      <c r="A3127" t="s">
        <v>104</v>
      </c>
      <c r="B3127" t="s">
        <v>105</v>
      </c>
      <c r="C3127" t="s">
        <v>107</v>
      </c>
      <c r="D3127" t="s">
        <v>108</v>
      </c>
      <c r="E3127" t="s">
        <v>108</v>
      </c>
      <c r="F3127" t="s">
        <v>4</v>
      </c>
      <c r="G3127" t="s">
        <v>109</v>
      </c>
      <c r="H3127" s="62">
        <v>2033</v>
      </c>
      <c r="I3127">
        <v>1.1859</v>
      </c>
    </row>
    <row r="3128" spans="1:9">
      <c r="A3128" t="s">
        <v>104</v>
      </c>
      <c r="B3128" t="s">
        <v>105</v>
      </c>
      <c r="C3128" t="s">
        <v>80</v>
      </c>
      <c r="D3128" t="s">
        <v>80</v>
      </c>
      <c r="E3128" t="s">
        <v>80</v>
      </c>
      <c r="F3128" t="s">
        <v>4</v>
      </c>
      <c r="G3128" t="s">
        <v>109</v>
      </c>
      <c r="H3128" s="62">
        <v>2033</v>
      </c>
      <c r="I3128">
        <v>48.625100000000003</v>
      </c>
    </row>
    <row r="3129" spans="1:9">
      <c r="A3129" t="s">
        <v>104</v>
      </c>
      <c r="B3129" t="s">
        <v>105</v>
      </c>
      <c r="C3129" t="s">
        <v>80</v>
      </c>
      <c r="D3129" t="s">
        <v>89</v>
      </c>
      <c r="E3129" t="s">
        <v>90</v>
      </c>
      <c r="F3129" t="s">
        <v>4</v>
      </c>
      <c r="G3129" t="s">
        <v>109</v>
      </c>
      <c r="H3129" s="62">
        <v>2033</v>
      </c>
      <c r="I3129">
        <v>4.907</v>
      </c>
    </row>
    <row r="3130" spans="1:9">
      <c r="A3130" t="s">
        <v>104</v>
      </c>
      <c r="B3130" t="s">
        <v>105</v>
      </c>
      <c r="C3130" t="s">
        <v>80</v>
      </c>
      <c r="D3130" t="s">
        <v>89</v>
      </c>
      <c r="E3130" t="s">
        <v>91</v>
      </c>
      <c r="F3130" t="s">
        <v>4</v>
      </c>
      <c r="G3130" t="s">
        <v>109</v>
      </c>
      <c r="H3130" s="62">
        <v>2033</v>
      </c>
      <c r="I3130">
        <v>-0.39929999999999999</v>
      </c>
    </row>
    <row r="3131" spans="1:9">
      <c r="A3131" t="s">
        <v>104</v>
      </c>
      <c r="B3131" t="s">
        <v>105</v>
      </c>
      <c r="C3131" t="s">
        <v>80</v>
      </c>
      <c r="D3131" t="s">
        <v>92</v>
      </c>
      <c r="E3131" t="s">
        <v>93</v>
      </c>
      <c r="F3131" t="s">
        <v>4</v>
      </c>
      <c r="G3131" t="s">
        <v>109</v>
      </c>
      <c r="H3131" s="62">
        <v>2033</v>
      </c>
      <c r="I3131">
        <v>-2.7292999999999998</v>
      </c>
    </row>
    <row r="3132" spans="1:9">
      <c r="A3132" t="s">
        <v>104</v>
      </c>
      <c r="B3132" t="s">
        <v>105</v>
      </c>
      <c r="C3132" t="s">
        <v>80</v>
      </c>
      <c r="D3132" t="s">
        <v>92</v>
      </c>
      <c r="E3132" t="s">
        <v>94</v>
      </c>
      <c r="F3132" t="s">
        <v>4</v>
      </c>
      <c r="G3132" t="s">
        <v>109</v>
      </c>
      <c r="H3132" s="62">
        <v>2033</v>
      </c>
      <c r="I3132">
        <v>24.5763</v>
      </c>
    </row>
    <row r="3133" spans="1:9">
      <c r="A3133" t="s">
        <v>104</v>
      </c>
      <c r="B3133" t="s">
        <v>105</v>
      </c>
      <c r="C3133" t="s">
        <v>80</v>
      </c>
      <c r="D3133" t="s">
        <v>92</v>
      </c>
      <c r="E3133" t="s">
        <v>110</v>
      </c>
      <c r="F3133" t="s">
        <v>4</v>
      </c>
      <c r="G3133" t="s">
        <v>109</v>
      </c>
      <c r="H3133" s="62">
        <v>2033</v>
      </c>
      <c r="I3133">
        <v>0</v>
      </c>
    </row>
    <row r="3134" spans="1:9">
      <c r="A3134" t="s">
        <v>104</v>
      </c>
      <c r="B3134" t="s">
        <v>105</v>
      </c>
      <c r="C3134" t="s">
        <v>80</v>
      </c>
      <c r="D3134" t="s">
        <v>92</v>
      </c>
      <c r="E3134" t="s">
        <v>95</v>
      </c>
      <c r="F3134" t="s">
        <v>4</v>
      </c>
      <c r="G3134" t="s">
        <v>109</v>
      </c>
      <c r="H3134" s="62">
        <v>2033</v>
      </c>
      <c r="I3134">
        <v>8.9620999999999995</v>
      </c>
    </row>
    <row r="3135" spans="1:9">
      <c r="A3135" t="s">
        <v>104</v>
      </c>
      <c r="B3135" t="s">
        <v>105</v>
      </c>
      <c r="C3135" t="s">
        <v>80</v>
      </c>
      <c r="D3135" t="s">
        <v>96</v>
      </c>
      <c r="E3135" t="s">
        <v>92</v>
      </c>
      <c r="F3135" t="s">
        <v>4</v>
      </c>
      <c r="G3135" t="s">
        <v>109</v>
      </c>
      <c r="H3135" s="62">
        <v>2033</v>
      </c>
      <c r="I3135">
        <v>0.80079999999999996</v>
      </c>
    </row>
    <row r="3136" spans="1:9">
      <c r="A3136" t="s">
        <v>104</v>
      </c>
      <c r="B3136" t="s">
        <v>105</v>
      </c>
      <c r="C3136" t="s">
        <v>80</v>
      </c>
      <c r="D3136" t="s">
        <v>96</v>
      </c>
      <c r="E3136" t="s">
        <v>89</v>
      </c>
      <c r="F3136" t="s">
        <v>4</v>
      </c>
      <c r="G3136" t="s">
        <v>109</v>
      </c>
      <c r="H3136" s="62">
        <v>2033</v>
      </c>
      <c r="I3136">
        <v>2.8635000000000002</v>
      </c>
    </row>
    <row r="3137" spans="1:9">
      <c r="A3137" t="s">
        <v>104</v>
      </c>
      <c r="B3137" t="s">
        <v>105</v>
      </c>
      <c r="C3137" t="s">
        <v>80</v>
      </c>
      <c r="D3137" t="s">
        <v>97</v>
      </c>
      <c r="E3137" t="s">
        <v>98</v>
      </c>
      <c r="F3137" t="s">
        <v>4</v>
      </c>
      <c r="G3137" t="s">
        <v>109</v>
      </c>
      <c r="H3137" s="62">
        <v>2033</v>
      </c>
      <c r="I3137">
        <v>2.7155</v>
      </c>
    </row>
    <row r="3138" spans="1:9">
      <c r="A3138" t="s">
        <v>104</v>
      </c>
      <c r="B3138" t="s">
        <v>105</v>
      </c>
      <c r="C3138" t="s">
        <v>80</v>
      </c>
      <c r="D3138" t="s">
        <v>97</v>
      </c>
      <c r="E3138" t="s">
        <v>99</v>
      </c>
      <c r="F3138" t="s">
        <v>4</v>
      </c>
      <c r="G3138" t="s">
        <v>109</v>
      </c>
      <c r="H3138" s="62">
        <v>2033</v>
      </c>
      <c r="I3138">
        <v>8.8999999999999999E-3</v>
      </c>
    </row>
    <row r="3139" spans="1:9">
      <c r="A3139" t="s">
        <v>104</v>
      </c>
      <c r="B3139" t="s">
        <v>105</v>
      </c>
      <c r="C3139" t="s">
        <v>80</v>
      </c>
      <c r="D3139" t="s">
        <v>100</v>
      </c>
      <c r="E3139" t="s">
        <v>101</v>
      </c>
      <c r="F3139" t="s">
        <v>4</v>
      </c>
      <c r="G3139" t="s">
        <v>109</v>
      </c>
      <c r="H3139" s="62">
        <v>2033</v>
      </c>
      <c r="I3139">
        <v>4.319</v>
      </c>
    </row>
    <row r="3140" spans="1:9">
      <c r="A3140" t="s">
        <v>104</v>
      </c>
      <c r="B3140" t="s">
        <v>105</v>
      </c>
      <c r="C3140" t="s">
        <v>80</v>
      </c>
      <c r="D3140" t="s">
        <v>100</v>
      </c>
      <c r="E3140" t="s">
        <v>102</v>
      </c>
      <c r="F3140" t="s">
        <v>4</v>
      </c>
      <c r="G3140" t="s">
        <v>109</v>
      </c>
      <c r="H3140" s="62">
        <v>2033</v>
      </c>
      <c r="I3140">
        <v>0</v>
      </c>
    </row>
    <row r="3141" spans="1:9">
      <c r="A3141" t="s">
        <v>104</v>
      </c>
      <c r="B3141" t="s">
        <v>105</v>
      </c>
      <c r="C3141" t="s">
        <v>80</v>
      </c>
      <c r="D3141" t="s">
        <v>100</v>
      </c>
      <c r="E3141" t="s">
        <v>111</v>
      </c>
      <c r="F3141" t="s">
        <v>4</v>
      </c>
      <c r="G3141" t="s">
        <v>109</v>
      </c>
      <c r="H3141" s="62">
        <v>2033</v>
      </c>
      <c r="I3141">
        <v>0</v>
      </c>
    </row>
    <row r="3142" spans="1:9">
      <c r="A3142" t="s">
        <v>104</v>
      </c>
      <c r="B3142" t="s">
        <v>105</v>
      </c>
      <c r="C3142" t="s">
        <v>80</v>
      </c>
      <c r="D3142" t="s">
        <v>100</v>
      </c>
      <c r="E3142" t="s">
        <v>112</v>
      </c>
      <c r="F3142" t="s">
        <v>4</v>
      </c>
      <c r="G3142" t="s">
        <v>109</v>
      </c>
      <c r="H3142" s="62">
        <v>2033</v>
      </c>
      <c r="I3142">
        <v>0</v>
      </c>
    </row>
    <row r="3143" spans="1:9">
      <c r="A3143" t="s">
        <v>104</v>
      </c>
      <c r="B3143" t="s">
        <v>105</v>
      </c>
      <c r="C3143" t="s">
        <v>80</v>
      </c>
      <c r="D3143" t="s">
        <v>83</v>
      </c>
      <c r="E3143" t="s">
        <v>84</v>
      </c>
      <c r="F3143" t="s">
        <v>4</v>
      </c>
      <c r="G3143" t="s">
        <v>109</v>
      </c>
      <c r="H3143" s="62">
        <v>2033</v>
      </c>
      <c r="I3143">
        <v>1.5963000000000001</v>
      </c>
    </row>
    <row r="3144" spans="1:9">
      <c r="A3144" t="s">
        <v>104</v>
      </c>
      <c r="B3144" t="s">
        <v>105</v>
      </c>
      <c r="C3144" t="s">
        <v>80</v>
      </c>
      <c r="D3144" t="s">
        <v>83</v>
      </c>
      <c r="E3144" t="s">
        <v>85</v>
      </c>
      <c r="F3144" t="s">
        <v>4</v>
      </c>
      <c r="G3144" t="s">
        <v>109</v>
      </c>
      <c r="H3144" s="62">
        <v>2033</v>
      </c>
      <c r="I3144">
        <v>1.0043</v>
      </c>
    </row>
    <row r="3145" spans="1:9">
      <c r="A3145" t="s">
        <v>104</v>
      </c>
      <c r="B3145" t="s">
        <v>105</v>
      </c>
      <c r="C3145" t="s">
        <v>80</v>
      </c>
      <c r="D3145" t="s">
        <v>86</v>
      </c>
      <c r="E3145" t="s">
        <v>106</v>
      </c>
      <c r="F3145" t="s">
        <v>4</v>
      </c>
      <c r="G3145" t="s">
        <v>109</v>
      </c>
      <c r="H3145" s="62">
        <v>2033</v>
      </c>
      <c r="I3145">
        <v>0.79430000000000001</v>
      </c>
    </row>
    <row r="3146" spans="1:9">
      <c r="A3146" t="s">
        <v>104</v>
      </c>
      <c r="B3146" t="s">
        <v>105</v>
      </c>
      <c r="C3146" t="s">
        <v>80</v>
      </c>
      <c r="D3146" t="s">
        <v>86</v>
      </c>
      <c r="E3146" t="s">
        <v>87</v>
      </c>
      <c r="F3146" t="s">
        <v>4</v>
      </c>
      <c r="G3146" t="s">
        <v>109</v>
      </c>
      <c r="H3146" s="62">
        <v>2033</v>
      </c>
      <c r="I3146">
        <v>2.3342999999999998</v>
      </c>
    </row>
    <row r="3147" spans="1:9">
      <c r="A3147" t="s">
        <v>104</v>
      </c>
      <c r="B3147" t="s">
        <v>105</v>
      </c>
      <c r="C3147" t="s">
        <v>80</v>
      </c>
      <c r="D3147" t="s">
        <v>103</v>
      </c>
      <c r="E3147" t="s">
        <v>92</v>
      </c>
      <c r="F3147" t="s">
        <v>4</v>
      </c>
      <c r="G3147" t="s">
        <v>109</v>
      </c>
      <c r="H3147" s="62">
        <v>2033</v>
      </c>
      <c r="I3147">
        <v>2.2347000000000001</v>
      </c>
    </row>
    <row r="3148" spans="1:9">
      <c r="A3148" t="s">
        <v>104</v>
      </c>
      <c r="B3148" t="s">
        <v>105</v>
      </c>
      <c r="C3148" t="s">
        <v>80</v>
      </c>
      <c r="D3148" t="s">
        <v>103</v>
      </c>
      <c r="E3148" t="s">
        <v>89</v>
      </c>
      <c r="F3148" t="s">
        <v>4</v>
      </c>
      <c r="G3148" t="s">
        <v>109</v>
      </c>
      <c r="H3148" s="62">
        <v>2033</v>
      </c>
      <c r="I3148">
        <v>9.4530999999999992</v>
      </c>
    </row>
    <row r="3149" spans="1:9">
      <c r="A3149" t="s">
        <v>104</v>
      </c>
      <c r="B3149" t="s">
        <v>105</v>
      </c>
      <c r="C3149" t="s">
        <v>107</v>
      </c>
      <c r="D3149" t="s">
        <v>107</v>
      </c>
      <c r="E3149" t="s">
        <v>107</v>
      </c>
      <c r="F3149" t="s">
        <v>4</v>
      </c>
      <c r="G3149" t="s">
        <v>109</v>
      </c>
      <c r="H3149" s="62">
        <v>2034</v>
      </c>
      <c r="I3149">
        <v>50.535600000000002</v>
      </c>
    </row>
    <row r="3150" spans="1:9">
      <c r="A3150" t="s">
        <v>104</v>
      </c>
      <c r="B3150" t="s">
        <v>105</v>
      </c>
      <c r="C3150" t="s">
        <v>107</v>
      </c>
      <c r="D3150" t="s">
        <v>108</v>
      </c>
      <c r="E3150" t="s">
        <v>108</v>
      </c>
      <c r="F3150" t="s">
        <v>4</v>
      </c>
      <c r="G3150" t="s">
        <v>109</v>
      </c>
      <c r="H3150" s="62">
        <v>2034</v>
      </c>
      <c r="I3150">
        <v>7.5999999999999998E-2</v>
      </c>
    </row>
    <row r="3151" spans="1:9">
      <c r="A3151" t="s">
        <v>104</v>
      </c>
      <c r="B3151" t="s">
        <v>105</v>
      </c>
      <c r="C3151" t="s">
        <v>80</v>
      </c>
      <c r="D3151" t="s">
        <v>80</v>
      </c>
      <c r="E3151" t="s">
        <v>80</v>
      </c>
      <c r="F3151" t="s">
        <v>4</v>
      </c>
      <c r="G3151" t="s">
        <v>109</v>
      </c>
      <c r="H3151" s="62">
        <v>2034</v>
      </c>
      <c r="I3151">
        <v>50.459600000000002</v>
      </c>
    </row>
    <row r="3152" spans="1:9">
      <c r="A3152" t="s">
        <v>104</v>
      </c>
      <c r="B3152" t="s">
        <v>105</v>
      </c>
      <c r="C3152" t="s">
        <v>80</v>
      </c>
      <c r="D3152" t="s">
        <v>89</v>
      </c>
      <c r="E3152" t="s">
        <v>90</v>
      </c>
      <c r="F3152" t="s">
        <v>4</v>
      </c>
      <c r="G3152" t="s">
        <v>109</v>
      </c>
      <c r="H3152" s="62">
        <v>2034</v>
      </c>
      <c r="I3152">
        <v>4.2396000000000003</v>
      </c>
    </row>
    <row r="3153" spans="1:9">
      <c r="A3153" t="s">
        <v>104</v>
      </c>
      <c r="B3153" t="s">
        <v>105</v>
      </c>
      <c r="C3153" t="s">
        <v>80</v>
      </c>
      <c r="D3153" t="s">
        <v>89</v>
      </c>
      <c r="E3153" t="s">
        <v>91</v>
      </c>
      <c r="F3153" t="s">
        <v>4</v>
      </c>
      <c r="G3153" t="s">
        <v>109</v>
      </c>
      <c r="H3153" s="62">
        <v>2034</v>
      </c>
      <c r="I3153">
        <v>-0.37990000000000002</v>
      </c>
    </row>
    <row r="3154" spans="1:9">
      <c r="A3154" t="s">
        <v>104</v>
      </c>
      <c r="B3154" t="s">
        <v>105</v>
      </c>
      <c r="C3154" t="s">
        <v>80</v>
      </c>
      <c r="D3154" t="s">
        <v>92</v>
      </c>
      <c r="E3154" t="s">
        <v>93</v>
      </c>
      <c r="F3154" t="s">
        <v>4</v>
      </c>
      <c r="G3154" t="s">
        <v>109</v>
      </c>
      <c r="H3154" s="62">
        <v>2034</v>
      </c>
      <c r="I3154">
        <v>-3.0104000000000002</v>
      </c>
    </row>
    <row r="3155" spans="1:9">
      <c r="A3155" t="s">
        <v>104</v>
      </c>
      <c r="B3155" t="s">
        <v>105</v>
      </c>
      <c r="C3155" t="s">
        <v>80</v>
      </c>
      <c r="D3155" t="s">
        <v>92</v>
      </c>
      <c r="E3155" t="s">
        <v>94</v>
      </c>
      <c r="F3155" t="s">
        <v>4</v>
      </c>
      <c r="G3155" t="s">
        <v>109</v>
      </c>
      <c r="H3155" s="62">
        <v>2034</v>
      </c>
      <c r="I3155">
        <v>24.591200000000001</v>
      </c>
    </row>
    <row r="3156" spans="1:9">
      <c r="A3156" t="s">
        <v>104</v>
      </c>
      <c r="B3156" t="s">
        <v>105</v>
      </c>
      <c r="C3156" t="s">
        <v>80</v>
      </c>
      <c r="D3156" t="s">
        <v>92</v>
      </c>
      <c r="E3156" t="s">
        <v>110</v>
      </c>
      <c r="F3156" t="s">
        <v>4</v>
      </c>
      <c r="G3156" t="s">
        <v>109</v>
      </c>
      <c r="H3156" s="62">
        <v>2034</v>
      </c>
      <c r="I3156">
        <v>0</v>
      </c>
    </row>
    <row r="3157" spans="1:9">
      <c r="A3157" t="s">
        <v>104</v>
      </c>
      <c r="B3157" t="s">
        <v>105</v>
      </c>
      <c r="C3157" t="s">
        <v>80</v>
      </c>
      <c r="D3157" t="s">
        <v>92</v>
      </c>
      <c r="E3157" t="s">
        <v>95</v>
      </c>
      <c r="F3157" t="s">
        <v>4</v>
      </c>
      <c r="G3157" t="s">
        <v>109</v>
      </c>
      <c r="H3157" s="62">
        <v>2034</v>
      </c>
      <c r="I3157">
        <v>9.0027000000000008</v>
      </c>
    </row>
    <row r="3158" spans="1:9">
      <c r="A3158" t="s">
        <v>104</v>
      </c>
      <c r="B3158" t="s">
        <v>105</v>
      </c>
      <c r="C3158" t="s">
        <v>80</v>
      </c>
      <c r="D3158" t="s">
        <v>96</v>
      </c>
      <c r="E3158" t="s">
        <v>92</v>
      </c>
      <c r="F3158" t="s">
        <v>4</v>
      </c>
      <c r="G3158" t="s">
        <v>109</v>
      </c>
      <c r="H3158" s="62">
        <v>2034</v>
      </c>
      <c r="I3158">
        <v>1.2491000000000001</v>
      </c>
    </row>
    <row r="3159" spans="1:9">
      <c r="A3159" t="s">
        <v>104</v>
      </c>
      <c r="B3159" t="s">
        <v>105</v>
      </c>
      <c r="C3159" t="s">
        <v>80</v>
      </c>
      <c r="D3159" t="s">
        <v>96</v>
      </c>
      <c r="E3159" t="s">
        <v>89</v>
      </c>
      <c r="F3159" t="s">
        <v>4</v>
      </c>
      <c r="G3159" t="s">
        <v>109</v>
      </c>
      <c r="H3159" s="62">
        <v>2034</v>
      </c>
      <c r="I3159">
        <v>3.2141999999999999</v>
      </c>
    </row>
    <row r="3160" spans="1:9">
      <c r="A3160" t="s">
        <v>104</v>
      </c>
      <c r="B3160" t="s">
        <v>105</v>
      </c>
      <c r="C3160" t="s">
        <v>80</v>
      </c>
      <c r="D3160" t="s">
        <v>97</v>
      </c>
      <c r="E3160" t="s">
        <v>98</v>
      </c>
      <c r="F3160" t="s">
        <v>4</v>
      </c>
      <c r="G3160" t="s">
        <v>109</v>
      </c>
      <c r="H3160" s="62">
        <v>2034</v>
      </c>
      <c r="I3160">
        <v>3.1871</v>
      </c>
    </row>
    <row r="3161" spans="1:9">
      <c r="A3161" t="s">
        <v>104</v>
      </c>
      <c r="B3161" t="s">
        <v>105</v>
      </c>
      <c r="C3161" t="s">
        <v>80</v>
      </c>
      <c r="D3161" t="s">
        <v>97</v>
      </c>
      <c r="E3161" t="s">
        <v>99</v>
      </c>
      <c r="F3161" t="s">
        <v>4</v>
      </c>
      <c r="G3161" t="s">
        <v>109</v>
      </c>
      <c r="H3161" s="62">
        <v>2034</v>
      </c>
      <c r="I3161">
        <v>1.3599999999999999E-2</v>
      </c>
    </row>
    <row r="3162" spans="1:9">
      <c r="A3162" t="s">
        <v>104</v>
      </c>
      <c r="B3162" t="s">
        <v>105</v>
      </c>
      <c r="C3162" t="s">
        <v>80</v>
      </c>
      <c r="D3162" t="s">
        <v>100</v>
      </c>
      <c r="E3162" t="s">
        <v>101</v>
      </c>
      <c r="F3162" t="s">
        <v>4</v>
      </c>
      <c r="G3162" t="s">
        <v>109</v>
      </c>
      <c r="H3162" s="62">
        <v>2034</v>
      </c>
      <c r="I3162">
        <v>5.7092999999999998</v>
      </c>
    </row>
    <row r="3163" spans="1:9">
      <c r="A3163" t="s">
        <v>104</v>
      </c>
      <c r="B3163" t="s">
        <v>105</v>
      </c>
      <c r="C3163" t="s">
        <v>80</v>
      </c>
      <c r="D3163" t="s">
        <v>100</v>
      </c>
      <c r="E3163" t="s">
        <v>102</v>
      </c>
      <c r="F3163" t="s">
        <v>4</v>
      </c>
      <c r="G3163" t="s">
        <v>109</v>
      </c>
      <c r="H3163" s="62">
        <v>2034</v>
      </c>
      <c r="I3163">
        <v>0</v>
      </c>
    </row>
    <row r="3164" spans="1:9">
      <c r="A3164" t="s">
        <v>104</v>
      </c>
      <c r="B3164" t="s">
        <v>105</v>
      </c>
      <c r="C3164" t="s">
        <v>80</v>
      </c>
      <c r="D3164" t="s">
        <v>100</v>
      </c>
      <c r="E3164" t="s">
        <v>111</v>
      </c>
      <c r="F3164" t="s">
        <v>4</v>
      </c>
      <c r="G3164" t="s">
        <v>109</v>
      </c>
      <c r="H3164" s="62">
        <v>2034</v>
      </c>
      <c r="I3164">
        <v>0</v>
      </c>
    </row>
    <row r="3165" spans="1:9">
      <c r="A3165" t="s">
        <v>104</v>
      </c>
      <c r="B3165" t="s">
        <v>105</v>
      </c>
      <c r="C3165" t="s">
        <v>80</v>
      </c>
      <c r="D3165" t="s">
        <v>100</v>
      </c>
      <c r="E3165" t="s">
        <v>112</v>
      </c>
      <c r="F3165" t="s">
        <v>4</v>
      </c>
      <c r="G3165" t="s">
        <v>109</v>
      </c>
      <c r="H3165" s="62">
        <v>2034</v>
      </c>
      <c r="I3165">
        <v>0</v>
      </c>
    </row>
    <row r="3166" spans="1:9">
      <c r="A3166" t="s">
        <v>104</v>
      </c>
      <c r="B3166" t="s">
        <v>105</v>
      </c>
      <c r="C3166" t="s">
        <v>80</v>
      </c>
      <c r="D3166" t="s">
        <v>83</v>
      </c>
      <c r="E3166" t="s">
        <v>84</v>
      </c>
      <c r="F3166" t="s">
        <v>4</v>
      </c>
      <c r="G3166" t="s">
        <v>109</v>
      </c>
      <c r="H3166" s="62">
        <v>2034</v>
      </c>
      <c r="I3166">
        <v>1.6240000000000001</v>
      </c>
    </row>
    <row r="3167" spans="1:9">
      <c r="A3167" t="s">
        <v>104</v>
      </c>
      <c r="B3167" t="s">
        <v>105</v>
      </c>
      <c r="C3167" t="s">
        <v>80</v>
      </c>
      <c r="D3167" t="s">
        <v>83</v>
      </c>
      <c r="E3167" t="s">
        <v>85</v>
      </c>
      <c r="F3167" t="s">
        <v>4</v>
      </c>
      <c r="G3167" t="s">
        <v>109</v>
      </c>
      <c r="H3167" s="62">
        <v>2034</v>
      </c>
      <c r="I3167">
        <v>1.0190999999999999</v>
      </c>
    </row>
    <row r="3168" spans="1:9">
      <c r="A3168" t="s">
        <v>104</v>
      </c>
      <c r="B3168" t="s">
        <v>105</v>
      </c>
      <c r="C3168" t="s">
        <v>80</v>
      </c>
      <c r="D3168" t="s">
        <v>86</v>
      </c>
      <c r="E3168" t="s">
        <v>106</v>
      </c>
      <c r="F3168" t="s">
        <v>4</v>
      </c>
      <c r="G3168" t="s">
        <v>109</v>
      </c>
      <c r="H3168" s="62">
        <v>2034</v>
      </c>
      <c r="I3168">
        <v>0.80869999999999997</v>
      </c>
    </row>
    <row r="3169" spans="1:9">
      <c r="A3169" t="s">
        <v>104</v>
      </c>
      <c r="B3169" t="s">
        <v>105</v>
      </c>
      <c r="C3169" t="s">
        <v>80</v>
      </c>
      <c r="D3169" t="s">
        <v>86</v>
      </c>
      <c r="E3169" t="s">
        <v>87</v>
      </c>
      <c r="F3169" t="s">
        <v>4</v>
      </c>
      <c r="G3169" t="s">
        <v>109</v>
      </c>
      <c r="H3169" s="62">
        <v>2034</v>
      </c>
      <c r="I3169">
        <v>2.5815999999999999</v>
      </c>
    </row>
    <row r="3170" spans="1:9">
      <c r="A3170" t="s">
        <v>104</v>
      </c>
      <c r="B3170" t="s">
        <v>105</v>
      </c>
      <c r="C3170" t="s">
        <v>80</v>
      </c>
      <c r="D3170" t="s">
        <v>103</v>
      </c>
      <c r="E3170" t="s">
        <v>92</v>
      </c>
      <c r="F3170" t="s">
        <v>4</v>
      </c>
      <c r="G3170" t="s">
        <v>109</v>
      </c>
      <c r="H3170" s="62">
        <v>2034</v>
      </c>
      <c r="I3170">
        <v>2.3791000000000002</v>
      </c>
    </row>
    <row r="3171" spans="1:9">
      <c r="A3171" t="s">
        <v>104</v>
      </c>
      <c r="B3171" t="s">
        <v>105</v>
      </c>
      <c r="C3171" t="s">
        <v>80</v>
      </c>
      <c r="D3171" t="s">
        <v>103</v>
      </c>
      <c r="E3171" t="s">
        <v>89</v>
      </c>
      <c r="F3171" t="s">
        <v>4</v>
      </c>
      <c r="G3171" t="s">
        <v>109</v>
      </c>
      <c r="H3171" s="62">
        <v>2034</v>
      </c>
      <c r="I3171">
        <v>10.035600000000001</v>
      </c>
    </row>
    <row r="3172" spans="1:9">
      <c r="A3172" t="s">
        <v>104</v>
      </c>
      <c r="B3172" t="s">
        <v>105</v>
      </c>
      <c r="C3172" t="s">
        <v>107</v>
      </c>
      <c r="D3172" t="s">
        <v>107</v>
      </c>
      <c r="E3172" t="s">
        <v>107</v>
      </c>
      <c r="F3172" t="s">
        <v>4</v>
      </c>
      <c r="G3172" t="s">
        <v>109</v>
      </c>
      <c r="H3172" s="62">
        <v>2035</v>
      </c>
      <c r="I3172">
        <v>51.876199999999997</v>
      </c>
    </row>
    <row r="3173" spans="1:9">
      <c r="A3173" t="s">
        <v>104</v>
      </c>
      <c r="B3173" t="s">
        <v>105</v>
      </c>
      <c r="C3173" t="s">
        <v>107</v>
      </c>
      <c r="D3173" t="s">
        <v>108</v>
      </c>
      <c r="E3173" t="s">
        <v>108</v>
      </c>
      <c r="F3173" t="s">
        <v>4</v>
      </c>
      <c r="G3173" t="s">
        <v>109</v>
      </c>
      <c r="H3173" s="62">
        <v>2035</v>
      </c>
      <c r="I3173">
        <v>0.12139999999999999</v>
      </c>
    </row>
    <row r="3174" spans="1:9">
      <c r="A3174" t="s">
        <v>104</v>
      </c>
      <c r="B3174" t="s">
        <v>105</v>
      </c>
      <c r="C3174" t="s">
        <v>80</v>
      </c>
      <c r="D3174" t="s">
        <v>80</v>
      </c>
      <c r="E3174" t="s">
        <v>80</v>
      </c>
      <c r="F3174" t="s">
        <v>4</v>
      </c>
      <c r="G3174" t="s">
        <v>109</v>
      </c>
      <c r="H3174" s="62">
        <v>2035</v>
      </c>
      <c r="I3174">
        <v>51.754800000000003</v>
      </c>
    </row>
    <row r="3175" spans="1:9">
      <c r="A3175" t="s">
        <v>104</v>
      </c>
      <c r="B3175" t="s">
        <v>105</v>
      </c>
      <c r="C3175" t="s">
        <v>80</v>
      </c>
      <c r="D3175" t="s">
        <v>89</v>
      </c>
      <c r="E3175" t="s">
        <v>90</v>
      </c>
      <c r="F3175" t="s">
        <v>4</v>
      </c>
      <c r="G3175" t="s">
        <v>109</v>
      </c>
      <c r="H3175" s="62">
        <v>2035</v>
      </c>
      <c r="I3175">
        <v>3.5834999999999999</v>
      </c>
    </row>
    <row r="3176" spans="1:9">
      <c r="A3176" t="s">
        <v>104</v>
      </c>
      <c r="B3176" t="s">
        <v>105</v>
      </c>
      <c r="C3176" t="s">
        <v>80</v>
      </c>
      <c r="D3176" t="s">
        <v>89</v>
      </c>
      <c r="E3176" t="s">
        <v>91</v>
      </c>
      <c r="F3176" t="s">
        <v>4</v>
      </c>
      <c r="G3176" t="s">
        <v>109</v>
      </c>
      <c r="H3176" s="62">
        <v>2035</v>
      </c>
      <c r="I3176">
        <v>-0.34939999999999999</v>
      </c>
    </row>
    <row r="3177" spans="1:9">
      <c r="A3177" t="s">
        <v>104</v>
      </c>
      <c r="B3177" t="s">
        <v>105</v>
      </c>
      <c r="C3177" t="s">
        <v>80</v>
      </c>
      <c r="D3177" t="s">
        <v>92</v>
      </c>
      <c r="E3177" t="s">
        <v>93</v>
      </c>
      <c r="F3177" t="s">
        <v>4</v>
      </c>
      <c r="G3177" t="s">
        <v>109</v>
      </c>
      <c r="H3177" s="62">
        <v>2035</v>
      </c>
      <c r="I3177">
        <v>-3.2879999999999998</v>
      </c>
    </row>
    <row r="3178" spans="1:9">
      <c r="A3178" t="s">
        <v>104</v>
      </c>
      <c r="B3178" t="s">
        <v>105</v>
      </c>
      <c r="C3178" t="s">
        <v>80</v>
      </c>
      <c r="D3178" t="s">
        <v>92</v>
      </c>
      <c r="E3178" t="s">
        <v>94</v>
      </c>
      <c r="F3178" t="s">
        <v>4</v>
      </c>
      <c r="G3178" t="s">
        <v>109</v>
      </c>
      <c r="H3178" s="62">
        <v>2035</v>
      </c>
      <c r="I3178">
        <v>24.703600000000002</v>
      </c>
    </row>
    <row r="3179" spans="1:9">
      <c r="A3179" t="s">
        <v>104</v>
      </c>
      <c r="B3179" t="s">
        <v>105</v>
      </c>
      <c r="C3179" t="s">
        <v>80</v>
      </c>
      <c r="D3179" t="s">
        <v>92</v>
      </c>
      <c r="E3179" t="s">
        <v>110</v>
      </c>
      <c r="F3179" t="s">
        <v>4</v>
      </c>
      <c r="G3179" t="s">
        <v>109</v>
      </c>
      <c r="H3179" s="62">
        <v>2035</v>
      </c>
      <c r="I3179">
        <v>0</v>
      </c>
    </row>
    <row r="3180" spans="1:9">
      <c r="A3180" t="s">
        <v>104</v>
      </c>
      <c r="B3180" t="s">
        <v>105</v>
      </c>
      <c r="C3180" t="s">
        <v>80</v>
      </c>
      <c r="D3180" t="s">
        <v>92</v>
      </c>
      <c r="E3180" t="s">
        <v>95</v>
      </c>
      <c r="F3180" t="s">
        <v>4</v>
      </c>
      <c r="G3180" t="s">
        <v>109</v>
      </c>
      <c r="H3180" s="62">
        <v>2035</v>
      </c>
      <c r="I3180">
        <v>9.0205000000000002</v>
      </c>
    </row>
    <row r="3181" spans="1:9">
      <c r="A3181" t="s">
        <v>104</v>
      </c>
      <c r="B3181" t="s">
        <v>105</v>
      </c>
      <c r="C3181" t="s">
        <v>80</v>
      </c>
      <c r="D3181" t="s">
        <v>96</v>
      </c>
      <c r="E3181" t="s">
        <v>92</v>
      </c>
      <c r="F3181" t="s">
        <v>4</v>
      </c>
      <c r="G3181" t="s">
        <v>109</v>
      </c>
      <c r="H3181" s="62">
        <v>2035</v>
      </c>
      <c r="I3181">
        <v>1.7566999999999999</v>
      </c>
    </row>
    <row r="3182" spans="1:9">
      <c r="A3182" t="s">
        <v>104</v>
      </c>
      <c r="B3182" t="s">
        <v>105</v>
      </c>
      <c r="C3182" t="s">
        <v>80</v>
      </c>
      <c r="D3182" t="s">
        <v>96</v>
      </c>
      <c r="E3182" t="s">
        <v>89</v>
      </c>
      <c r="F3182" t="s">
        <v>4</v>
      </c>
      <c r="G3182" t="s">
        <v>109</v>
      </c>
      <c r="H3182" s="62">
        <v>2035</v>
      </c>
      <c r="I3182">
        <v>3.5680999999999998</v>
      </c>
    </row>
    <row r="3183" spans="1:9">
      <c r="A3183" t="s">
        <v>104</v>
      </c>
      <c r="B3183" t="s">
        <v>105</v>
      </c>
      <c r="C3183" t="s">
        <v>80</v>
      </c>
      <c r="D3183" t="s">
        <v>97</v>
      </c>
      <c r="E3183" t="s">
        <v>98</v>
      </c>
      <c r="F3183" t="s">
        <v>4</v>
      </c>
      <c r="G3183" t="s">
        <v>109</v>
      </c>
      <c r="H3183" s="62">
        <v>2035</v>
      </c>
      <c r="I3183">
        <v>3.6915</v>
      </c>
    </row>
    <row r="3184" spans="1:9">
      <c r="A3184" t="s">
        <v>104</v>
      </c>
      <c r="B3184" t="s">
        <v>105</v>
      </c>
      <c r="C3184" t="s">
        <v>80</v>
      </c>
      <c r="D3184" t="s">
        <v>97</v>
      </c>
      <c r="E3184" t="s">
        <v>99</v>
      </c>
      <c r="F3184" t="s">
        <v>4</v>
      </c>
      <c r="G3184" t="s">
        <v>109</v>
      </c>
      <c r="H3184" s="62">
        <v>2035</v>
      </c>
      <c r="I3184">
        <v>1.9300000000000001E-2</v>
      </c>
    </row>
    <row r="3185" spans="1:9">
      <c r="A3185" t="s">
        <v>104</v>
      </c>
      <c r="B3185" t="s">
        <v>105</v>
      </c>
      <c r="C3185" t="s">
        <v>80</v>
      </c>
      <c r="D3185" t="s">
        <v>100</v>
      </c>
      <c r="E3185" t="s">
        <v>101</v>
      </c>
      <c r="F3185" t="s">
        <v>4</v>
      </c>
      <c r="G3185" t="s">
        <v>109</v>
      </c>
      <c r="H3185" s="62">
        <v>2035</v>
      </c>
      <c r="I3185">
        <v>6.3501000000000003</v>
      </c>
    </row>
    <row r="3186" spans="1:9">
      <c r="A3186" t="s">
        <v>104</v>
      </c>
      <c r="B3186" t="s">
        <v>105</v>
      </c>
      <c r="C3186" t="s">
        <v>80</v>
      </c>
      <c r="D3186" t="s">
        <v>100</v>
      </c>
      <c r="E3186" t="s">
        <v>102</v>
      </c>
      <c r="F3186" t="s">
        <v>4</v>
      </c>
      <c r="G3186" t="s">
        <v>109</v>
      </c>
      <c r="H3186" s="62">
        <v>2035</v>
      </c>
      <c r="I3186">
        <v>0</v>
      </c>
    </row>
    <row r="3187" spans="1:9">
      <c r="A3187" t="s">
        <v>104</v>
      </c>
      <c r="B3187" t="s">
        <v>105</v>
      </c>
      <c r="C3187" t="s">
        <v>80</v>
      </c>
      <c r="D3187" t="s">
        <v>100</v>
      </c>
      <c r="E3187" t="s">
        <v>111</v>
      </c>
      <c r="F3187" t="s">
        <v>4</v>
      </c>
      <c r="G3187" t="s">
        <v>109</v>
      </c>
      <c r="H3187" s="62">
        <v>2035</v>
      </c>
      <c r="I3187">
        <v>0</v>
      </c>
    </row>
    <row r="3188" spans="1:9">
      <c r="A3188" t="s">
        <v>104</v>
      </c>
      <c r="B3188" t="s">
        <v>105</v>
      </c>
      <c r="C3188" t="s">
        <v>80</v>
      </c>
      <c r="D3188" t="s">
        <v>100</v>
      </c>
      <c r="E3188" t="s">
        <v>112</v>
      </c>
      <c r="F3188" t="s">
        <v>4</v>
      </c>
      <c r="G3188" t="s">
        <v>109</v>
      </c>
      <c r="H3188" s="62">
        <v>2035</v>
      </c>
      <c r="I3188">
        <v>0</v>
      </c>
    </row>
    <row r="3189" spans="1:9">
      <c r="A3189" t="s">
        <v>104</v>
      </c>
      <c r="B3189" t="s">
        <v>105</v>
      </c>
      <c r="C3189" t="s">
        <v>80</v>
      </c>
      <c r="D3189" t="s">
        <v>83</v>
      </c>
      <c r="E3189" t="s">
        <v>84</v>
      </c>
      <c r="F3189" t="s">
        <v>4</v>
      </c>
      <c r="G3189" t="s">
        <v>109</v>
      </c>
      <c r="H3189" s="62">
        <v>2035</v>
      </c>
      <c r="I3189">
        <v>1.6609</v>
      </c>
    </row>
    <row r="3190" spans="1:9">
      <c r="A3190" t="s">
        <v>104</v>
      </c>
      <c r="B3190" t="s">
        <v>105</v>
      </c>
      <c r="C3190" t="s">
        <v>80</v>
      </c>
      <c r="D3190" t="s">
        <v>83</v>
      </c>
      <c r="E3190" t="s">
        <v>85</v>
      </c>
      <c r="F3190" t="s">
        <v>4</v>
      </c>
      <c r="G3190" t="s">
        <v>109</v>
      </c>
      <c r="H3190" s="62">
        <v>2035</v>
      </c>
      <c r="I3190">
        <v>1.0381</v>
      </c>
    </row>
    <row r="3191" spans="1:9">
      <c r="A3191" t="s">
        <v>104</v>
      </c>
      <c r="B3191" t="s">
        <v>105</v>
      </c>
      <c r="C3191" t="s">
        <v>80</v>
      </c>
      <c r="D3191" t="s">
        <v>86</v>
      </c>
      <c r="E3191" t="s">
        <v>106</v>
      </c>
      <c r="F3191" t="s">
        <v>4</v>
      </c>
      <c r="G3191" t="s">
        <v>109</v>
      </c>
      <c r="H3191" s="62">
        <v>2035</v>
      </c>
      <c r="I3191">
        <v>0.82310000000000005</v>
      </c>
    </row>
    <row r="3192" spans="1:9">
      <c r="A3192" t="s">
        <v>104</v>
      </c>
      <c r="B3192" t="s">
        <v>105</v>
      </c>
      <c r="C3192" t="s">
        <v>80</v>
      </c>
      <c r="D3192" t="s">
        <v>86</v>
      </c>
      <c r="E3192" t="s">
        <v>87</v>
      </c>
      <c r="F3192" t="s">
        <v>4</v>
      </c>
      <c r="G3192" t="s">
        <v>109</v>
      </c>
      <c r="H3192" s="62">
        <v>2035</v>
      </c>
      <c r="I3192">
        <v>2.8142999999999998</v>
      </c>
    </row>
    <row r="3193" spans="1:9">
      <c r="A3193" t="s">
        <v>104</v>
      </c>
      <c r="B3193" t="s">
        <v>105</v>
      </c>
      <c r="C3193" t="s">
        <v>80</v>
      </c>
      <c r="D3193" t="s">
        <v>103</v>
      </c>
      <c r="E3193" t="s">
        <v>92</v>
      </c>
      <c r="F3193" t="s">
        <v>4</v>
      </c>
      <c r="G3193" t="s">
        <v>109</v>
      </c>
      <c r="H3193" s="62">
        <v>2035</v>
      </c>
      <c r="I3193">
        <v>2.5280999999999998</v>
      </c>
    </row>
    <row r="3194" spans="1:9">
      <c r="A3194" t="s">
        <v>104</v>
      </c>
      <c r="B3194" t="s">
        <v>105</v>
      </c>
      <c r="C3194" t="s">
        <v>80</v>
      </c>
      <c r="D3194" t="s">
        <v>103</v>
      </c>
      <c r="E3194" t="s">
        <v>89</v>
      </c>
      <c r="F3194" t="s">
        <v>4</v>
      </c>
      <c r="G3194" t="s">
        <v>109</v>
      </c>
      <c r="H3194" s="62">
        <v>2035</v>
      </c>
      <c r="I3194">
        <v>10.625</v>
      </c>
    </row>
    <row r="3195" spans="1:9">
      <c r="A3195" t="s">
        <v>104</v>
      </c>
      <c r="B3195" t="s">
        <v>105</v>
      </c>
      <c r="C3195" t="s">
        <v>107</v>
      </c>
      <c r="D3195" t="s">
        <v>107</v>
      </c>
      <c r="E3195" t="s">
        <v>107</v>
      </c>
      <c r="F3195" t="s">
        <v>4</v>
      </c>
      <c r="G3195" t="s">
        <v>109</v>
      </c>
      <c r="H3195" s="62">
        <v>2036</v>
      </c>
      <c r="I3195">
        <v>52.9818</v>
      </c>
    </row>
    <row r="3196" spans="1:9">
      <c r="A3196" t="s">
        <v>104</v>
      </c>
      <c r="B3196" t="s">
        <v>105</v>
      </c>
      <c r="C3196" t="s">
        <v>107</v>
      </c>
      <c r="D3196" t="s">
        <v>108</v>
      </c>
      <c r="E3196" t="s">
        <v>108</v>
      </c>
      <c r="F3196" t="s">
        <v>4</v>
      </c>
      <c r="G3196" t="s">
        <v>109</v>
      </c>
      <c r="H3196" s="62">
        <v>2036</v>
      </c>
      <c r="I3196">
        <v>0.1072</v>
      </c>
    </row>
    <row r="3197" spans="1:9">
      <c r="A3197" t="s">
        <v>104</v>
      </c>
      <c r="B3197" t="s">
        <v>105</v>
      </c>
      <c r="C3197" t="s">
        <v>80</v>
      </c>
      <c r="D3197" t="s">
        <v>80</v>
      </c>
      <c r="E3197" t="s">
        <v>80</v>
      </c>
      <c r="F3197" t="s">
        <v>4</v>
      </c>
      <c r="G3197" t="s">
        <v>109</v>
      </c>
      <c r="H3197" s="62">
        <v>2036</v>
      </c>
      <c r="I3197">
        <v>52.874600000000001</v>
      </c>
    </row>
    <row r="3198" spans="1:9">
      <c r="A3198" t="s">
        <v>104</v>
      </c>
      <c r="B3198" t="s">
        <v>105</v>
      </c>
      <c r="C3198" t="s">
        <v>80</v>
      </c>
      <c r="D3198" t="s">
        <v>89</v>
      </c>
      <c r="E3198" t="s">
        <v>90</v>
      </c>
      <c r="F3198" t="s">
        <v>4</v>
      </c>
      <c r="G3198" t="s">
        <v>109</v>
      </c>
      <c r="H3198" s="62">
        <v>2036</v>
      </c>
      <c r="I3198">
        <v>2.9459</v>
      </c>
    </row>
    <row r="3199" spans="1:9">
      <c r="A3199" t="s">
        <v>104</v>
      </c>
      <c r="B3199" t="s">
        <v>105</v>
      </c>
      <c r="C3199" t="s">
        <v>80</v>
      </c>
      <c r="D3199" t="s">
        <v>89</v>
      </c>
      <c r="E3199" t="s">
        <v>91</v>
      </c>
      <c r="F3199" t="s">
        <v>4</v>
      </c>
      <c r="G3199" t="s">
        <v>109</v>
      </c>
      <c r="H3199" s="62">
        <v>2036</v>
      </c>
      <c r="I3199">
        <v>-0.31030000000000002</v>
      </c>
    </row>
    <row r="3200" spans="1:9">
      <c r="A3200" t="s">
        <v>104</v>
      </c>
      <c r="B3200" t="s">
        <v>105</v>
      </c>
      <c r="C3200" t="s">
        <v>80</v>
      </c>
      <c r="D3200" t="s">
        <v>92</v>
      </c>
      <c r="E3200" t="s">
        <v>93</v>
      </c>
      <c r="F3200" t="s">
        <v>4</v>
      </c>
      <c r="G3200" t="s">
        <v>109</v>
      </c>
      <c r="H3200" s="62">
        <v>2036</v>
      </c>
      <c r="I3200">
        <v>-3.5550999999999999</v>
      </c>
    </row>
    <row r="3201" spans="1:9">
      <c r="A3201" t="s">
        <v>104</v>
      </c>
      <c r="B3201" t="s">
        <v>105</v>
      </c>
      <c r="C3201" t="s">
        <v>80</v>
      </c>
      <c r="D3201" t="s">
        <v>92</v>
      </c>
      <c r="E3201" t="s">
        <v>94</v>
      </c>
      <c r="F3201" t="s">
        <v>4</v>
      </c>
      <c r="G3201" t="s">
        <v>109</v>
      </c>
      <c r="H3201" s="62">
        <v>2036</v>
      </c>
      <c r="I3201">
        <v>24.7163</v>
      </c>
    </row>
    <row r="3202" spans="1:9">
      <c r="A3202" t="s">
        <v>104</v>
      </c>
      <c r="B3202" t="s">
        <v>105</v>
      </c>
      <c r="C3202" t="s">
        <v>80</v>
      </c>
      <c r="D3202" t="s">
        <v>92</v>
      </c>
      <c r="E3202" t="s">
        <v>110</v>
      </c>
      <c r="F3202" t="s">
        <v>4</v>
      </c>
      <c r="G3202" t="s">
        <v>109</v>
      </c>
      <c r="H3202" s="62">
        <v>2036</v>
      </c>
      <c r="I3202">
        <v>0</v>
      </c>
    </row>
    <row r="3203" spans="1:9">
      <c r="A3203" t="s">
        <v>104</v>
      </c>
      <c r="B3203" t="s">
        <v>105</v>
      </c>
      <c r="C3203" t="s">
        <v>80</v>
      </c>
      <c r="D3203" t="s">
        <v>92</v>
      </c>
      <c r="E3203" t="s">
        <v>95</v>
      </c>
      <c r="F3203" t="s">
        <v>4</v>
      </c>
      <c r="G3203" t="s">
        <v>109</v>
      </c>
      <c r="H3203" s="62">
        <v>2036</v>
      </c>
      <c r="I3203">
        <v>9.0367999999999995</v>
      </c>
    </row>
    <row r="3204" spans="1:9">
      <c r="A3204" t="s">
        <v>104</v>
      </c>
      <c r="B3204" t="s">
        <v>105</v>
      </c>
      <c r="C3204" t="s">
        <v>80</v>
      </c>
      <c r="D3204" t="s">
        <v>96</v>
      </c>
      <c r="E3204" t="s">
        <v>92</v>
      </c>
      <c r="F3204" t="s">
        <v>4</v>
      </c>
      <c r="G3204" t="s">
        <v>109</v>
      </c>
      <c r="H3204" s="62">
        <v>2036</v>
      </c>
      <c r="I3204">
        <v>2.3134000000000001</v>
      </c>
    </row>
    <row r="3205" spans="1:9">
      <c r="A3205" t="s">
        <v>104</v>
      </c>
      <c r="B3205" t="s">
        <v>105</v>
      </c>
      <c r="C3205" t="s">
        <v>80</v>
      </c>
      <c r="D3205" t="s">
        <v>96</v>
      </c>
      <c r="E3205" t="s">
        <v>89</v>
      </c>
      <c r="F3205" t="s">
        <v>4</v>
      </c>
      <c r="G3205" t="s">
        <v>109</v>
      </c>
      <c r="H3205" s="62">
        <v>2036</v>
      </c>
      <c r="I3205">
        <v>3.9283000000000001</v>
      </c>
    </row>
    <row r="3206" spans="1:9">
      <c r="A3206" t="s">
        <v>104</v>
      </c>
      <c r="B3206" t="s">
        <v>105</v>
      </c>
      <c r="C3206" t="s">
        <v>80</v>
      </c>
      <c r="D3206" t="s">
        <v>97</v>
      </c>
      <c r="E3206" t="s">
        <v>98</v>
      </c>
      <c r="F3206" t="s">
        <v>4</v>
      </c>
      <c r="G3206" t="s">
        <v>109</v>
      </c>
      <c r="H3206" s="62">
        <v>2036</v>
      </c>
      <c r="I3206">
        <v>4.4664000000000001</v>
      </c>
    </row>
    <row r="3207" spans="1:9">
      <c r="A3207" t="s">
        <v>104</v>
      </c>
      <c r="B3207" t="s">
        <v>105</v>
      </c>
      <c r="C3207" t="s">
        <v>80</v>
      </c>
      <c r="D3207" t="s">
        <v>97</v>
      </c>
      <c r="E3207" t="s">
        <v>99</v>
      </c>
      <c r="F3207" t="s">
        <v>4</v>
      </c>
      <c r="G3207" t="s">
        <v>109</v>
      </c>
      <c r="H3207" s="62">
        <v>2036</v>
      </c>
      <c r="I3207">
        <v>2.64E-2</v>
      </c>
    </row>
    <row r="3208" spans="1:9">
      <c r="A3208" t="s">
        <v>104</v>
      </c>
      <c r="B3208" t="s">
        <v>105</v>
      </c>
      <c r="C3208" t="s">
        <v>80</v>
      </c>
      <c r="D3208" t="s">
        <v>100</v>
      </c>
      <c r="E3208" t="s">
        <v>101</v>
      </c>
      <c r="F3208" t="s">
        <v>4</v>
      </c>
      <c r="G3208" t="s">
        <v>109</v>
      </c>
      <c r="H3208" s="62">
        <v>2036</v>
      </c>
      <c r="I3208">
        <v>6.5351999999999997</v>
      </c>
    </row>
    <row r="3209" spans="1:9">
      <c r="A3209" t="s">
        <v>104</v>
      </c>
      <c r="B3209" t="s">
        <v>105</v>
      </c>
      <c r="C3209" t="s">
        <v>80</v>
      </c>
      <c r="D3209" t="s">
        <v>100</v>
      </c>
      <c r="E3209" t="s">
        <v>102</v>
      </c>
      <c r="F3209" t="s">
        <v>4</v>
      </c>
      <c r="G3209" t="s">
        <v>109</v>
      </c>
      <c r="H3209" s="62">
        <v>2036</v>
      </c>
      <c r="I3209">
        <v>0</v>
      </c>
    </row>
    <row r="3210" spans="1:9">
      <c r="A3210" t="s">
        <v>104</v>
      </c>
      <c r="B3210" t="s">
        <v>105</v>
      </c>
      <c r="C3210" t="s">
        <v>80</v>
      </c>
      <c r="D3210" t="s">
        <v>100</v>
      </c>
      <c r="E3210" t="s">
        <v>111</v>
      </c>
      <c r="F3210" t="s">
        <v>4</v>
      </c>
      <c r="G3210" t="s">
        <v>109</v>
      </c>
      <c r="H3210" s="62">
        <v>2036</v>
      </c>
      <c r="I3210">
        <v>0</v>
      </c>
    </row>
    <row r="3211" spans="1:9">
      <c r="A3211" t="s">
        <v>104</v>
      </c>
      <c r="B3211" t="s">
        <v>105</v>
      </c>
      <c r="C3211" t="s">
        <v>80</v>
      </c>
      <c r="D3211" t="s">
        <v>100</v>
      </c>
      <c r="E3211" t="s">
        <v>112</v>
      </c>
      <c r="F3211" t="s">
        <v>4</v>
      </c>
      <c r="G3211" t="s">
        <v>109</v>
      </c>
      <c r="H3211" s="62">
        <v>2036</v>
      </c>
      <c r="I3211">
        <v>0</v>
      </c>
    </row>
    <row r="3212" spans="1:9">
      <c r="A3212" t="s">
        <v>104</v>
      </c>
      <c r="B3212" t="s">
        <v>105</v>
      </c>
      <c r="C3212" t="s">
        <v>80</v>
      </c>
      <c r="D3212" t="s">
        <v>83</v>
      </c>
      <c r="E3212" t="s">
        <v>84</v>
      </c>
      <c r="F3212" t="s">
        <v>4</v>
      </c>
      <c r="G3212" t="s">
        <v>109</v>
      </c>
      <c r="H3212" s="62">
        <v>2036</v>
      </c>
      <c r="I3212">
        <v>1.7087000000000001</v>
      </c>
    </row>
    <row r="3213" spans="1:9">
      <c r="A3213" t="s">
        <v>104</v>
      </c>
      <c r="B3213" t="s">
        <v>105</v>
      </c>
      <c r="C3213" t="s">
        <v>80</v>
      </c>
      <c r="D3213" t="s">
        <v>83</v>
      </c>
      <c r="E3213" t="s">
        <v>85</v>
      </c>
      <c r="F3213" t="s">
        <v>4</v>
      </c>
      <c r="G3213" t="s">
        <v>109</v>
      </c>
      <c r="H3213" s="62">
        <v>2036</v>
      </c>
      <c r="I3213">
        <v>1.0625</v>
      </c>
    </row>
    <row r="3214" spans="1:9">
      <c r="A3214" t="s">
        <v>104</v>
      </c>
      <c r="B3214" t="s">
        <v>105</v>
      </c>
      <c r="C3214" t="s">
        <v>80</v>
      </c>
      <c r="D3214" t="s">
        <v>86</v>
      </c>
      <c r="E3214" t="s">
        <v>106</v>
      </c>
      <c r="F3214" t="s">
        <v>4</v>
      </c>
      <c r="G3214" t="s">
        <v>109</v>
      </c>
      <c r="H3214" s="62">
        <v>2036</v>
      </c>
      <c r="I3214">
        <v>0.78510000000000002</v>
      </c>
    </row>
    <row r="3215" spans="1:9">
      <c r="A3215" t="s">
        <v>104</v>
      </c>
      <c r="B3215" t="s">
        <v>105</v>
      </c>
      <c r="C3215" t="s">
        <v>80</v>
      </c>
      <c r="D3215" t="s">
        <v>86</v>
      </c>
      <c r="E3215" t="s">
        <v>87</v>
      </c>
      <c r="F3215" t="s">
        <v>4</v>
      </c>
      <c r="G3215" t="s">
        <v>109</v>
      </c>
      <c r="H3215" s="62">
        <v>2036</v>
      </c>
      <c r="I3215">
        <v>3.0802</v>
      </c>
    </row>
    <row r="3216" spans="1:9">
      <c r="A3216" t="s">
        <v>104</v>
      </c>
      <c r="B3216" t="s">
        <v>105</v>
      </c>
      <c r="C3216" t="s">
        <v>80</v>
      </c>
      <c r="D3216" t="s">
        <v>103</v>
      </c>
      <c r="E3216" t="s">
        <v>92</v>
      </c>
      <c r="F3216" t="s">
        <v>4</v>
      </c>
      <c r="G3216" t="s">
        <v>109</v>
      </c>
      <c r="H3216" s="62">
        <v>2036</v>
      </c>
      <c r="I3216">
        <v>2.6823999999999999</v>
      </c>
    </row>
    <row r="3217" spans="1:9">
      <c r="A3217" t="s">
        <v>104</v>
      </c>
      <c r="B3217" t="s">
        <v>105</v>
      </c>
      <c r="C3217" t="s">
        <v>80</v>
      </c>
      <c r="D3217" t="s">
        <v>103</v>
      </c>
      <c r="E3217" t="s">
        <v>89</v>
      </c>
      <c r="F3217" t="s">
        <v>4</v>
      </c>
      <c r="G3217" t="s">
        <v>109</v>
      </c>
      <c r="H3217" s="62">
        <v>2036</v>
      </c>
      <c r="I3217">
        <v>11.2331</v>
      </c>
    </row>
    <row r="3218" spans="1:9">
      <c r="A3218" t="s">
        <v>104</v>
      </c>
      <c r="B3218" t="s">
        <v>105</v>
      </c>
      <c r="C3218" t="s">
        <v>107</v>
      </c>
      <c r="D3218" t="s">
        <v>107</v>
      </c>
      <c r="E3218" t="s">
        <v>107</v>
      </c>
      <c r="F3218" t="s">
        <v>4</v>
      </c>
      <c r="G3218" t="s">
        <v>109</v>
      </c>
      <c r="H3218" s="62">
        <v>2037</v>
      </c>
      <c r="I3218">
        <v>54.315300000000001</v>
      </c>
    </row>
    <row r="3219" spans="1:9">
      <c r="A3219" t="s">
        <v>104</v>
      </c>
      <c r="B3219" t="s">
        <v>105</v>
      </c>
      <c r="C3219" t="s">
        <v>107</v>
      </c>
      <c r="D3219" t="s">
        <v>108</v>
      </c>
      <c r="E3219" t="s">
        <v>108</v>
      </c>
      <c r="F3219" t="s">
        <v>4</v>
      </c>
      <c r="G3219" t="s">
        <v>109</v>
      </c>
      <c r="H3219" s="62">
        <v>2037</v>
      </c>
      <c r="I3219">
        <v>0.1159</v>
      </c>
    </row>
    <row r="3220" spans="1:9">
      <c r="A3220" t="s">
        <v>104</v>
      </c>
      <c r="B3220" t="s">
        <v>105</v>
      </c>
      <c r="C3220" t="s">
        <v>80</v>
      </c>
      <c r="D3220" t="s">
        <v>80</v>
      </c>
      <c r="E3220" t="s">
        <v>80</v>
      </c>
      <c r="F3220" t="s">
        <v>4</v>
      </c>
      <c r="G3220" t="s">
        <v>109</v>
      </c>
      <c r="H3220" s="62">
        <v>2037</v>
      </c>
      <c r="I3220">
        <v>54.199399999999997</v>
      </c>
    </row>
    <row r="3221" spans="1:9">
      <c r="A3221" t="s">
        <v>104</v>
      </c>
      <c r="B3221" t="s">
        <v>105</v>
      </c>
      <c r="C3221" t="s">
        <v>80</v>
      </c>
      <c r="D3221" t="s">
        <v>89</v>
      </c>
      <c r="E3221" t="s">
        <v>90</v>
      </c>
      <c r="F3221" t="s">
        <v>4</v>
      </c>
      <c r="G3221" t="s">
        <v>109</v>
      </c>
      <c r="H3221" s="62">
        <v>2037</v>
      </c>
      <c r="I3221">
        <v>2.3033999999999999</v>
      </c>
    </row>
    <row r="3222" spans="1:9">
      <c r="A3222" t="s">
        <v>104</v>
      </c>
      <c r="B3222" t="s">
        <v>105</v>
      </c>
      <c r="C3222" t="s">
        <v>80</v>
      </c>
      <c r="D3222" t="s">
        <v>89</v>
      </c>
      <c r="E3222" t="s">
        <v>91</v>
      </c>
      <c r="F3222" t="s">
        <v>4</v>
      </c>
      <c r="G3222" t="s">
        <v>109</v>
      </c>
      <c r="H3222" s="62">
        <v>2037</v>
      </c>
      <c r="I3222">
        <v>-0.26490000000000002</v>
      </c>
    </row>
    <row r="3223" spans="1:9">
      <c r="A3223" t="s">
        <v>104</v>
      </c>
      <c r="B3223" t="s">
        <v>105</v>
      </c>
      <c r="C3223" t="s">
        <v>80</v>
      </c>
      <c r="D3223" t="s">
        <v>92</v>
      </c>
      <c r="E3223" t="s">
        <v>93</v>
      </c>
      <c r="F3223" t="s">
        <v>4</v>
      </c>
      <c r="G3223" t="s">
        <v>109</v>
      </c>
      <c r="H3223" s="62">
        <v>2037</v>
      </c>
      <c r="I3223">
        <v>-3.9009</v>
      </c>
    </row>
    <row r="3224" spans="1:9">
      <c r="A3224" t="s">
        <v>104</v>
      </c>
      <c r="B3224" t="s">
        <v>105</v>
      </c>
      <c r="C3224" t="s">
        <v>80</v>
      </c>
      <c r="D3224" t="s">
        <v>92</v>
      </c>
      <c r="E3224" t="s">
        <v>94</v>
      </c>
      <c r="F3224" t="s">
        <v>4</v>
      </c>
      <c r="G3224" t="s">
        <v>109</v>
      </c>
      <c r="H3224" s="62">
        <v>2037</v>
      </c>
      <c r="I3224">
        <v>24.866099999999999</v>
      </c>
    </row>
    <row r="3225" spans="1:9">
      <c r="A3225" t="s">
        <v>104</v>
      </c>
      <c r="B3225" t="s">
        <v>105</v>
      </c>
      <c r="C3225" t="s">
        <v>80</v>
      </c>
      <c r="D3225" t="s">
        <v>92</v>
      </c>
      <c r="E3225" t="s">
        <v>110</v>
      </c>
      <c r="F3225" t="s">
        <v>4</v>
      </c>
      <c r="G3225" t="s">
        <v>109</v>
      </c>
      <c r="H3225" s="62">
        <v>2037</v>
      </c>
      <c r="I3225">
        <v>0</v>
      </c>
    </row>
    <row r="3226" spans="1:9">
      <c r="A3226" t="s">
        <v>104</v>
      </c>
      <c r="B3226" t="s">
        <v>105</v>
      </c>
      <c r="C3226" t="s">
        <v>80</v>
      </c>
      <c r="D3226" t="s">
        <v>92</v>
      </c>
      <c r="E3226" t="s">
        <v>95</v>
      </c>
      <c r="F3226" t="s">
        <v>4</v>
      </c>
      <c r="G3226" t="s">
        <v>109</v>
      </c>
      <c r="H3226" s="62">
        <v>2037</v>
      </c>
      <c r="I3226">
        <v>9.0535999999999994</v>
      </c>
    </row>
    <row r="3227" spans="1:9">
      <c r="A3227" t="s">
        <v>104</v>
      </c>
      <c r="B3227" t="s">
        <v>105</v>
      </c>
      <c r="C3227" t="s">
        <v>80</v>
      </c>
      <c r="D3227" t="s">
        <v>96</v>
      </c>
      <c r="E3227" t="s">
        <v>92</v>
      </c>
      <c r="F3227" t="s">
        <v>4</v>
      </c>
      <c r="G3227" t="s">
        <v>109</v>
      </c>
      <c r="H3227" s="62">
        <v>2037</v>
      </c>
      <c r="I3227">
        <v>2.7021000000000002</v>
      </c>
    </row>
    <row r="3228" spans="1:9">
      <c r="A3228" t="s">
        <v>104</v>
      </c>
      <c r="B3228" t="s">
        <v>105</v>
      </c>
      <c r="C3228" t="s">
        <v>80</v>
      </c>
      <c r="D3228" t="s">
        <v>96</v>
      </c>
      <c r="E3228" t="s">
        <v>89</v>
      </c>
      <c r="F3228" t="s">
        <v>4</v>
      </c>
      <c r="G3228" t="s">
        <v>109</v>
      </c>
      <c r="H3228" s="62">
        <v>2037</v>
      </c>
      <c r="I3228">
        <v>4.2937000000000003</v>
      </c>
    </row>
    <row r="3229" spans="1:9">
      <c r="A3229" t="s">
        <v>104</v>
      </c>
      <c r="B3229" t="s">
        <v>105</v>
      </c>
      <c r="C3229" t="s">
        <v>80</v>
      </c>
      <c r="D3229" t="s">
        <v>97</v>
      </c>
      <c r="E3229" t="s">
        <v>98</v>
      </c>
      <c r="F3229" t="s">
        <v>4</v>
      </c>
      <c r="G3229" t="s">
        <v>109</v>
      </c>
      <c r="H3229" s="62">
        <v>2037</v>
      </c>
      <c r="I3229">
        <v>5.4230999999999998</v>
      </c>
    </row>
    <row r="3230" spans="1:9">
      <c r="A3230" t="s">
        <v>104</v>
      </c>
      <c r="B3230" t="s">
        <v>105</v>
      </c>
      <c r="C3230" t="s">
        <v>80</v>
      </c>
      <c r="D3230" t="s">
        <v>97</v>
      </c>
      <c r="E3230" t="s">
        <v>99</v>
      </c>
      <c r="F3230" t="s">
        <v>4</v>
      </c>
      <c r="G3230" t="s">
        <v>109</v>
      </c>
      <c r="H3230" s="62">
        <v>2037</v>
      </c>
      <c r="I3230">
        <v>3.49E-2</v>
      </c>
    </row>
    <row r="3231" spans="1:9">
      <c r="A3231" t="s">
        <v>104</v>
      </c>
      <c r="B3231" t="s">
        <v>105</v>
      </c>
      <c r="C3231" t="s">
        <v>80</v>
      </c>
      <c r="D3231" t="s">
        <v>100</v>
      </c>
      <c r="E3231" t="s">
        <v>101</v>
      </c>
      <c r="F3231" t="s">
        <v>4</v>
      </c>
      <c r="G3231" t="s">
        <v>109</v>
      </c>
      <c r="H3231" s="62">
        <v>2037</v>
      </c>
      <c r="I3231">
        <v>6.8349000000000002</v>
      </c>
    </row>
    <row r="3232" spans="1:9">
      <c r="A3232" t="s">
        <v>104</v>
      </c>
      <c r="B3232" t="s">
        <v>105</v>
      </c>
      <c r="C3232" t="s">
        <v>80</v>
      </c>
      <c r="D3232" t="s">
        <v>100</v>
      </c>
      <c r="E3232" t="s">
        <v>102</v>
      </c>
      <c r="F3232" t="s">
        <v>4</v>
      </c>
      <c r="G3232" t="s">
        <v>109</v>
      </c>
      <c r="H3232" s="62">
        <v>2037</v>
      </c>
      <c r="I3232">
        <v>0</v>
      </c>
    </row>
    <row r="3233" spans="1:9">
      <c r="A3233" t="s">
        <v>104</v>
      </c>
      <c r="B3233" t="s">
        <v>105</v>
      </c>
      <c r="C3233" t="s">
        <v>80</v>
      </c>
      <c r="D3233" t="s">
        <v>100</v>
      </c>
      <c r="E3233" t="s">
        <v>111</v>
      </c>
      <c r="F3233" t="s">
        <v>4</v>
      </c>
      <c r="G3233" t="s">
        <v>109</v>
      </c>
      <c r="H3233" s="62">
        <v>2037</v>
      </c>
      <c r="I3233">
        <v>0</v>
      </c>
    </row>
    <row r="3234" spans="1:9">
      <c r="A3234" t="s">
        <v>104</v>
      </c>
      <c r="B3234" t="s">
        <v>105</v>
      </c>
      <c r="C3234" t="s">
        <v>80</v>
      </c>
      <c r="D3234" t="s">
        <v>100</v>
      </c>
      <c r="E3234" t="s">
        <v>112</v>
      </c>
      <c r="F3234" t="s">
        <v>4</v>
      </c>
      <c r="G3234" t="s">
        <v>109</v>
      </c>
      <c r="H3234" s="62">
        <v>2037</v>
      </c>
      <c r="I3234">
        <v>0</v>
      </c>
    </row>
    <row r="3235" spans="1:9">
      <c r="A3235" t="s">
        <v>104</v>
      </c>
      <c r="B3235" t="s">
        <v>105</v>
      </c>
      <c r="C3235" t="s">
        <v>80</v>
      </c>
      <c r="D3235" t="s">
        <v>83</v>
      </c>
      <c r="E3235" t="s">
        <v>84</v>
      </c>
      <c r="F3235" t="s">
        <v>4</v>
      </c>
      <c r="G3235" t="s">
        <v>109</v>
      </c>
      <c r="H3235" s="62">
        <v>2037</v>
      </c>
      <c r="I3235">
        <v>1.7632000000000001</v>
      </c>
    </row>
    <row r="3236" spans="1:9">
      <c r="A3236" t="s">
        <v>104</v>
      </c>
      <c r="B3236" t="s">
        <v>105</v>
      </c>
      <c r="C3236" t="s">
        <v>80</v>
      </c>
      <c r="D3236" t="s">
        <v>83</v>
      </c>
      <c r="E3236" t="s">
        <v>85</v>
      </c>
      <c r="F3236" t="s">
        <v>4</v>
      </c>
      <c r="G3236" t="s">
        <v>109</v>
      </c>
      <c r="H3236" s="62">
        <v>2037</v>
      </c>
      <c r="I3236">
        <v>1.0904</v>
      </c>
    </row>
    <row r="3237" spans="1:9">
      <c r="A3237" t="s">
        <v>104</v>
      </c>
      <c r="B3237" t="s">
        <v>105</v>
      </c>
      <c r="C3237" t="s">
        <v>80</v>
      </c>
      <c r="D3237" t="s">
        <v>86</v>
      </c>
      <c r="E3237" t="s">
        <v>106</v>
      </c>
      <c r="F3237" t="s">
        <v>4</v>
      </c>
      <c r="G3237" t="s">
        <v>109</v>
      </c>
      <c r="H3237" s="62">
        <v>2037</v>
      </c>
      <c r="I3237">
        <v>0.7974</v>
      </c>
    </row>
    <row r="3238" spans="1:9">
      <c r="A3238" t="s">
        <v>104</v>
      </c>
      <c r="B3238" t="s">
        <v>105</v>
      </c>
      <c r="C3238" t="s">
        <v>80</v>
      </c>
      <c r="D3238" t="s">
        <v>86</v>
      </c>
      <c r="E3238" t="s">
        <v>87</v>
      </c>
      <c r="F3238" t="s">
        <v>4</v>
      </c>
      <c r="G3238" t="s">
        <v>109</v>
      </c>
      <c r="H3238" s="62">
        <v>2037</v>
      </c>
      <c r="I3238">
        <v>3.3683999999999998</v>
      </c>
    </row>
    <row r="3239" spans="1:9">
      <c r="A3239" t="s">
        <v>104</v>
      </c>
      <c r="B3239" t="s">
        <v>105</v>
      </c>
      <c r="C3239" t="s">
        <v>80</v>
      </c>
      <c r="D3239" t="s">
        <v>103</v>
      </c>
      <c r="E3239" t="s">
        <v>92</v>
      </c>
      <c r="F3239" t="s">
        <v>4</v>
      </c>
      <c r="G3239" t="s">
        <v>109</v>
      </c>
      <c r="H3239" s="62">
        <v>2037</v>
      </c>
      <c r="I3239">
        <v>2.8473999999999999</v>
      </c>
    </row>
    <row r="3240" spans="1:9">
      <c r="A3240" t="s">
        <v>104</v>
      </c>
      <c r="B3240" t="s">
        <v>105</v>
      </c>
      <c r="C3240" t="s">
        <v>80</v>
      </c>
      <c r="D3240" t="s">
        <v>103</v>
      </c>
      <c r="E3240" t="s">
        <v>89</v>
      </c>
      <c r="F3240" t="s">
        <v>4</v>
      </c>
      <c r="G3240" t="s">
        <v>109</v>
      </c>
      <c r="H3240" s="62">
        <v>2037</v>
      </c>
      <c r="I3240">
        <v>11.8675</v>
      </c>
    </row>
    <row r="3241" spans="1:9">
      <c r="A3241" t="s">
        <v>104</v>
      </c>
      <c r="B3241" t="s">
        <v>105</v>
      </c>
      <c r="C3241" t="s">
        <v>107</v>
      </c>
      <c r="D3241" t="s">
        <v>107</v>
      </c>
      <c r="E3241" t="s">
        <v>107</v>
      </c>
      <c r="F3241" t="s">
        <v>4</v>
      </c>
      <c r="G3241" t="s">
        <v>109</v>
      </c>
      <c r="H3241" s="62">
        <v>2038</v>
      </c>
      <c r="I3241">
        <v>55.462699999999998</v>
      </c>
    </row>
    <row r="3242" spans="1:9">
      <c r="A3242" t="s">
        <v>104</v>
      </c>
      <c r="B3242" t="s">
        <v>105</v>
      </c>
      <c r="C3242" t="s">
        <v>107</v>
      </c>
      <c r="D3242" t="s">
        <v>108</v>
      </c>
      <c r="E3242" t="s">
        <v>108</v>
      </c>
      <c r="F3242" t="s">
        <v>4</v>
      </c>
      <c r="G3242" t="s">
        <v>109</v>
      </c>
      <c r="H3242" s="62">
        <v>2038</v>
      </c>
      <c r="I3242">
        <v>0.13400000000000001</v>
      </c>
    </row>
    <row r="3243" spans="1:9">
      <c r="A3243" t="s">
        <v>104</v>
      </c>
      <c r="B3243" t="s">
        <v>105</v>
      </c>
      <c r="C3243" t="s">
        <v>80</v>
      </c>
      <c r="D3243" t="s">
        <v>80</v>
      </c>
      <c r="E3243" t="s">
        <v>80</v>
      </c>
      <c r="F3243" t="s">
        <v>4</v>
      </c>
      <c r="G3243" t="s">
        <v>109</v>
      </c>
      <c r="H3243" s="62">
        <v>2038</v>
      </c>
      <c r="I3243">
        <v>55.328699999999998</v>
      </c>
    </row>
    <row r="3244" spans="1:9">
      <c r="A3244" t="s">
        <v>104</v>
      </c>
      <c r="B3244" t="s">
        <v>105</v>
      </c>
      <c r="C3244" t="s">
        <v>80</v>
      </c>
      <c r="D3244" t="s">
        <v>89</v>
      </c>
      <c r="E3244" t="s">
        <v>90</v>
      </c>
      <c r="F3244" t="s">
        <v>4</v>
      </c>
      <c r="G3244" t="s">
        <v>109</v>
      </c>
      <c r="H3244" s="62">
        <v>2038</v>
      </c>
      <c r="I3244">
        <v>1.6738999999999999</v>
      </c>
    </row>
    <row r="3245" spans="1:9">
      <c r="A3245" t="s">
        <v>104</v>
      </c>
      <c r="B3245" t="s">
        <v>105</v>
      </c>
      <c r="C3245" t="s">
        <v>80</v>
      </c>
      <c r="D3245" t="s">
        <v>89</v>
      </c>
      <c r="E3245" t="s">
        <v>91</v>
      </c>
      <c r="F3245" t="s">
        <v>4</v>
      </c>
      <c r="G3245" t="s">
        <v>109</v>
      </c>
      <c r="H3245" s="62">
        <v>2038</v>
      </c>
      <c r="I3245">
        <v>-0.2102</v>
      </c>
    </row>
    <row r="3246" spans="1:9">
      <c r="A3246" t="s">
        <v>104</v>
      </c>
      <c r="B3246" t="s">
        <v>105</v>
      </c>
      <c r="C3246" t="s">
        <v>80</v>
      </c>
      <c r="D3246" t="s">
        <v>92</v>
      </c>
      <c r="E3246" t="s">
        <v>93</v>
      </c>
      <c r="F3246" t="s">
        <v>4</v>
      </c>
      <c r="G3246" t="s">
        <v>109</v>
      </c>
      <c r="H3246" s="62">
        <v>2038</v>
      </c>
      <c r="I3246">
        <v>-4.2790999999999997</v>
      </c>
    </row>
    <row r="3247" spans="1:9">
      <c r="A3247" t="s">
        <v>104</v>
      </c>
      <c r="B3247" t="s">
        <v>105</v>
      </c>
      <c r="C3247" t="s">
        <v>80</v>
      </c>
      <c r="D3247" t="s">
        <v>92</v>
      </c>
      <c r="E3247" t="s">
        <v>94</v>
      </c>
      <c r="F3247" t="s">
        <v>4</v>
      </c>
      <c r="G3247" t="s">
        <v>109</v>
      </c>
      <c r="H3247" s="62">
        <v>2038</v>
      </c>
      <c r="I3247">
        <v>24.9771</v>
      </c>
    </row>
    <row r="3248" spans="1:9">
      <c r="A3248" t="s">
        <v>104</v>
      </c>
      <c r="B3248" t="s">
        <v>105</v>
      </c>
      <c r="C3248" t="s">
        <v>80</v>
      </c>
      <c r="D3248" t="s">
        <v>92</v>
      </c>
      <c r="E3248" t="s">
        <v>110</v>
      </c>
      <c r="F3248" t="s">
        <v>4</v>
      </c>
      <c r="G3248" t="s">
        <v>109</v>
      </c>
      <c r="H3248" s="62">
        <v>2038</v>
      </c>
      <c r="I3248">
        <v>0</v>
      </c>
    </row>
    <row r="3249" spans="1:9">
      <c r="A3249" t="s">
        <v>104</v>
      </c>
      <c r="B3249" t="s">
        <v>105</v>
      </c>
      <c r="C3249" t="s">
        <v>80</v>
      </c>
      <c r="D3249" t="s">
        <v>92</v>
      </c>
      <c r="E3249" t="s">
        <v>95</v>
      </c>
      <c r="F3249" t="s">
        <v>4</v>
      </c>
      <c r="G3249" t="s">
        <v>109</v>
      </c>
      <c r="H3249" s="62">
        <v>2038</v>
      </c>
      <c r="I3249">
        <v>9.1068999999999996</v>
      </c>
    </row>
    <row r="3250" spans="1:9">
      <c r="A3250" t="s">
        <v>104</v>
      </c>
      <c r="B3250" t="s">
        <v>105</v>
      </c>
      <c r="C3250" t="s">
        <v>80</v>
      </c>
      <c r="D3250" t="s">
        <v>96</v>
      </c>
      <c r="E3250" t="s">
        <v>92</v>
      </c>
      <c r="F3250" t="s">
        <v>4</v>
      </c>
      <c r="G3250" t="s">
        <v>109</v>
      </c>
      <c r="H3250" s="62">
        <v>2038</v>
      </c>
      <c r="I3250">
        <v>2.9278</v>
      </c>
    </row>
    <row r="3251" spans="1:9">
      <c r="A3251" t="s">
        <v>104</v>
      </c>
      <c r="B3251" t="s">
        <v>105</v>
      </c>
      <c r="C3251" t="s">
        <v>80</v>
      </c>
      <c r="D3251" t="s">
        <v>96</v>
      </c>
      <c r="E3251" t="s">
        <v>89</v>
      </c>
      <c r="F3251" t="s">
        <v>4</v>
      </c>
      <c r="G3251" t="s">
        <v>109</v>
      </c>
      <c r="H3251" s="62">
        <v>2038</v>
      </c>
      <c r="I3251">
        <v>4.6673</v>
      </c>
    </row>
    <row r="3252" spans="1:9">
      <c r="A3252" t="s">
        <v>104</v>
      </c>
      <c r="B3252" t="s">
        <v>105</v>
      </c>
      <c r="C3252" t="s">
        <v>80</v>
      </c>
      <c r="D3252" t="s">
        <v>97</v>
      </c>
      <c r="E3252" t="s">
        <v>98</v>
      </c>
      <c r="F3252" t="s">
        <v>4</v>
      </c>
      <c r="G3252" t="s">
        <v>109</v>
      </c>
      <c r="H3252" s="62">
        <v>2038</v>
      </c>
      <c r="I3252">
        <v>6.3928000000000003</v>
      </c>
    </row>
    <row r="3253" spans="1:9">
      <c r="A3253" t="s">
        <v>104</v>
      </c>
      <c r="B3253" t="s">
        <v>105</v>
      </c>
      <c r="C3253" t="s">
        <v>80</v>
      </c>
      <c r="D3253" t="s">
        <v>97</v>
      </c>
      <c r="E3253" t="s">
        <v>99</v>
      </c>
      <c r="F3253" t="s">
        <v>4</v>
      </c>
      <c r="G3253" t="s">
        <v>109</v>
      </c>
      <c r="H3253" s="62">
        <v>2038</v>
      </c>
      <c r="I3253">
        <v>4.4699999999999997E-2</v>
      </c>
    </row>
    <row r="3254" spans="1:9">
      <c r="A3254" t="s">
        <v>104</v>
      </c>
      <c r="B3254" t="s">
        <v>105</v>
      </c>
      <c r="C3254" t="s">
        <v>80</v>
      </c>
      <c r="D3254" t="s">
        <v>100</v>
      </c>
      <c r="E3254" t="s">
        <v>101</v>
      </c>
      <c r="F3254" t="s">
        <v>4</v>
      </c>
      <c r="G3254" t="s">
        <v>109</v>
      </c>
      <c r="H3254" s="62">
        <v>2038</v>
      </c>
      <c r="I3254">
        <v>7.1017999999999999</v>
      </c>
    </row>
    <row r="3255" spans="1:9">
      <c r="A3255" t="s">
        <v>104</v>
      </c>
      <c r="B3255" t="s">
        <v>105</v>
      </c>
      <c r="C3255" t="s">
        <v>80</v>
      </c>
      <c r="D3255" t="s">
        <v>100</v>
      </c>
      <c r="E3255" t="s">
        <v>102</v>
      </c>
      <c r="F3255" t="s">
        <v>4</v>
      </c>
      <c r="G3255" t="s">
        <v>109</v>
      </c>
      <c r="H3255" s="62">
        <v>2038</v>
      </c>
      <c r="I3255">
        <v>0</v>
      </c>
    </row>
    <row r="3256" spans="1:9">
      <c r="A3256" t="s">
        <v>104</v>
      </c>
      <c r="B3256" t="s">
        <v>105</v>
      </c>
      <c r="C3256" t="s">
        <v>80</v>
      </c>
      <c r="D3256" t="s">
        <v>100</v>
      </c>
      <c r="E3256" t="s">
        <v>111</v>
      </c>
      <c r="F3256" t="s">
        <v>4</v>
      </c>
      <c r="G3256" t="s">
        <v>109</v>
      </c>
      <c r="H3256" s="62">
        <v>2038</v>
      </c>
      <c r="I3256">
        <v>0</v>
      </c>
    </row>
    <row r="3257" spans="1:9">
      <c r="A3257" t="s">
        <v>104</v>
      </c>
      <c r="B3257" t="s">
        <v>105</v>
      </c>
      <c r="C3257" t="s">
        <v>80</v>
      </c>
      <c r="D3257" t="s">
        <v>100</v>
      </c>
      <c r="E3257" t="s">
        <v>112</v>
      </c>
      <c r="F3257" t="s">
        <v>4</v>
      </c>
      <c r="G3257" t="s">
        <v>109</v>
      </c>
      <c r="H3257" s="62">
        <v>2038</v>
      </c>
      <c r="I3257">
        <v>0</v>
      </c>
    </row>
    <row r="3258" spans="1:9">
      <c r="A3258" t="s">
        <v>104</v>
      </c>
      <c r="B3258" t="s">
        <v>105</v>
      </c>
      <c r="C3258" t="s">
        <v>80</v>
      </c>
      <c r="D3258" t="s">
        <v>83</v>
      </c>
      <c r="E3258" t="s">
        <v>84</v>
      </c>
      <c r="F3258" t="s">
        <v>4</v>
      </c>
      <c r="G3258" t="s">
        <v>109</v>
      </c>
      <c r="H3258" s="62">
        <v>2038</v>
      </c>
      <c r="I3258">
        <v>1.8104</v>
      </c>
    </row>
    <row r="3259" spans="1:9">
      <c r="A3259" t="s">
        <v>104</v>
      </c>
      <c r="B3259" t="s">
        <v>105</v>
      </c>
      <c r="C3259" t="s">
        <v>80</v>
      </c>
      <c r="D3259" t="s">
        <v>83</v>
      </c>
      <c r="E3259" t="s">
        <v>85</v>
      </c>
      <c r="F3259" t="s">
        <v>4</v>
      </c>
      <c r="G3259" t="s">
        <v>109</v>
      </c>
      <c r="H3259" s="62">
        <v>2038</v>
      </c>
      <c r="I3259">
        <v>1.1153</v>
      </c>
    </row>
    <row r="3260" spans="1:9">
      <c r="A3260" t="s">
        <v>104</v>
      </c>
      <c r="B3260" t="s">
        <v>105</v>
      </c>
      <c r="C3260" t="s">
        <v>80</v>
      </c>
      <c r="D3260" t="s">
        <v>86</v>
      </c>
      <c r="E3260" t="s">
        <v>106</v>
      </c>
      <c r="F3260" t="s">
        <v>4</v>
      </c>
      <c r="G3260" t="s">
        <v>109</v>
      </c>
      <c r="H3260" s="62">
        <v>2038</v>
      </c>
      <c r="I3260">
        <v>0.80130000000000001</v>
      </c>
    </row>
    <row r="3261" spans="1:9">
      <c r="A3261" t="s">
        <v>104</v>
      </c>
      <c r="B3261" t="s">
        <v>105</v>
      </c>
      <c r="C3261" t="s">
        <v>80</v>
      </c>
      <c r="D3261" t="s">
        <v>86</v>
      </c>
      <c r="E3261" t="s">
        <v>87</v>
      </c>
      <c r="F3261" t="s">
        <v>4</v>
      </c>
      <c r="G3261" t="s">
        <v>109</v>
      </c>
      <c r="H3261" s="62">
        <v>2038</v>
      </c>
      <c r="I3261">
        <v>3.6880000000000002</v>
      </c>
    </row>
    <row r="3262" spans="1:9">
      <c r="A3262" t="s">
        <v>104</v>
      </c>
      <c r="B3262" t="s">
        <v>105</v>
      </c>
      <c r="C3262" t="s">
        <v>80</v>
      </c>
      <c r="D3262" t="s">
        <v>103</v>
      </c>
      <c r="E3262" t="s">
        <v>92</v>
      </c>
      <c r="F3262" t="s">
        <v>4</v>
      </c>
      <c r="G3262" t="s">
        <v>109</v>
      </c>
      <c r="H3262" s="62">
        <v>2038</v>
      </c>
      <c r="I3262">
        <v>3.0247999999999999</v>
      </c>
    </row>
    <row r="3263" spans="1:9">
      <c r="A3263" t="s">
        <v>104</v>
      </c>
      <c r="B3263" t="s">
        <v>105</v>
      </c>
      <c r="C3263" t="s">
        <v>80</v>
      </c>
      <c r="D3263" t="s">
        <v>103</v>
      </c>
      <c r="E3263" t="s">
        <v>89</v>
      </c>
      <c r="F3263" t="s">
        <v>4</v>
      </c>
      <c r="G3263" t="s">
        <v>109</v>
      </c>
      <c r="H3263" s="62">
        <v>2038</v>
      </c>
      <c r="I3263">
        <v>12.519299999999999</v>
      </c>
    </row>
    <row r="3264" spans="1:9">
      <c r="A3264" t="s">
        <v>104</v>
      </c>
      <c r="B3264" t="s">
        <v>105</v>
      </c>
      <c r="C3264" t="s">
        <v>107</v>
      </c>
      <c r="D3264" t="s">
        <v>107</v>
      </c>
      <c r="E3264" t="s">
        <v>107</v>
      </c>
      <c r="F3264" t="s">
        <v>4</v>
      </c>
      <c r="G3264" t="s">
        <v>109</v>
      </c>
      <c r="H3264" s="62">
        <v>2039</v>
      </c>
      <c r="I3264">
        <v>56.252299999999998</v>
      </c>
    </row>
    <row r="3265" spans="1:9">
      <c r="A3265" t="s">
        <v>104</v>
      </c>
      <c r="B3265" t="s">
        <v>105</v>
      </c>
      <c r="C3265" t="s">
        <v>107</v>
      </c>
      <c r="D3265" t="s">
        <v>108</v>
      </c>
      <c r="E3265" t="s">
        <v>108</v>
      </c>
      <c r="F3265" t="s">
        <v>4</v>
      </c>
      <c r="G3265" t="s">
        <v>109</v>
      </c>
      <c r="H3265" s="62">
        <v>2039</v>
      </c>
      <c r="I3265">
        <v>0.1343</v>
      </c>
    </row>
    <row r="3266" spans="1:9">
      <c r="A3266" t="s">
        <v>104</v>
      </c>
      <c r="B3266" t="s">
        <v>105</v>
      </c>
      <c r="C3266" t="s">
        <v>80</v>
      </c>
      <c r="D3266" t="s">
        <v>80</v>
      </c>
      <c r="E3266" t="s">
        <v>80</v>
      </c>
      <c r="F3266" t="s">
        <v>4</v>
      </c>
      <c r="G3266" t="s">
        <v>109</v>
      </c>
      <c r="H3266" s="62">
        <v>2039</v>
      </c>
      <c r="I3266">
        <v>56.117899999999999</v>
      </c>
    </row>
    <row r="3267" spans="1:9">
      <c r="A3267" t="s">
        <v>104</v>
      </c>
      <c r="B3267" t="s">
        <v>105</v>
      </c>
      <c r="C3267" t="s">
        <v>80</v>
      </c>
      <c r="D3267" t="s">
        <v>89</v>
      </c>
      <c r="E3267" t="s">
        <v>90</v>
      </c>
      <c r="F3267" t="s">
        <v>4</v>
      </c>
      <c r="G3267" t="s">
        <v>109</v>
      </c>
      <c r="H3267" s="62">
        <v>2039</v>
      </c>
      <c r="I3267">
        <v>0.90500000000000003</v>
      </c>
    </row>
    <row r="3268" spans="1:9">
      <c r="A3268" t="s">
        <v>104</v>
      </c>
      <c r="B3268" t="s">
        <v>105</v>
      </c>
      <c r="C3268" t="s">
        <v>80</v>
      </c>
      <c r="D3268" t="s">
        <v>89</v>
      </c>
      <c r="E3268" t="s">
        <v>91</v>
      </c>
      <c r="F3268" t="s">
        <v>4</v>
      </c>
      <c r="G3268" t="s">
        <v>109</v>
      </c>
      <c r="H3268" s="62">
        <v>2039</v>
      </c>
      <c r="I3268">
        <v>-0.12540000000000001</v>
      </c>
    </row>
    <row r="3269" spans="1:9">
      <c r="A3269" t="s">
        <v>104</v>
      </c>
      <c r="B3269" t="s">
        <v>105</v>
      </c>
      <c r="C3269" t="s">
        <v>80</v>
      </c>
      <c r="D3269" t="s">
        <v>92</v>
      </c>
      <c r="E3269" t="s">
        <v>93</v>
      </c>
      <c r="F3269" t="s">
        <v>4</v>
      </c>
      <c r="G3269" t="s">
        <v>109</v>
      </c>
      <c r="H3269" s="62">
        <v>2039</v>
      </c>
      <c r="I3269">
        <v>-4.7247000000000003</v>
      </c>
    </row>
    <row r="3270" spans="1:9">
      <c r="A3270" t="s">
        <v>104</v>
      </c>
      <c r="B3270" t="s">
        <v>105</v>
      </c>
      <c r="C3270" t="s">
        <v>80</v>
      </c>
      <c r="D3270" t="s">
        <v>92</v>
      </c>
      <c r="E3270" t="s">
        <v>94</v>
      </c>
      <c r="F3270" t="s">
        <v>4</v>
      </c>
      <c r="G3270" t="s">
        <v>109</v>
      </c>
      <c r="H3270" s="62">
        <v>2039</v>
      </c>
      <c r="I3270">
        <v>24.920100000000001</v>
      </c>
    </row>
    <row r="3271" spans="1:9">
      <c r="A3271" t="s">
        <v>104</v>
      </c>
      <c r="B3271" t="s">
        <v>105</v>
      </c>
      <c r="C3271" t="s">
        <v>80</v>
      </c>
      <c r="D3271" t="s">
        <v>92</v>
      </c>
      <c r="E3271" t="s">
        <v>110</v>
      </c>
      <c r="F3271" t="s">
        <v>4</v>
      </c>
      <c r="G3271" t="s">
        <v>109</v>
      </c>
      <c r="H3271" s="62">
        <v>2039</v>
      </c>
      <c r="I3271">
        <v>0</v>
      </c>
    </row>
    <row r="3272" spans="1:9">
      <c r="A3272" t="s">
        <v>104</v>
      </c>
      <c r="B3272" t="s">
        <v>105</v>
      </c>
      <c r="C3272" t="s">
        <v>80</v>
      </c>
      <c r="D3272" t="s">
        <v>92</v>
      </c>
      <c r="E3272" t="s">
        <v>95</v>
      </c>
      <c r="F3272" t="s">
        <v>4</v>
      </c>
      <c r="G3272" t="s">
        <v>109</v>
      </c>
      <c r="H3272" s="62">
        <v>2039</v>
      </c>
      <c r="I3272">
        <v>9.1797000000000004</v>
      </c>
    </row>
    <row r="3273" spans="1:9">
      <c r="A3273" t="s">
        <v>104</v>
      </c>
      <c r="B3273" t="s">
        <v>105</v>
      </c>
      <c r="C3273" t="s">
        <v>80</v>
      </c>
      <c r="D3273" t="s">
        <v>96</v>
      </c>
      <c r="E3273" t="s">
        <v>92</v>
      </c>
      <c r="F3273" t="s">
        <v>4</v>
      </c>
      <c r="G3273" t="s">
        <v>109</v>
      </c>
      <c r="H3273" s="62">
        <v>2039</v>
      </c>
      <c r="I3273">
        <v>3.1324999999999998</v>
      </c>
    </row>
    <row r="3274" spans="1:9">
      <c r="A3274" t="s">
        <v>104</v>
      </c>
      <c r="B3274" t="s">
        <v>105</v>
      </c>
      <c r="C3274" t="s">
        <v>80</v>
      </c>
      <c r="D3274" t="s">
        <v>96</v>
      </c>
      <c r="E3274" t="s">
        <v>89</v>
      </c>
      <c r="F3274" t="s">
        <v>4</v>
      </c>
      <c r="G3274" t="s">
        <v>109</v>
      </c>
      <c r="H3274" s="62">
        <v>2039</v>
      </c>
      <c r="I3274">
        <v>5.0448000000000004</v>
      </c>
    </row>
    <row r="3275" spans="1:9">
      <c r="A3275" t="s">
        <v>104</v>
      </c>
      <c r="B3275" t="s">
        <v>105</v>
      </c>
      <c r="C3275" t="s">
        <v>80</v>
      </c>
      <c r="D3275" t="s">
        <v>97</v>
      </c>
      <c r="E3275" t="s">
        <v>98</v>
      </c>
      <c r="F3275" t="s">
        <v>4</v>
      </c>
      <c r="G3275" t="s">
        <v>109</v>
      </c>
      <c r="H3275" s="62">
        <v>2039</v>
      </c>
      <c r="I3275">
        <v>7.3625999999999996</v>
      </c>
    </row>
    <row r="3276" spans="1:9">
      <c r="A3276" t="s">
        <v>104</v>
      </c>
      <c r="B3276" t="s">
        <v>105</v>
      </c>
      <c r="C3276" t="s">
        <v>80</v>
      </c>
      <c r="D3276" t="s">
        <v>97</v>
      </c>
      <c r="E3276" t="s">
        <v>99</v>
      </c>
      <c r="F3276" t="s">
        <v>4</v>
      </c>
      <c r="G3276" t="s">
        <v>109</v>
      </c>
      <c r="H3276" s="62">
        <v>2039</v>
      </c>
      <c r="I3276">
        <v>5.5599999999999997E-2</v>
      </c>
    </row>
    <row r="3277" spans="1:9">
      <c r="A3277" t="s">
        <v>104</v>
      </c>
      <c r="B3277" t="s">
        <v>105</v>
      </c>
      <c r="C3277" t="s">
        <v>80</v>
      </c>
      <c r="D3277" t="s">
        <v>100</v>
      </c>
      <c r="E3277" t="s">
        <v>101</v>
      </c>
      <c r="F3277" t="s">
        <v>4</v>
      </c>
      <c r="G3277" t="s">
        <v>109</v>
      </c>
      <c r="H3277" s="62">
        <v>2039</v>
      </c>
      <c r="I3277">
        <v>7.3910999999999998</v>
      </c>
    </row>
    <row r="3278" spans="1:9">
      <c r="A3278" t="s">
        <v>104</v>
      </c>
      <c r="B3278" t="s">
        <v>105</v>
      </c>
      <c r="C3278" t="s">
        <v>80</v>
      </c>
      <c r="D3278" t="s">
        <v>100</v>
      </c>
      <c r="E3278" t="s">
        <v>102</v>
      </c>
      <c r="F3278" t="s">
        <v>4</v>
      </c>
      <c r="G3278" t="s">
        <v>109</v>
      </c>
      <c r="H3278" s="62">
        <v>2039</v>
      </c>
      <c r="I3278">
        <v>0</v>
      </c>
    </row>
    <row r="3279" spans="1:9">
      <c r="A3279" t="s">
        <v>104</v>
      </c>
      <c r="B3279" t="s">
        <v>105</v>
      </c>
      <c r="C3279" t="s">
        <v>80</v>
      </c>
      <c r="D3279" t="s">
        <v>100</v>
      </c>
      <c r="E3279" t="s">
        <v>111</v>
      </c>
      <c r="F3279" t="s">
        <v>4</v>
      </c>
      <c r="G3279" t="s">
        <v>109</v>
      </c>
      <c r="H3279" s="62">
        <v>2039</v>
      </c>
      <c r="I3279">
        <v>0</v>
      </c>
    </row>
    <row r="3280" spans="1:9">
      <c r="A3280" t="s">
        <v>104</v>
      </c>
      <c r="B3280" t="s">
        <v>105</v>
      </c>
      <c r="C3280" t="s">
        <v>80</v>
      </c>
      <c r="D3280" t="s">
        <v>100</v>
      </c>
      <c r="E3280" t="s">
        <v>112</v>
      </c>
      <c r="F3280" t="s">
        <v>4</v>
      </c>
      <c r="G3280" t="s">
        <v>109</v>
      </c>
      <c r="H3280" s="62">
        <v>2039</v>
      </c>
      <c r="I3280">
        <v>0</v>
      </c>
    </row>
    <row r="3281" spans="1:9">
      <c r="A3281" t="s">
        <v>104</v>
      </c>
      <c r="B3281" t="s">
        <v>105</v>
      </c>
      <c r="C3281" t="s">
        <v>80</v>
      </c>
      <c r="D3281" t="s">
        <v>83</v>
      </c>
      <c r="E3281" t="s">
        <v>84</v>
      </c>
      <c r="F3281" t="s">
        <v>4</v>
      </c>
      <c r="G3281" t="s">
        <v>109</v>
      </c>
      <c r="H3281" s="62">
        <v>2039</v>
      </c>
      <c r="I3281">
        <v>1.8431999999999999</v>
      </c>
    </row>
    <row r="3282" spans="1:9">
      <c r="A3282" t="s">
        <v>104</v>
      </c>
      <c r="B3282" t="s">
        <v>105</v>
      </c>
      <c r="C3282" t="s">
        <v>80</v>
      </c>
      <c r="D3282" t="s">
        <v>83</v>
      </c>
      <c r="E3282" t="s">
        <v>85</v>
      </c>
      <c r="F3282" t="s">
        <v>4</v>
      </c>
      <c r="G3282" t="s">
        <v>109</v>
      </c>
      <c r="H3282" s="62">
        <v>2039</v>
      </c>
      <c r="I3282">
        <v>1.1334</v>
      </c>
    </row>
    <row r="3283" spans="1:9">
      <c r="A3283" t="s">
        <v>104</v>
      </c>
      <c r="B3283" t="s">
        <v>105</v>
      </c>
      <c r="C3283" t="s">
        <v>80</v>
      </c>
      <c r="D3283" t="s">
        <v>86</v>
      </c>
      <c r="E3283" t="s">
        <v>106</v>
      </c>
      <c r="F3283" t="s">
        <v>4</v>
      </c>
      <c r="G3283" t="s">
        <v>109</v>
      </c>
      <c r="H3283" s="62">
        <v>2039</v>
      </c>
      <c r="I3283">
        <v>0.81569999999999998</v>
      </c>
    </row>
    <row r="3284" spans="1:9">
      <c r="A3284" t="s">
        <v>104</v>
      </c>
      <c r="B3284" t="s">
        <v>105</v>
      </c>
      <c r="C3284" t="s">
        <v>80</v>
      </c>
      <c r="D3284" t="s">
        <v>86</v>
      </c>
      <c r="E3284" t="s">
        <v>87</v>
      </c>
      <c r="F3284" t="s">
        <v>4</v>
      </c>
      <c r="G3284" t="s">
        <v>109</v>
      </c>
      <c r="H3284" s="62">
        <v>2039</v>
      </c>
      <c r="I3284">
        <v>4.0343999999999998</v>
      </c>
    </row>
    <row r="3285" spans="1:9">
      <c r="A3285" t="s">
        <v>104</v>
      </c>
      <c r="B3285" t="s">
        <v>105</v>
      </c>
      <c r="C3285" t="s">
        <v>80</v>
      </c>
      <c r="D3285" t="s">
        <v>103</v>
      </c>
      <c r="E3285" t="s">
        <v>92</v>
      </c>
      <c r="F3285" t="s">
        <v>4</v>
      </c>
      <c r="G3285" t="s">
        <v>109</v>
      </c>
      <c r="H3285" s="62">
        <v>2039</v>
      </c>
      <c r="I3285">
        <v>3.2219000000000002</v>
      </c>
    </row>
    <row r="3286" spans="1:9">
      <c r="A3286" t="s">
        <v>104</v>
      </c>
      <c r="B3286" t="s">
        <v>105</v>
      </c>
      <c r="C3286" t="s">
        <v>80</v>
      </c>
      <c r="D3286" t="s">
        <v>103</v>
      </c>
      <c r="E3286" t="s">
        <v>89</v>
      </c>
      <c r="F3286" t="s">
        <v>4</v>
      </c>
      <c r="G3286" t="s">
        <v>109</v>
      </c>
      <c r="H3286" s="62">
        <v>2039</v>
      </c>
      <c r="I3286">
        <v>13.219200000000001</v>
      </c>
    </row>
    <row r="3287" spans="1:9">
      <c r="A3287" t="s">
        <v>104</v>
      </c>
      <c r="B3287" t="s">
        <v>105</v>
      </c>
      <c r="C3287" t="s">
        <v>107</v>
      </c>
      <c r="D3287" t="s">
        <v>107</v>
      </c>
      <c r="E3287" t="s">
        <v>107</v>
      </c>
      <c r="F3287" t="s">
        <v>4</v>
      </c>
      <c r="G3287" t="s">
        <v>109</v>
      </c>
      <c r="H3287" s="62">
        <v>2040</v>
      </c>
      <c r="I3287">
        <v>56.781599999999997</v>
      </c>
    </row>
    <row r="3288" spans="1:9">
      <c r="A3288" t="s">
        <v>104</v>
      </c>
      <c r="B3288" t="s">
        <v>105</v>
      </c>
      <c r="C3288" t="s">
        <v>107</v>
      </c>
      <c r="D3288" t="s">
        <v>108</v>
      </c>
      <c r="E3288" t="s">
        <v>108</v>
      </c>
      <c r="F3288" t="s">
        <v>4</v>
      </c>
      <c r="G3288" t="s">
        <v>109</v>
      </c>
      <c r="H3288" s="62">
        <v>2040</v>
      </c>
      <c r="I3288">
        <v>0.1076</v>
      </c>
    </row>
    <row r="3289" spans="1:9">
      <c r="A3289" t="s">
        <v>104</v>
      </c>
      <c r="B3289" t="s">
        <v>105</v>
      </c>
      <c r="C3289" t="s">
        <v>80</v>
      </c>
      <c r="D3289" t="s">
        <v>80</v>
      </c>
      <c r="E3289" t="s">
        <v>80</v>
      </c>
      <c r="F3289" t="s">
        <v>4</v>
      </c>
      <c r="G3289" t="s">
        <v>109</v>
      </c>
      <c r="H3289" s="62">
        <v>2040</v>
      </c>
      <c r="I3289">
        <v>56.673999999999999</v>
      </c>
    </row>
    <row r="3290" spans="1:9">
      <c r="A3290" t="s">
        <v>104</v>
      </c>
      <c r="B3290" t="s">
        <v>105</v>
      </c>
      <c r="C3290" t="s">
        <v>80</v>
      </c>
      <c r="D3290" t="s">
        <v>89</v>
      </c>
      <c r="E3290" t="s">
        <v>90</v>
      </c>
      <c r="F3290" t="s">
        <v>4</v>
      </c>
      <c r="G3290" t="s">
        <v>109</v>
      </c>
      <c r="H3290" s="62">
        <v>2040</v>
      </c>
      <c r="I3290">
        <v>0.1835</v>
      </c>
    </row>
    <row r="3291" spans="1:9">
      <c r="A3291" t="s">
        <v>104</v>
      </c>
      <c r="B3291" t="s">
        <v>105</v>
      </c>
      <c r="C3291" t="s">
        <v>80</v>
      </c>
      <c r="D3291" t="s">
        <v>89</v>
      </c>
      <c r="E3291" t="s">
        <v>91</v>
      </c>
      <c r="F3291" t="s">
        <v>4</v>
      </c>
      <c r="G3291" t="s">
        <v>109</v>
      </c>
      <c r="H3291" s="62">
        <v>2040</v>
      </c>
      <c r="I3291">
        <v>-2.81E-2</v>
      </c>
    </row>
    <row r="3292" spans="1:9">
      <c r="A3292" t="s">
        <v>104</v>
      </c>
      <c r="B3292" t="s">
        <v>105</v>
      </c>
      <c r="C3292" t="s">
        <v>80</v>
      </c>
      <c r="D3292" t="s">
        <v>92</v>
      </c>
      <c r="E3292" t="s">
        <v>93</v>
      </c>
      <c r="F3292" t="s">
        <v>4</v>
      </c>
      <c r="G3292" t="s">
        <v>109</v>
      </c>
      <c r="H3292" s="62">
        <v>2040</v>
      </c>
      <c r="I3292">
        <v>-5.2202000000000002</v>
      </c>
    </row>
    <row r="3293" spans="1:9">
      <c r="A3293" t="s">
        <v>104</v>
      </c>
      <c r="B3293" t="s">
        <v>105</v>
      </c>
      <c r="C3293" t="s">
        <v>80</v>
      </c>
      <c r="D3293" t="s">
        <v>92</v>
      </c>
      <c r="E3293" t="s">
        <v>94</v>
      </c>
      <c r="F3293" t="s">
        <v>4</v>
      </c>
      <c r="G3293" t="s">
        <v>109</v>
      </c>
      <c r="H3293" s="62">
        <v>2040</v>
      </c>
      <c r="I3293">
        <v>24.832699999999999</v>
      </c>
    </row>
    <row r="3294" spans="1:9">
      <c r="A3294" t="s">
        <v>104</v>
      </c>
      <c r="B3294" t="s">
        <v>105</v>
      </c>
      <c r="C3294" t="s">
        <v>80</v>
      </c>
      <c r="D3294" t="s">
        <v>92</v>
      </c>
      <c r="E3294" t="s">
        <v>110</v>
      </c>
      <c r="F3294" t="s">
        <v>4</v>
      </c>
      <c r="G3294" t="s">
        <v>109</v>
      </c>
      <c r="H3294" s="62">
        <v>2040</v>
      </c>
      <c r="I3294">
        <v>0</v>
      </c>
    </row>
    <row r="3295" spans="1:9">
      <c r="A3295" t="s">
        <v>104</v>
      </c>
      <c r="B3295" t="s">
        <v>105</v>
      </c>
      <c r="C3295" t="s">
        <v>80</v>
      </c>
      <c r="D3295" t="s">
        <v>92</v>
      </c>
      <c r="E3295" t="s">
        <v>95</v>
      </c>
      <c r="F3295" t="s">
        <v>4</v>
      </c>
      <c r="G3295" t="s">
        <v>109</v>
      </c>
      <c r="H3295" s="62">
        <v>2040</v>
      </c>
      <c r="I3295">
        <v>9.2615999999999996</v>
      </c>
    </row>
    <row r="3296" spans="1:9">
      <c r="A3296" t="s">
        <v>104</v>
      </c>
      <c r="B3296" t="s">
        <v>105</v>
      </c>
      <c r="C3296" t="s">
        <v>80</v>
      </c>
      <c r="D3296" t="s">
        <v>96</v>
      </c>
      <c r="E3296" t="s">
        <v>92</v>
      </c>
      <c r="F3296" t="s">
        <v>4</v>
      </c>
      <c r="G3296" t="s">
        <v>109</v>
      </c>
      <c r="H3296" s="62">
        <v>2040</v>
      </c>
      <c r="I3296">
        <v>3.1976</v>
      </c>
    </row>
    <row r="3297" spans="1:9">
      <c r="A3297" t="s">
        <v>104</v>
      </c>
      <c r="B3297" t="s">
        <v>105</v>
      </c>
      <c r="C3297" t="s">
        <v>80</v>
      </c>
      <c r="D3297" t="s">
        <v>96</v>
      </c>
      <c r="E3297" t="s">
        <v>89</v>
      </c>
      <c r="F3297" t="s">
        <v>4</v>
      </c>
      <c r="G3297" t="s">
        <v>109</v>
      </c>
      <c r="H3297" s="62">
        <v>2040</v>
      </c>
      <c r="I3297">
        <v>5.4241999999999999</v>
      </c>
    </row>
    <row r="3298" spans="1:9">
      <c r="A3298" t="s">
        <v>104</v>
      </c>
      <c r="B3298" t="s">
        <v>105</v>
      </c>
      <c r="C3298" t="s">
        <v>80</v>
      </c>
      <c r="D3298" t="s">
        <v>97</v>
      </c>
      <c r="E3298" t="s">
        <v>98</v>
      </c>
      <c r="F3298" t="s">
        <v>4</v>
      </c>
      <c r="G3298" t="s">
        <v>109</v>
      </c>
      <c r="H3298" s="62">
        <v>2040</v>
      </c>
      <c r="I3298">
        <v>8.3582999999999998</v>
      </c>
    </row>
    <row r="3299" spans="1:9">
      <c r="A3299" t="s">
        <v>104</v>
      </c>
      <c r="B3299" t="s">
        <v>105</v>
      </c>
      <c r="C3299" t="s">
        <v>80</v>
      </c>
      <c r="D3299" t="s">
        <v>97</v>
      </c>
      <c r="E3299" t="s">
        <v>99</v>
      </c>
      <c r="F3299" t="s">
        <v>4</v>
      </c>
      <c r="G3299" t="s">
        <v>109</v>
      </c>
      <c r="H3299" s="62">
        <v>2040</v>
      </c>
      <c r="I3299">
        <v>6.8000000000000005E-2</v>
      </c>
    </row>
    <row r="3300" spans="1:9">
      <c r="A3300" t="s">
        <v>104</v>
      </c>
      <c r="B3300" t="s">
        <v>105</v>
      </c>
      <c r="C3300" t="s">
        <v>80</v>
      </c>
      <c r="D3300" t="s">
        <v>100</v>
      </c>
      <c r="E3300" t="s">
        <v>101</v>
      </c>
      <c r="F3300" t="s">
        <v>4</v>
      </c>
      <c r="G3300" t="s">
        <v>109</v>
      </c>
      <c r="H3300" s="62">
        <v>2040</v>
      </c>
      <c r="I3300">
        <v>7.5750000000000002</v>
      </c>
    </row>
    <row r="3301" spans="1:9">
      <c r="A3301" t="s">
        <v>104</v>
      </c>
      <c r="B3301" t="s">
        <v>105</v>
      </c>
      <c r="C3301" t="s">
        <v>80</v>
      </c>
      <c r="D3301" t="s">
        <v>100</v>
      </c>
      <c r="E3301" t="s">
        <v>102</v>
      </c>
      <c r="F3301" t="s">
        <v>4</v>
      </c>
      <c r="G3301" t="s">
        <v>109</v>
      </c>
      <c r="H3301" s="62">
        <v>2040</v>
      </c>
      <c r="I3301">
        <v>0</v>
      </c>
    </row>
    <row r="3302" spans="1:9">
      <c r="A3302" t="s">
        <v>104</v>
      </c>
      <c r="B3302" t="s">
        <v>105</v>
      </c>
      <c r="C3302" t="s">
        <v>80</v>
      </c>
      <c r="D3302" t="s">
        <v>100</v>
      </c>
      <c r="E3302" t="s">
        <v>111</v>
      </c>
      <c r="F3302" t="s">
        <v>4</v>
      </c>
      <c r="G3302" t="s">
        <v>109</v>
      </c>
      <c r="H3302" s="62">
        <v>2040</v>
      </c>
      <c r="I3302">
        <v>0</v>
      </c>
    </row>
    <row r="3303" spans="1:9">
      <c r="A3303" t="s">
        <v>104</v>
      </c>
      <c r="B3303" t="s">
        <v>105</v>
      </c>
      <c r="C3303" t="s">
        <v>80</v>
      </c>
      <c r="D3303" t="s">
        <v>100</v>
      </c>
      <c r="E3303" t="s">
        <v>112</v>
      </c>
      <c r="F3303" t="s">
        <v>4</v>
      </c>
      <c r="G3303" t="s">
        <v>109</v>
      </c>
      <c r="H3303" s="62">
        <v>2040</v>
      </c>
      <c r="I3303">
        <v>0</v>
      </c>
    </row>
    <row r="3304" spans="1:9">
      <c r="A3304" t="s">
        <v>104</v>
      </c>
      <c r="B3304" t="s">
        <v>105</v>
      </c>
      <c r="C3304" t="s">
        <v>80</v>
      </c>
      <c r="D3304" t="s">
        <v>83</v>
      </c>
      <c r="E3304" t="s">
        <v>84</v>
      </c>
      <c r="F3304" t="s">
        <v>4</v>
      </c>
      <c r="G3304" t="s">
        <v>109</v>
      </c>
      <c r="H3304" s="62">
        <v>2040</v>
      </c>
      <c r="I3304">
        <v>1.8718999999999999</v>
      </c>
    </row>
    <row r="3305" spans="1:9">
      <c r="A3305" t="s">
        <v>104</v>
      </c>
      <c r="B3305" t="s">
        <v>105</v>
      </c>
      <c r="C3305" t="s">
        <v>80</v>
      </c>
      <c r="D3305" t="s">
        <v>83</v>
      </c>
      <c r="E3305" t="s">
        <v>85</v>
      </c>
      <c r="F3305" t="s">
        <v>4</v>
      </c>
      <c r="G3305" t="s">
        <v>109</v>
      </c>
      <c r="H3305" s="62">
        <v>2040</v>
      </c>
      <c r="I3305">
        <v>1.1496999999999999</v>
      </c>
    </row>
    <row r="3306" spans="1:9">
      <c r="A3306" t="s">
        <v>104</v>
      </c>
      <c r="B3306" t="s">
        <v>105</v>
      </c>
      <c r="C3306" t="s">
        <v>80</v>
      </c>
      <c r="D3306" t="s">
        <v>86</v>
      </c>
      <c r="E3306" t="s">
        <v>106</v>
      </c>
      <c r="F3306" t="s">
        <v>4</v>
      </c>
      <c r="G3306" t="s">
        <v>109</v>
      </c>
      <c r="H3306" s="62">
        <v>2040</v>
      </c>
      <c r="I3306">
        <v>0.83240000000000003</v>
      </c>
    </row>
    <row r="3307" spans="1:9">
      <c r="A3307" t="s">
        <v>104</v>
      </c>
      <c r="B3307" t="s">
        <v>105</v>
      </c>
      <c r="C3307" t="s">
        <v>80</v>
      </c>
      <c r="D3307" t="s">
        <v>86</v>
      </c>
      <c r="E3307" t="s">
        <v>87</v>
      </c>
      <c r="F3307" t="s">
        <v>4</v>
      </c>
      <c r="G3307" t="s">
        <v>109</v>
      </c>
      <c r="H3307" s="62">
        <v>2040</v>
      </c>
      <c r="I3307">
        <v>4.4160000000000004</v>
      </c>
    </row>
    <row r="3308" spans="1:9">
      <c r="A3308" t="s">
        <v>104</v>
      </c>
      <c r="B3308" t="s">
        <v>105</v>
      </c>
      <c r="C3308" t="s">
        <v>80</v>
      </c>
      <c r="D3308" t="s">
        <v>103</v>
      </c>
      <c r="E3308" t="s">
        <v>92</v>
      </c>
      <c r="F3308" t="s">
        <v>4</v>
      </c>
      <c r="G3308" t="s">
        <v>109</v>
      </c>
      <c r="H3308" s="62">
        <v>2040</v>
      </c>
      <c r="I3308">
        <v>3.4325999999999999</v>
      </c>
    </row>
    <row r="3309" spans="1:9">
      <c r="A3309" t="s">
        <v>104</v>
      </c>
      <c r="B3309" t="s">
        <v>105</v>
      </c>
      <c r="C3309" t="s">
        <v>80</v>
      </c>
      <c r="D3309" t="s">
        <v>103</v>
      </c>
      <c r="E3309" t="s">
        <v>89</v>
      </c>
      <c r="F3309" t="s">
        <v>4</v>
      </c>
      <c r="G3309" t="s">
        <v>109</v>
      </c>
      <c r="H3309" s="62">
        <v>2040</v>
      </c>
      <c r="I3309">
        <v>13.957100000000001</v>
      </c>
    </row>
    <row r="3310" spans="1:9">
      <c r="A3310" t="s">
        <v>104</v>
      </c>
      <c r="B3310" t="s">
        <v>105</v>
      </c>
      <c r="C3310" t="s">
        <v>107</v>
      </c>
      <c r="D3310" t="s">
        <v>107</v>
      </c>
      <c r="E3310" t="s">
        <v>107</v>
      </c>
      <c r="F3310" t="s">
        <v>4</v>
      </c>
      <c r="G3310" t="s">
        <v>109</v>
      </c>
      <c r="H3310" s="62">
        <v>2041</v>
      </c>
      <c r="I3310">
        <v>57.2241</v>
      </c>
    </row>
    <row r="3311" spans="1:9">
      <c r="A3311" t="s">
        <v>104</v>
      </c>
      <c r="B3311" t="s">
        <v>105</v>
      </c>
      <c r="C3311" t="s">
        <v>107</v>
      </c>
      <c r="D3311" t="s">
        <v>108</v>
      </c>
      <c r="E3311" t="s">
        <v>108</v>
      </c>
      <c r="F3311" t="s">
        <v>4</v>
      </c>
      <c r="G3311" t="s">
        <v>109</v>
      </c>
      <c r="H3311" s="62">
        <v>2041</v>
      </c>
      <c r="I3311">
        <v>0.1089</v>
      </c>
    </row>
    <row r="3312" spans="1:9">
      <c r="A3312" t="s">
        <v>104</v>
      </c>
      <c r="B3312" t="s">
        <v>105</v>
      </c>
      <c r="C3312" t="s">
        <v>80</v>
      </c>
      <c r="D3312" t="s">
        <v>80</v>
      </c>
      <c r="E3312" t="s">
        <v>80</v>
      </c>
      <c r="F3312" t="s">
        <v>4</v>
      </c>
      <c r="G3312" t="s">
        <v>109</v>
      </c>
      <c r="H3312" s="62">
        <v>2041</v>
      </c>
      <c r="I3312">
        <v>57.115099999999998</v>
      </c>
    </row>
    <row r="3313" spans="1:9">
      <c r="A3313" t="s">
        <v>104</v>
      </c>
      <c r="B3313" t="s">
        <v>105</v>
      </c>
      <c r="C3313" t="s">
        <v>80</v>
      </c>
      <c r="D3313" t="s">
        <v>89</v>
      </c>
      <c r="E3313" t="s">
        <v>90</v>
      </c>
      <c r="F3313" t="s">
        <v>4</v>
      </c>
      <c r="G3313" t="s">
        <v>109</v>
      </c>
      <c r="H3313" s="62">
        <v>2041</v>
      </c>
      <c r="I3313">
        <v>-0.64270000000000005</v>
      </c>
    </row>
    <row r="3314" spans="1:9">
      <c r="A3314" t="s">
        <v>104</v>
      </c>
      <c r="B3314" t="s">
        <v>105</v>
      </c>
      <c r="C3314" t="s">
        <v>80</v>
      </c>
      <c r="D3314" t="s">
        <v>89</v>
      </c>
      <c r="E3314" t="s">
        <v>91</v>
      </c>
      <c r="F3314" t="s">
        <v>4</v>
      </c>
      <c r="G3314" t="s">
        <v>109</v>
      </c>
      <c r="H3314" s="62">
        <v>2041</v>
      </c>
      <c r="I3314">
        <v>0.1075</v>
      </c>
    </row>
    <row r="3315" spans="1:9">
      <c r="A3315" t="s">
        <v>104</v>
      </c>
      <c r="B3315" t="s">
        <v>105</v>
      </c>
      <c r="C3315" t="s">
        <v>80</v>
      </c>
      <c r="D3315" t="s">
        <v>92</v>
      </c>
      <c r="E3315" t="s">
        <v>93</v>
      </c>
      <c r="F3315" t="s">
        <v>4</v>
      </c>
      <c r="G3315" t="s">
        <v>109</v>
      </c>
      <c r="H3315" s="62">
        <v>2041</v>
      </c>
      <c r="I3315">
        <v>-5.6901000000000002</v>
      </c>
    </row>
    <row r="3316" spans="1:9">
      <c r="A3316" t="s">
        <v>104</v>
      </c>
      <c r="B3316" t="s">
        <v>105</v>
      </c>
      <c r="C3316" t="s">
        <v>80</v>
      </c>
      <c r="D3316" t="s">
        <v>92</v>
      </c>
      <c r="E3316" t="s">
        <v>94</v>
      </c>
      <c r="F3316" t="s">
        <v>4</v>
      </c>
      <c r="G3316" t="s">
        <v>109</v>
      </c>
      <c r="H3316" s="62">
        <v>2041</v>
      </c>
      <c r="I3316">
        <v>24.688400000000001</v>
      </c>
    </row>
    <row r="3317" spans="1:9">
      <c r="A3317" t="s">
        <v>104</v>
      </c>
      <c r="B3317" t="s">
        <v>105</v>
      </c>
      <c r="C3317" t="s">
        <v>80</v>
      </c>
      <c r="D3317" t="s">
        <v>92</v>
      </c>
      <c r="E3317" t="s">
        <v>110</v>
      </c>
      <c r="F3317" t="s">
        <v>4</v>
      </c>
      <c r="G3317" t="s">
        <v>109</v>
      </c>
      <c r="H3317" s="62">
        <v>2041</v>
      </c>
      <c r="I3317">
        <v>0</v>
      </c>
    </row>
    <row r="3318" spans="1:9">
      <c r="A3318" t="s">
        <v>104</v>
      </c>
      <c r="B3318" t="s">
        <v>105</v>
      </c>
      <c r="C3318" t="s">
        <v>80</v>
      </c>
      <c r="D3318" t="s">
        <v>92</v>
      </c>
      <c r="E3318" t="s">
        <v>95</v>
      </c>
      <c r="F3318" t="s">
        <v>4</v>
      </c>
      <c r="G3318" t="s">
        <v>109</v>
      </c>
      <c r="H3318" s="62">
        <v>2041</v>
      </c>
      <c r="I3318">
        <v>9.3451000000000004</v>
      </c>
    </row>
    <row r="3319" spans="1:9">
      <c r="A3319" t="s">
        <v>104</v>
      </c>
      <c r="B3319" t="s">
        <v>105</v>
      </c>
      <c r="C3319" t="s">
        <v>80</v>
      </c>
      <c r="D3319" t="s">
        <v>96</v>
      </c>
      <c r="E3319" t="s">
        <v>92</v>
      </c>
      <c r="F3319" t="s">
        <v>4</v>
      </c>
      <c r="G3319" t="s">
        <v>109</v>
      </c>
      <c r="H3319" s="62">
        <v>2041</v>
      </c>
      <c r="I3319">
        <v>3.2498</v>
      </c>
    </row>
    <row r="3320" spans="1:9">
      <c r="A3320" t="s">
        <v>104</v>
      </c>
      <c r="B3320" t="s">
        <v>105</v>
      </c>
      <c r="C3320" t="s">
        <v>80</v>
      </c>
      <c r="D3320" t="s">
        <v>96</v>
      </c>
      <c r="E3320" t="s">
        <v>89</v>
      </c>
      <c r="F3320" t="s">
        <v>4</v>
      </c>
      <c r="G3320" t="s">
        <v>109</v>
      </c>
      <c r="H3320" s="62">
        <v>2041</v>
      </c>
      <c r="I3320">
        <v>5.8094000000000001</v>
      </c>
    </row>
    <row r="3321" spans="1:9">
      <c r="A3321" t="s">
        <v>104</v>
      </c>
      <c r="B3321" t="s">
        <v>105</v>
      </c>
      <c r="C3321" t="s">
        <v>80</v>
      </c>
      <c r="D3321" t="s">
        <v>97</v>
      </c>
      <c r="E3321" t="s">
        <v>98</v>
      </c>
      <c r="F3321" t="s">
        <v>4</v>
      </c>
      <c r="G3321" t="s">
        <v>109</v>
      </c>
      <c r="H3321" s="62">
        <v>2041</v>
      </c>
      <c r="I3321">
        <v>9.3062000000000005</v>
      </c>
    </row>
    <row r="3322" spans="1:9">
      <c r="A3322" t="s">
        <v>104</v>
      </c>
      <c r="B3322" t="s">
        <v>105</v>
      </c>
      <c r="C3322" t="s">
        <v>80</v>
      </c>
      <c r="D3322" t="s">
        <v>97</v>
      </c>
      <c r="E3322" t="s">
        <v>99</v>
      </c>
      <c r="F3322" t="s">
        <v>4</v>
      </c>
      <c r="G3322" t="s">
        <v>109</v>
      </c>
      <c r="H3322" s="62">
        <v>2041</v>
      </c>
      <c r="I3322">
        <v>8.1100000000000005E-2</v>
      </c>
    </row>
    <row r="3323" spans="1:9">
      <c r="A3323" t="s">
        <v>104</v>
      </c>
      <c r="B3323" t="s">
        <v>105</v>
      </c>
      <c r="C3323" t="s">
        <v>80</v>
      </c>
      <c r="D3323" t="s">
        <v>100</v>
      </c>
      <c r="E3323" t="s">
        <v>101</v>
      </c>
      <c r="F3323" t="s">
        <v>4</v>
      </c>
      <c r="G3323" t="s">
        <v>109</v>
      </c>
      <c r="H3323" s="62">
        <v>2041</v>
      </c>
      <c r="I3323">
        <v>7.8083</v>
      </c>
    </row>
    <row r="3324" spans="1:9">
      <c r="A3324" t="s">
        <v>104</v>
      </c>
      <c r="B3324" t="s">
        <v>105</v>
      </c>
      <c r="C3324" t="s">
        <v>80</v>
      </c>
      <c r="D3324" t="s">
        <v>100</v>
      </c>
      <c r="E3324" t="s">
        <v>102</v>
      </c>
      <c r="F3324" t="s">
        <v>4</v>
      </c>
      <c r="G3324" t="s">
        <v>109</v>
      </c>
      <c r="H3324" s="62">
        <v>2041</v>
      </c>
      <c r="I3324">
        <v>0</v>
      </c>
    </row>
    <row r="3325" spans="1:9">
      <c r="A3325" t="s">
        <v>104</v>
      </c>
      <c r="B3325" t="s">
        <v>105</v>
      </c>
      <c r="C3325" t="s">
        <v>80</v>
      </c>
      <c r="D3325" t="s">
        <v>100</v>
      </c>
      <c r="E3325" t="s">
        <v>111</v>
      </c>
      <c r="F3325" t="s">
        <v>4</v>
      </c>
      <c r="G3325" t="s">
        <v>109</v>
      </c>
      <c r="H3325" s="62">
        <v>2041</v>
      </c>
      <c r="I3325">
        <v>0</v>
      </c>
    </row>
    <row r="3326" spans="1:9">
      <c r="A3326" t="s">
        <v>104</v>
      </c>
      <c r="B3326" t="s">
        <v>105</v>
      </c>
      <c r="C3326" t="s">
        <v>80</v>
      </c>
      <c r="D3326" t="s">
        <v>100</v>
      </c>
      <c r="E3326" t="s">
        <v>112</v>
      </c>
      <c r="F3326" t="s">
        <v>4</v>
      </c>
      <c r="G3326" t="s">
        <v>109</v>
      </c>
      <c r="H3326" s="62">
        <v>2041</v>
      </c>
      <c r="I3326">
        <v>0</v>
      </c>
    </row>
    <row r="3327" spans="1:9">
      <c r="A3327" t="s">
        <v>104</v>
      </c>
      <c r="B3327" t="s">
        <v>105</v>
      </c>
      <c r="C3327" t="s">
        <v>80</v>
      </c>
      <c r="D3327" t="s">
        <v>83</v>
      </c>
      <c r="E3327" t="s">
        <v>84</v>
      </c>
      <c r="F3327" t="s">
        <v>4</v>
      </c>
      <c r="G3327" t="s">
        <v>109</v>
      </c>
      <c r="H3327" s="62">
        <v>2041</v>
      </c>
      <c r="I3327">
        <v>1.8909</v>
      </c>
    </row>
    <row r="3328" spans="1:9">
      <c r="A3328" t="s">
        <v>104</v>
      </c>
      <c r="B3328" t="s">
        <v>105</v>
      </c>
      <c r="C3328" t="s">
        <v>80</v>
      </c>
      <c r="D3328" t="s">
        <v>83</v>
      </c>
      <c r="E3328" t="s">
        <v>85</v>
      </c>
      <c r="F3328" t="s">
        <v>4</v>
      </c>
      <c r="G3328" t="s">
        <v>109</v>
      </c>
      <c r="H3328" s="62">
        <v>2041</v>
      </c>
      <c r="I3328">
        <v>1.1612</v>
      </c>
    </row>
    <row r="3329" spans="1:9">
      <c r="A3329" t="s">
        <v>104</v>
      </c>
      <c r="B3329" t="s">
        <v>105</v>
      </c>
      <c r="C3329" t="s">
        <v>80</v>
      </c>
      <c r="D3329" t="s">
        <v>86</v>
      </c>
      <c r="E3329" t="s">
        <v>106</v>
      </c>
      <c r="F3329" t="s">
        <v>4</v>
      </c>
      <c r="G3329" t="s">
        <v>109</v>
      </c>
      <c r="H3329" s="62">
        <v>2041</v>
      </c>
      <c r="I3329">
        <v>0.84450000000000003</v>
      </c>
    </row>
    <row r="3330" spans="1:9">
      <c r="A3330" t="s">
        <v>104</v>
      </c>
      <c r="B3330" t="s">
        <v>105</v>
      </c>
      <c r="C3330" t="s">
        <v>80</v>
      </c>
      <c r="D3330" t="s">
        <v>86</v>
      </c>
      <c r="E3330" t="s">
        <v>87</v>
      </c>
      <c r="F3330" t="s">
        <v>4</v>
      </c>
      <c r="G3330" t="s">
        <v>109</v>
      </c>
      <c r="H3330" s="62">
        <v>2041</v>
      </c>
      <c r="I3330">
        <v>4.7382</v>
      </c>
    </row>
    <row r="3331" spans="1:9">
      <c r="A3331" t="s">
        <v>104</v>
      </c>
      <c r="B3331" t="s">
        <v>105</v>
      </c>
      <c r="C3331" t="s">
        <v>80</v>
      </c>
      <c r="D3331" t="s">
        <v>103</v>
      </c>
      <c r="E3331" t="s">
        <v>92</v>
      </c>
      <c r="F3331" t="s">
        <v>4</v>
      </c>
      <c r="G3331" t="s">
        <v>109</v>
      </c>
      <c r="H3331" s="62">
        <v>2041</v>
      </c>
      <c r="I3331">
        <v>3.6383999999999999</v>
      </c>
    </row>
    <row r="3332" spans="1:9">
      <c r="A3332" t="s">
        <v>104</v>
      </c>
      <c r="B3332" t="s">
        <v>105</v>
      </c>
      <c r="C3332" t="s">
        <v>80</v>
      </c>
      <c r="D3332" t="s">
        <v>103</v>
      </c>
      <c r="E3332" t="s">
        <v>89</v>
      </c>
      <c r="F3332" t="s">
        <v>4</v>
      </c>
      <c r="G3332" t="s">
        <v>109</v>
      </c>
      <c r="H3332" s="62">
        <v>2041</v>
      </c>
      <c r="I3332">
        <v>14.6829</v>
      </c>
    </row>
    <row r="3333" spans="1:9">
      <c r="A3333" t="s">
        <v>104</v>
      </c>
      <c r="B3333" t="s">
        <v>105</v>
      </c>
      <c r="C3333" t="s">
        <v>107</v>
      </c>
      <c r="D3333" t="s">
        <v>107</v>
      </c>
      <c r="E3333" t="s">
        <v>107</v>
      </c>
      <c r="F3333" t="s">
        <v>4</v>
      </c>
      <c r="G3333" t="s">
        <v>109</v>
      </c>
      <c r="H3333" s="62">
        <v>2042</v>
      </c>
      <c r="I3333">
        <v>58.021500000000003</v>
      </c>
    </row>
    <row r="3334" spans="1:9">
      <c r="A3334" t="s">
        <v>104</v>
      </c>
      <c r="B3334" t="s">
        <v>105</v>
      </c>
      <c r="C3334" t="s">
        <v>107</v>
      </c>
      <c r="D3334" t="s">
        <v>108</v>
      </c>
      <c r="E3334" t="s">
        <v>108</v>
      </c>
      <c r="F3334" t="s">
        <v>4</v>
      </c>
      <c r="G3334" t="s">
        <v>109</v>
      </c>
      <c r="H3334" s="62">
        <v>2042</v>
      </c>
      <c r="I3334">
        <v>0.11409999999999999</v>
      </c>
    </row>
    <row r="3335" spans="1:9">
      <c r="A3335" t="s">
        <v>104</v>
      </c>
      <c r="B3335" t="s">
        <v>105</v>
      </c>
      <c r="C3335" t="s">
        <v>80</v>
      </c>
      <c r="D3335" t="s">
        <v>80</v>
      </c>
      <c r="E3335" t="s">
        <v>80</v>
      </c>
      <c r="F3335" t="s">
        <v>4</v>
      </c>
      <c r="G3335" t="s">
        <v>109</v>
      </c>
      <c r="H3335" s="62">
        <v>2042</v>
      </c>
      <c r="I3335">
        <v>57.907499999999999</v>
      </c>
    </row>
    <row r="3336" spans="1:9">
      <c r="A3336" t="s">
        <v>104</v>
      </c>
      <c r="B3336" t="s">
        <v>105</v>
      </c>
      <c r="C3336" t="s">
        <v>80</v>
      </c>
      <c r="D3336" t="s">
        <v>89</v>
      </c>
      <c r="E3336" t="s">
        <v>90</v>
      </c>
      <c r="F3336" t="s">
        <v>4</v>
      </c>
      <c r="G3336" t="s">
        <v>109</v>
      </c>
      <c r="H3336" s="62">
        <v>2042</v>
      </c>
      <c r="I3336">
        <v>-1.427</v>
      </c>
    </row>
    <row r="3337" spans="1:9">
      <c r="A3337" t="s">
        <v>104</v>
      </c>
      <c r="B3337" t="s">
        <v>105</v>
      </c>
      <c r="C3337" t="s">
        <v>80</v>
      </c>
      <c r="D3337" t="s">
        <v>89</v>
      </c>
      <c r="E3337" t="s">
        <v>91</v>
      </c>
      <c r="F3337" t="s">
        <v>4</v>
      </c>
      <c r="G3337" t="s">
        <v>109</v>
      </c>
      <c r="H3337" s="62">
        <v>2042</v>
      </c>
      <c r="I3337">
        <v>0.26090000000000002</v>
      </c>
    </row>
    <row r="3338" spans="1:9">
      <c r="A3338" t="s">
        <v>104</v>
      </c>
      <c r="B3338" t="s">
        <v>105</v>
      </c>
      <c r="C3338" t="s">
        <v>80</v>
      </c>
      <c r="D3338" t="s">
        <v>92</v>
      </c>
      <c r="E3338" t="s">
        <v>93</v>
      </c>
      <c r="F3338" t="s">
        <v>4</v>
      </c>
      <c r="G3338" t="s">
        <v>109</v>
      </c>
      <c r="H3338" s="62">
        <v>2042</v>
      </c>
      <c r="I3338">
        <v>-6.2123999999999997</v>
      </c>
    </row>
    <row r="3339" spans="1:9">
      <c r="A3339" t="s">
        <v>104</v>
      </c>
      <c r="B3339" t="s">
        <v>105</v>
      </c>
      <c r="C3339" t="s">
        <v>80</v>
      </c>
      <c r="D3339" t="s">
        <v>92</v>
      </c>
      <c r="E3339" t="s">
        <v>94</v>
      </c>
      <c r="F3339" t="s">
        <v>4</v>
      </c>
      <c r="G3339" t="s">
        <v>109</v>
      </c>
      <c r="H3339" s="62">
        <v>2042</v>
      </c>
      <c r="I3339">
        <v>24.549800000000001</v>
      </c>
    </row>
    <row r="3340" spans="1:9">
      <c r="A3340" t="s">
        <v>104</v>
      </c>
      <c r="B3340" t="s">
        <v>105</v>
      </c>
      <c r="C3340" t="s">
        <v>80</v>
      </c>
      <c r="D3340" t="s">
        <v>92</v>
      </c>
      <c r="E3340" t="s">
        <v>110</v>
      </c>
      <c r="F3340" t="s">
        <v>4</v>
      </c>
      <c r="G3340" t="s">
        <v>109</v>
      </c>
      <c r="H3340" s="62">
        <v>2042</v>
      </c>
      <c r="I3340">
        <v>0</v>
      </c>
    </row>
    <row r="3341" spans="1:9">
      <c r="A3341" t="s">
        <v>104</v>
      </c>
      <c r="B3341" t="s">
        <v>105</v>
      </c>
      <c r="C3341" t="s">
        <v>80</v>
      </c>
      <c r="D3341" t="s">
        <v>92</v>
      </c>
      <c r="E3341" t="s">
        <v>95</v>
      </c>
      <c r="F3341" t="s">
        <v>4</v>
      </c>
      <c r="G3341" t="s">
        <v>109</v>
      </c>
      <c r="H3341" s="62">
        <v>2042</v>
      </c>
      <c r="I3341">
        <v>9.4303000000000008</v>
      </c>
    </row>
    <row r="3342" spans="1:9">
      <c r="A3342" t="s">
        <v>104</v>
      </c>
      <c r="B3342" t="s">
        <v>105</v>
      </c>
      <c r="C3342" t="s">
        <v>80</v>
      </c>
      <c r="D3342" t="s">
        <v>96</v>
      </c>
      <c r="E3342" t="s">
        <v>92</v>
      </c>
      <c r="F3342" t="s">
        <v>4</v>
      </c>
      <c r="G3342" t="s">
        <v>109</v>
      </c>
      <c r="H3342" s="62">
        <v>2042</v>
      </c>
      <c r="I3342">
        <v>3.3106</v>
      </c>
    </row>
    <row r="3343" spans="1:9">
      <c r="A3343" t="s">
        <v>104</v>
      </c>
      <c r="B3343" t="s">
        <v>105</v>
      </c>
      <c r="C3343" t="s">
        <v>80</v>
      </c>
      <c r="D3343" t="s">
        <v>96</v>
      </c>
      <c r="E3343" t="s">
        <v>89</v>
      </c>
      <c r="F3343" t="s">
        <v>4</v>
      </c>
      <c r="G3343" t="s">
        <v>109</v>
      </c>
      <c r="H3343" s="62">
        <v>2042</v>
      </c>
      <c r="I3343">
        <v>6.1974</v>
      </c>
    </row>
    <row r="3344" spans="1:9">
      <c r="A3344" t="s">
        <v>104</v>
      </c>
      <c r="B3344" t="s">
        <v>105</v>
      </c>
      <c r="C3344" t="s">
        <v>80</v>
      </c>
      <c r="D3344" t="s">
        <v>97</v>
      </c>
      <c r="E3344" t="s">
        <v>98</v>
      </c>
      <c r="F3344" t="s">
        <v>4</v>
      </c>
      <c r="G3344" t="s">
        <v>109</v>
      </c>
      <c r="H3344" s="62">
        <v>2042</v>
      </c>
      <c r="I3344">
        <v>10.273</v>
      </c>
    </row>
    <row r="3345" spans="1:9">
      <c r="A3345" t="s">
        <v>104</v>
      </c>
      <c r="B3345" t="s">
        <v>105</v>
      </c>
      <c r="C3345" t="s">
        <v>80</v>
      </c>
      <c r="D3345" t="s">
        <v>97</v>
      </c>
      <c r="E3345" t="s">
        <v>99</v>
      </c>
      <c r="F3345" t="s">
        <v>4</v>
      </c>
      <c r="G3345" t="s">
        <v>109</v>
      </c>
      <c r="H3345" s="62">
        <v>2042</v>
      </c>
      <c r="I3345">
        <v>9.5699999999999993E-2</v>
      </c>
    </row>
    <row r="3346" spans="1:9">
      <c r="A3346" t="s">
        <v>104</v>
      </c>
      <c r="B3346" t="s">
        <v>105</v>
      </c>
      <c r="C3346" t="s">
        <v>80</v>
      </c>
      <c r="D3346" t="s">
        <v>100</v>
      </c>
      <c r="E3346" t="s">
        <v>101</v>
      </c>
      <c r="F3346" t="s">
        <v>4</v>
      </c>
      <c r="G3346" t="s">
        <v>109</v>
      </c>
      <c r="H3346" s="62">
        <v>2042</v>
      </c>
      <c r="I3346">
        <v>8.3413000000000004</v>
      </c>
    </row>
    <row r="3347" spans="1:9">
      <c r="A3347" t="s">
        <v>104</v>
      </c>
      <c r="B3347" t="s">
        <v>105</v>
      </c>
      <c r="C3347" t="s">
        <v>80</v>
      </c>
      <c r="D3347" t="s">
        <v>100</v>
      </c>
      <c r="E3347" t="s">
        <v>102</v>
      </c>
      <c r="F3347" t="s">
        <v>4</v>
      </c>
      <c r="G3347" t="s">
        <v>109</v>
      </c>
      <c r="H3347" s="62">
        <v>2042</v>
      </c>
      <c r="I3347">
        <v>0</v>
      </c>
    </row>
    <row r="3348" spans="1:9">
      <c r="A3348" t="s">
        <v>104</v>
      </c>
      <c r="B3348" t="s">
        <v>105</v>
      </c>
      <c r="C3348" t="s">
        <v>80</v>
      </c>
      <c r="D3348" t="s">
        <v>100</v>
      </c>
      <c r="E3348" t="s">
        <v>111</v>
      </c>
      <c r="F3348" t="s">
        <v>4</v>
      </c>
      <c r="G3348" t="s">
        <v>109</v>
      </c>
      <c r="H3348" s="62">
        <v>2042</v>
      </c>
      <c r="I3348">
        <v>0</v>
      </c>
    </row>
    <row r="3349" spans="1:9">
      <c r="A3349" t="s">
        <v>104</v>
      </c>
      <c r="B3349" t="s">
        <v>105</v>
      </c>
      <c r="C3349" t="s">
        <v>80</v>
      </c>
      <c r="D3349" t="s">
        <v>100</v>
      </c>
      <c r="E3349" t="s">
        <v>112</v>
      </c>
      <c r="F3349" t="s">
        <v>4</v>
      </c>
      <c r="G3349" t="s">
        <v>109</v>
      </c>
      <c r="H3349" s="62">
        <v>2042</v>
      </c>
      <c r="I3349">
        <v>0</v>
      </c>
    </row>
    <row r="3350" spans="1:9">
      <c r="A3350" t="s">
        <v>104</v>
      </c>
      <c r="B3350" t="s">
        <v>105</v>
      </c>
      <c r="C3350" t="s">
        <v>80</v>
      </c>
      <c r="D3350" t="s">
        <v>83</v>
      </c>
      <c r="E3350" t="s">
        <v>84</v>
      </c>
      <c r="F3350" t="s">
        <v>4</v>
      </c>
      <c r="G3350" t="s">
        <v>109</v>
      </c>
      <c r="H3350" s="62">
        <v>2042</v>
      </c>
      <c r="I3350">
        <v>1.9135</v>
      </c>
    </row>
    <row r="3351" spans="1:9">
      <c r="A3351" t="s">
        <v>104</v>
      </c>
      <c r="B3351" t="s">
        <v>105</v>
      </c>
      <c r="C3351" t="s">
        <v>80</v>
      </c>
      <c r="D3351" t="s">
        <v>83</v>
      </c>
      <c r="E3351" t="s">
        <v>85</v>
      </c>
      <c r="F3351" t="s">
        <v>4</v>
      </c>
      <c r="G3351" t="s">
        <v>109</v>
      </c>
      <c r="H3351" s="62">
        <v>2042</v>
      </c>
      <c r="I3351">
        <v>1.1744000000000001</v>
      </c>
    </row>
    <row r="3352" spans="1:9">
      <c r="A3352" t="s">
        <v>104</v>
      </c>
      <c r="B3352" t="s">
        <v>105</v>
      </c>
      <c r="C3352" t="s">
        <v>80</v>
      </c>
      <c r="D3352" t="s">
        <v>86</v>
      </c>
      <c r="E3352" t="s">
        <v>106</v>
      </c>
      <c r="F3352" t="s">
        <v>4</v>
      </c>
      <c r="G3352" t="s">
        <v>109</v>
      </c>
      <c r="H3352" s="62">
        <v>2042</v>
      </c>
      <c r="I3352">
        <v>0.8589</v>
      </c>
    </row>
    <row r="3353" spans="1:9">
      <c r="A3353" t="s">
        <v>104</v>
      </c>
      <c r="B3353" t="s">
        <v>105</v>
      </c>
      <c r="C3353" t="s">
        <v>80</v>
      </c>
      <c r="D3353" t="s">
        <v>86</v>
      </c>
      <c r="E3353" t="s">
        <v>87</v>
      </c>
      <c r="F3353" t="s">
        <v>4</v>
      </c>
      <c r="G3353" t="s">
        <v>109</v>
      </c>
      <c r="H3353" s="62">
        <v>2042</v>
      </c>
      <c r="I3353">
        <v>5.0926</v>
      </c>
    </row>
    <row r="3354" spans="1:9">
      <c r="A3354" t="s">
        <v>104</v>
      </c>
      <c r="B3354" t="s">
        <v>105</v>
      </c>
      <c r="C3354" t="s">
        <v>80</v>
      </c>
      <c r="D3354" t="s">
        <v>103</v>
      </c>
      <c r="E3354" t="s">
        <v>92</v>
      </c>
      <c r="F3354" t="s">
        <v>4</v>
      </c>
      <c r="G3354" t="s">
        <v>109</v>
      </c>
      <c r="H3354" s="62">
        <v>2042</v>
      </c>
      <c r="I3354">
        <v>3.8287</v>
      </c>
    </row>
    <row r="3355" spans="1:9">
      <c r="A3355" t="s">
        <v>104</v>
      </c>
      <c r="B3355" t="s">
        <v>105</v>
      </c>
      <c r="C3355" t="s">
        <v>80</v>
      </c>
      <c r="D3355" t="s">
        <v>103</v>
      </c>
      <c r="E3355" t="s">
        <v>89</v>
      </c>
      <c r="F3355" t="s">
        <v>4</v>
      </c>
      <c r="G3355" t="s">
        <v>109</v>
      </c>
      <c r="H3355" s="62">
        <v>2042</v>
      </c>
      <c r="I3355">
        <v>15.368600000000001</v>
      </c>
    </row>
    <row r="3356" spans="1:9">
      <c r="A3356" t="s">
        <v>104</v>
      </c>
      <c r="B3356" t="s">
        <v>105</v>
      </c>
      <c r="C3356" t="s">
        <v>107</v>
      </c>
      <c r="D3356" t="s">
        <v>107</v>
      </c>
      <c r="E3356" t="s">
        <v>107</v>
      </c>
      <c r="F3356" t="s">
        <v>4</v>
      </c>
      <c r="G3356" t="s">
        <v>109</v>
      </c>
      <c r="H3356" s="62">
        <v>2043</v>
      </c>
      <c r="I3356">
        <v>58.464100000000002</v>
      </c>
    </row>
    <row r="3357" spans="1:9">
      <c r="A3357" t="s">
        <v>104</v>
      </c>
      <c r="B3357" t="s">
        <v>105</v>
      </c>
      <c r="C3357" t="s">
        <v>107</v>
      </c>
      <c r="D3357" t="s">
        <v>108</v>
      </c>
      <c r="E3357" t="s">
        <v>108</v>
      </c>
      <c r="F3357" t="s">
        <v>4</v>
      </c>
      <c r="G3357" t="s">
        <v>109</v>
      </c>
      <c r="H3357" s="62">
        <v>2043</v>
      </c>
      <c r="I3357">
        <v>0.1149</v>
      </c>
    </row>
    <row r="3358" spans="1:9">
      <c r="A3358" t="s">
        <v>104</v>
      </c>
      <c r="B3358" t="s">
        <v>105</v>
      </c>
      <c r="C3358" t="s">
        <v>80</v>
      </c>
      <c r="D3358" t="s">
        <v>80</v>
      </c>
      <c r="E3358" t="s">
        <v>80</v>
      </c>
      <c r="F3358" t="s">
        <v>4</v>
      </c>
      <c r="G3358" t="s">
        <v>109</v>
      </c>
      <c r="H3358" s="62">
        <v>2043</v>
      </c>
      <c r="I3358">
        <v>58.349200000000003</v>
      </c>
    </row>
    <row r="3359" spans="1:9">
      <c r="A3359" t="s">
        <v>104</v>
      </c>
      <c r="B3359" t="s">
        <v>105</v>
      </c>
      <c r="C3359" t="s">
        <v>80</v>
      </c>
      <c r="D3359" t="s">
        <v>89</v>
      </c>
      <c r="E3359" t="s">
        <v>90</v>
      </c>
      <c r="F3359" t="s">
        <v>4</v>
      </c>
      <c r="G3359" t="s">
        <v>109</v>
      </c>
      <c r="H3359" s="62">
        <v>2043</v>
      </c>
      <c r="I3359">
        <v>-2.2431000000000001</v>
      </c>
    </row>
    <row r="3360" spans="1:9">
      <c r="A3360" t="s">
        <v>104</v>
      </c>
      <c r="B3360" t="s">
        <v>105</v>
      </c>
      <c r="C3360" t="s">
        <v>80</v>
      </c>
      <c r="D3360" t="s">
        <v>89</v>
      </c>
      <c r="E3360" t="s">
        <v>91</v>
      </c>
      <c r="F3360" t="s">
        <v>4</v>
      </c>
      <c r="G3360" t="s">
        <v>109</v>
      </c>
      <c r="H3360" s="62">
        <v>2043</v>
      </c>
      <c r="I3360">
        <v>0.45179999999999998</v>
      </c>
    </row>
    <row r="3361" spans="1:9">
      <c r="A3361" t="s">
        <v>104</v>
      </c>
      <c r="B3361" t="s">
        <v>105</v>
      </c>
      <c r="C3361" t="s">
        <v>80</v>
      </c>
      <c r="D3361" t="s">
        <v>92</v>
      </c>
      <c r="E3361" t="s">
        <v>93</v>
      </c>
      <c r="F3361" t="s">
        <v>4</v>
      </c>
      <c r="G3361" t="s">
        <v>109</v>
      </c>
      <c r="H3361" s="62">
        <v>2043</v>
      </c>
      <c r="I3361">
        <v>-6.8334999999999999</v>
      </c>
    </row>
    <row r="3362" spans="1:9">
      <c r="A3362" t="s">
        <v>104</v>
      </c>
      <c r="B3362" t="s">
        <v>105</v>
      </c>
      <c r="C3362" t="s">
        <v>80</v>
      </c>
      <c r="D3362" t="s">
        <v>92</v>
      </c>
      <c r="E3362" t="s">
        <v>94</v>
      </c>
      <c r="F3362" t="s">
        <v>4</v>
      </c>
      <c r="G3362" t="s">
        <v>109</v>
      </c>
      <c r="H3362" s="62">
        <v>2043</v>
      </c>
      <c r="I3362">
        <v>24.407900000000001</v>
      </c>
    </row>
    <row r="3363" spans="1:9">
      <c r="A3363" t="s">
        <v>104</v>
      </c>
      <c r="B3363" t="s">
        <v>105</v>
      </c>
      <c r="C3363" t="s">
        <v>80</v>
      </c>
      <c r="D3363" t="s">
        <v>92</v>
      </c>
      <c r="E3363" t="s">
        <v>110</v>
      </c>
      <c r="F3363" t="s">
        <v>4</v>
      </c>
      <c r="G3363" t="s">
        <v>109</v>
      </c>
      <c r="H3363" s="62">
        <v>2043</v>
      </c>
      <c r="I3363">
        <v>0</v>
      </c>
    </row>
    <row r="3364" spans="1:9">
      <c r="A3364" t="s">
        <v>104</v>
      </c>
      <c r="B3364" t="s">
        <v>105</v>
      </c>
      <c r="C3364" t="s">
        <v>80</v>
      </c>
      <c r="D3364" t="s">
        <v>92</v>
      </c>
      <c r="E3364" t="s">
        <v>95</v>
      </c>
      <c r="F3364" t="s">
        <v>4</v>
      </c>
      <c r="G3364" t="s">
        <v>109</v>
      </c>
      <c r="H3364" s="62">
        <v>2043</v>
      </c>
      <c r="I3364">
        <v>9.5172000000000008</v>
      </c>
    </row>
    <row r="3365" spans="1:9">
      <c r="A3365" t="s">
        <v>104</v>
      </c>
      <c r="B3365" t="s">
        <v>105</v>
      </c>
      <c r="C3365" t="s">
        <v>80</v>
      </c>
      <c r="D3365" t="s">
        <v>96</v>
      </c>
      <c r="E3365" t="s">
        <v>92</v>
      </c>
      <c r="F3365" t="s">
        <v>4</v>
      </c>
      <c r="G3365" t="s">
        <v>109</v>
      </c>
      <c r="H3365" s="62">
        <v>2043</v>
      </c>
      <c r="I3365">
        <v>3.3599000000000001</v>
      </c>
    </row>
    <row r="3366" spans="1:9">
      <c r="A3366" t="s">
        <v>104</v>
      </c>
      <c r="B3366" t="s">
        <v>105</v>
      </c>
      <c r="C3366" t="s">
        <v>80</v>
      </c>
      <c r="D3366" t="s">
        <v>96</v>
      </c>
      <c r="E3366" t="s">
        <v>89</v>
      </c>
      <c r="F3366" t="s">
        <v>4</v>
      </c>
      <c r="G3366" t="s">
        <v>109</v>
      </c>
      <c r="H3366" s="62">
        <v>2043</v>
      </c>
      <c r="I3366">
        <v>6.5875000000000004</v>
      </c>
    </row>
    <row r="3367" spans="1:9">
      <c r="A3367" t="s">
        <v>104</v>
      </c>
      <c r="B3367" t="s">
        <v>105</v>
      </c>
      <c r="C3367" t="s">
        <v>80</v>
      </c>
      <c r="D3367" t="s">
        <v>97</v>
      </c>
      <c r="E3367" t="s">
        <v>98</v>
      </c>
      <c r="F3367" t="s">
        <v>4</v>
      </c>
      <c r="G3367" t="s">
        <v>109</v>
      </c>
      <c r="H3367" s="62">
        <v>2043</v>
      </c>
      <c r="I3367">
        <v>11.2433</v>
      </c>
    </row>
    <row r="3368" spans="1:9">
      <c r="A3368" t="s">
        <v>104</v>
      </c>
      <c r="B3368" t="s">
        <v>105</v>
      </c>
      <c r="C3368" t="s">
        <v>80</v>
      </c>
      <c r="D3368" t="s">
        <v>97</v>
      </c>
      <c r="E3368" t="s">
        <v>99</v>
      </c>
      <c r="F3368" t="s">
        <v>4</v>
      </c>
      <c r="G3368" t="s">
        <v>109</v>
      </c>
      <c r="H3368" s="62">
        <v>2043</v>
      </c>
      <c r="I3368">
        <v>0.1114</v>
      </c>
    </row>
    <row r="3369" spans="1:9">
      <c r="A3369" t="s">
        <v>104</v>
      </c>
      <c r="B3369" t="s">
        <v>105</v>
      </c>
      <c r="C3369" t="s">
        <v>80</v>
      </c>
      <c r="D3369" t="s">
        <v>100</v>
      </c>
      <c r="E3369" t="s">
        <v>101</v>
      </c>
      <c r="F3369" t="s">
        <v>4</v>
      </c>
      <c r="G3369" t="s">
        <v>109</v>
      </c>
      <c r="H3369" s="62">
        <v>2043</v>
      </c>
      <c r="I3369">
        <v>8.6257999999999999</v>
      </c>
    </row>
    <row r="3370" spans="1:9">
      <c r="A3370" t="s">
        <v>104</v>
      </c>
      <c r="B3370" t="s">
        <v>105</v>
      </c>
      <c r="C3370" t="s">
        <v>80</v>
      </c>
      <c r="D3370" t="s">
        <v>100</v>
      </c>
      <c r="E3370" t="s">
        <v>102</v>
      </c>
      <c r="F3370" t="s">
        <v>4</v>
      </c>
      <c r="G3370" t="s">
        <v>109</v>
      </c>
      <c r="H3370" s="62">
        <v>2043</v>
      </c>
      <c r="I3370">
        <v>0</v>
      </c>
    </row>
    <row r="3371" spans="1:9">
      <c r="A3371" t="s">
        <v>104</v>
      </c>
      <c r="B3371" t="s">
        <v>105</v>
      </c>
      <c r="C3371" t="s">
        <v>80</v>
      </c>
      <c r="D3371" t="s">
        <v>100</v>
      </c>
      <c r="E3371" t="s">
        <v>111</v>
      </c>
      <c r="F3371" t="s">
        <v>4</v>
      </c>
      <c r="G3371" t="s">
        <v>109</v>
      </c>
      <c r="H3371" s="62">
        <v>2043</v>
      </c>
      <c r="I3371">
        <v>0</v>
      </c>
    </row>
    <row r="3372" spans="1:9">
      <c r="A3372" t="s">
        <v>104</v>
      </c>
      <c r="B3372" t="s">
        <v>105</v>
      </c>
      <c r="C3372" t="s">
        <v>80</v>
      </c>
      <c r="D3372" t="s">
        <v>100</v>
      </c>
      <c r="E3372" t="s">
        <v>112</v>
      </c>
      <c r="F3372" t="s">
        <v>4</v>
      </c>
      <c r="G3372" t="s">
        <v>109</v>
      </c>
      <c r="H3372" s="62">
        <v>2043</v>
      </c>
      <c r="I3372">
        <v>0</v>
      </c>
    </row>
    <row r="3373" spans="1:9">
      <c r="A3373" t="s">
        <v>104</v>
      </c>
      <c r="B3373" t="s">
        <v>105</v>
      </c>
      <c r="C3373" t="s">
        <v>80</v>
      </c>
      <c r="D3373" t="s">
        <v>83</v>
      </c>
      <c r="E3373" t="s">
        <v>84</v>
      </c>
      <c r="F3373" t="s">
        <v>4</v>
      </c>
      <c r="G3373" t="s">
        <v>109</v>
      </c>
      <c r="H3373" s="62">
        <v>2043</v>
      </c>
      <c r="I3373">
        <v>1.9342999999999999</v>
      </c>
    </row>
    <row r="3374" spans="1:9">
      <c r="A3374" t="s">
        <v>104</v>
      </c>
      <c r="B3374" t="s">
        <v>105</v>
      </c>
      <c r="C3374" t="s">
        <v>80</v>
      </c>
      <c r="D3374" t="s">
        <v>83</v>
      </c>
      <c r="E3374" t="s">
        <v>85</v>
      </c>
      <c r="F3374" t="s">
        <v>4</v>
      </c>
      <c r="G3374" t="s">
        <v>109</v>
      </c>
      <c r="H3374" s="62">
        <v>2043</v>
      </c>
      <c r="I3374">
        <v>1.1868000000000001</v>
      </c>
    </row>
    <row r="3375" spans="1:9">
      <c r="A3375" t="s">
        <v>104</v>
      </c>
      <c r="B3375" t="s">
        <v>105</v>
      </c>
      <c r="C3375" t="s">
        <v>80</v>
      </c>
      <c r="D3375" t="s">
        <v>86</v>
      </c>
      <c r="E3375" t="s">
        <v>106</v>
      </c>
      <c r="F3375" t="s">
        <v>4</v>
      </c>
      <c r="G3375" t="s">
        <v>109</v>
      </c>
      <c r="H3375" s="62">
        <v>2043</v>
      </c>
      <c r="I3375">
        <v>0.87329999999999997</v>
      </c>
    </row>
    <row r="3376" spans="1:9">
      <c r="A3376" t="s">
        <v>104</v>
      </c>
      <c r="B3376" t="s">
        <v>105</v>
      </c>
      <c r="C3376" t="s">
        <v>80</v>
      </c>
      <c r="D3376" t="s">
        <v>86</v>
      </c>
      <c r="E3376" t="s">
        <v>87</v>
      </c>
      <c r="F3376" t="s">
        <v>4</v>
      </c>
      <c r="G3376" t="s">
        <v>109</v>
      </c>
      <c r="H3376" s="62">
        <v>2043</v>
      </c>
      <c r="I3376">
        <v>5.5084</v>
      </c>
    </row>
    <row r="3377" spans="1:9">
      <c r="A3377" t="s">
        <v>104</v>
      </c>
      <c r="B3377" t="s">
        <v>105</v>
      </c>
      <c r="C3377" t="s">
        <v>80</v>
      </c>
      <c r="D3377" t="s">
        <v>103</v>
      </c>
      <c r="E3377" t="s">
        <v>92</v>
      </c>
      <c r="F3377" t="s">
        <v>4</v>
      </c>
      <c r="G3377" t="s">
        <v>109</v>
      </c>
      <c r="H3377" s="62">
        <v>2043</v>
      </c>
      <c r="I3377">
        <v>4.0227000000000004</v>
      </c>
    </row>
    <row r="3378" spans="1:9">
      <c r="A3378" t="s">
        <v>104</v>
      </c>
      <c r="B3378" t="s">
        <v>105</v>
      </c>
      <c r="C3378" t="s">
        <v>80</v>
      </c>
      <c r="D3378" t="s">
        <v>103</v>
      </c>
      <c r="E3378" t="s">
        <v>89</v>
      </c>
      <c r="F3378" t="s">
        <v>4</v>
      </c>
      <c r="G3378" t="s">
        <v>109</v>
      </c>
      <c r="H3378" s="62">
        <v>2043</v>
      </c>
      <c r="I3378">
        <v>16.09</v>
      </c>
    </row>
    <row r="3379" spans="1:9">
      <c r="A3379" t="s">
        <v>104</v>
      </c>
      <c r="B3379" t="s">
        <v>105</v>
      </c>
      <c r="C3379" t="s">
        <v>107</v>
      </c>
      <c r="D3379" t="s">
        <v>107</v>
      </c>
      <c r="E3379" t="s">
        <v>107</v>
      </c>
      <c r="F3379" t="s">
        <v>4</v>
      </c>
      <c r="G3379" t="s">
        <v>109</v>
      </c>
      <c r="H3379" s="62">
        <v>2044</v>
      </c>
      <c r="I3379">
        <v>59.213500000000003</v>
      </c>
    </row>
    <row r="3380" spans="1:9">
      <c r="A3380" t="s">
        <v>104</v>
      </c>
      <c r="B3380" t="s">
        <v>105</v>
      </c>
      <c r="C3380" t="s">
        <v>107</v>
      </c>
      <c r="D3380" t="s">
        <v>108</v>
      </c>
      <c r="E3380" t="s">
        <v>108</v>
      </c>
      <c r="F3380" t="s">
        <v>4</v>
      </c>
      <c r="G3380" t="s">
        <v>109</v>
      </c>
      <c r="H3380" s="62">
        <v>2044</v>
      </c>
      <c r="I3380">
        <v>0.11899999999999999</v>
      </c>
    </row>
    <row r="3381" spans="1:9">
      <c r="A3381" t="s">
        <v>104</v>
      </c>
      <c r="B3381" t="s">
        <v>105</v>
      </c>
      <c r="C3381" t="s">
        <v>80</v>
      </c>
      <c r="D3381" t="s">
        <v>80</v>
      </c>
      <c r="E3381" t="s">
        <v>80</v>
      </c>
      <c r="F3381" t="s">
        <v>4</v>
      </c>
      <c r="G3381" t="s">
        <v>109</v>
      </c>
      <c r="H3381" s="62">
        <v>2044</v>
      </c>
      <c r="I3381">
        <v>59.094499999999996</v>
      </c>
    </row>
    <row r="3382" spans="1:9">
      <c r="A3382" t="s">
        <v>104</v>
      </c>
      <c r="B3382" t="s">
        <v>105</v>
      </c>
      <c r="C3382" t="s">
        <v>80</v>
      </c>
      <c r="D3382" t="s">
        <v>89</v>
      </c>
      <c r="E3382" t="s">
        <v>90</v>
      </c>
      <c r="F3382" t="s">
        <v>4</v>
      </c>
      <c r="G3382" t="s">
        <v>109</v>
      </c>
      <c r="H3382" s="62">
        <v>2044</v>
      </c>
      <c r="I3382">
        <v>-3.0583999999999998</v>
      </c>
    </row>
    <row r="3383" spans="1:9">
      <c r="A3383" t="s">
        <v>104</v>
      </c>
      <c r="B3383" t="s">
        <v>105</v>
      </c>
      <c r="C3383" t="s">
        <v>80</v>
      </c>
      <c r="D3383" t="s">
        <v>89</v>
      </c>
      <c r="E3383" t="s">
        <v>91</v>
      </c>
      <c r="F3383" t="s">
        <v>4</v>
      </c>
      <c r="G3383" t="s">
        <v>109</v>
      </c>
      <c r="H3383" s="62">
        <v>2044</v>
      </c>
      <c r="I3383">
        <v>0.67530000000000001</v>
      </c>
    </row>
    <row r="3384" spans="1:9">
      <c r="A3384" t="s">
        <v>104</v>
      </c>
      <c r="B3384" t="s">
        <v>105</v>
      </c>
      <c r="C3384" t="s">
        <v>80</v>
      </c>
      <c r="D3384" t="s">
        <v>92</v>
      </c>
      <c r="E3384" t="s">
        <v>93</v>
      </c>
      <c r="F3384" t="s">
        <v>4</v>
      </c>
      <c r="G3384" t="s">
        <v>109</v>
      </c>
      <c r="H3384" s="62">
        <v>2044</v>
      </c>
      <c r="I3384">
        <v>-7.5077999999999996</v>
      </c>
    </row>
    <row r="3385" spans="1:9">
      <c r="A3385" t="s">
        <v>104</v>
      </c>
      <c r="B3385" t="s">
        <v>105</v>
      </c>
      <c r="C3385" t="s">
        <v>80</v>
      </c>
      <c r="D3385" t="s">
        <v>92</v>
      </c>
      <c r="E3385" t="s">
        <v>94</v>
      </c>
      <c r="F3385" t="s">
        <v>4</v>
      </c>
      <c r="G3385" t="s">
        <v>109</v>
      </c>
      <c r="H3385" s="62">
        <v>2044</v>
      </c>
      <c r="I3385">
        <v>24.3949</v>
      </c>
    </row>
    <row r="3386" spans="1:9">
      <c r="A3386" t="s">
        <v>104</v>
      </c>
      <c r="B3386" t="s">
        <v>105</v>
      </c>
      <c r="C3386" t="s">
        <v>80</v>
      </c>
      <c r="D3386" t="s">
        <v>92</v>
      </c>
      <c r="E3386" t="s">
        <v>110</v>
      </c>
      <c r="F3386" t="s">
        <v>4</v>
      </c>
      <c r="G3386" t="s">
        <v>109</v>
      </c>
      <c r="H3386" s="62">
        <v>2044</v>
      </c>
      <c r="I3386">
        <v>0</v>
      </c>
    </row>
    <row r="3387" spans="1:9">
      <c r="A3387" t="s">
        <v>104</v>
      </c>
      <c r="B3387" t="s">
        <v>105</v>
      </c>
      <c r="C3387" t="s">
        <v>80</v>
      </c>
      <c r="D3387" t="s">
        <v>92</v>
      </c>
      <c r="E3387" t="s">
        <v>95</v>
      </c>
      <c r="F3387" t="s">
        <v>4</v>
      </c>
      <c r="G3387" t="s">
        <v>109</v>
      </c>
      <c r="H3387" s="62">
        <v>2044</v>
      </c>
      <c r="I3387">
        <v>9.6057000000000006</v>
      </c>
    </row>
    <row r="3388" spans="1:9">
      <c r="A3388" t="s">
        <v>104</v>
      </c>
      <c r="B3388" t="s">
        <v>105</v>
      </c>
      <c r="C3388" t="s">
        <v>80</v>
      </c>
      <c r="D3388" t="s">
        <v>96</v>
      </c>
      <c r="E3388" t="s">
        <v>92</v>
      </c>
      <c r="F3388" t="s">
        <v>4</v>
      </c>
      <c r="G3388" t="s">
        <v>109</v>
      </c>
      <c r="H3388" s="62">
        <v>2044</v>
      </c>
      <c r="I3388">
        <v>3.4710999999999999</v>
      </c>
    </row>
    <row r="3389" spans="1:9">
      <c r="A3389" t="s">
        <v>104</v>
      </c>
      <c r="B3389" t="s">
        <v>105</v>
      </c>
      <c r="C3389" t="s">
        <v>80</v>
      </c>
      <c r="D3389" t="s">
        <v>96</v>
      </c>
      <c r="E3389" t="s">
        <v>89</v>
      </c>
      <c r="F3389" t="s">
        <v>4</v>
      </c>
      <c r="G3389" t="s">
        <v>109</v>
      </c>
      <c r="H3389" s="62">
        <v>2044</v>
      </c>
      <c r="I3389">
        <v>6.9756</v>
      </c>
    </row>
    <row r="3390" spans="1:9">
      <c r="A3390" t="s">
        <v>104</v>
      </c>
      <c r="B3390" t="s">
        <v>105</v>
      </c>
      <c r="C3390" t="s">
        <v>80</v>
      </c>
      <c r="D3390" t="s">
        <v>97</v>
      </c>
      <c r="E3390" t="s">
        <v>98</v>
      </c>
      <c r="F3390" t="s">
        <v>4</v>
      </c>
      <c r="G3390" t="s">
        <v>109</v>
      </c>
      <c r="H3390" s="62">
        <v>2044</v>
      </c>
      <c r="I3390">
        <v>12.2445</v>
      </c>
    </row>
    <row r="3391" spans="1:9">
      <c r="A3391" t="s">
        <v>104</v>
      </c>
      <c r="B3391" t="s">
        <v>105</v>
      </c>
      <c r="C3391" t="s">
        <v>80</v>
      </c>
      <c r="D3391" t="s">
        <v>97</v>
      </c>
      <c r="E3391" t="s">
        <v>99</v>
      </c>
      <c r="F3391" t="s">
        <v>4</v>
      </c>
      <c r="G3391" t="s">
        <v>109</v>
      </c>
      <c r="H3391" s="62">
        <v>2044</v>
      </c>
      <c r="I3391">
        <v>0.12870000000000001</v>
      </c>
    </row>
    <row r="3392" spans="1:9">
      <c r="A3392" t="s">
        <v>104</v>
      </c>
      <c r="B3392" t="s">
        <v>105</v>
      </c>
      <c r="C3392" t="s">
        <v>80</v>
      </c>
      <c r="D3392" t="s">
        <v>100</v>
      </c>
      <c r="E3392" t="s">
        <v>101</v>
      </c>
      <c r="F3392" t="s">
        <v>4</v>
      </c>
      <c r="G3392" t="s">
        <v>109</v>
      </c>
      <c r="H3392" s="62">
        <v>2044</v>
      </c>
      <c r="I3392">
        <v>8.9955999999999996</v>
      </c>
    </row>
    <row r="3393" spans="1:9">
      <c r="A3393" t="s">
        <v>104</v>
      </c>
      <c r="B3393" t="s">
        <v>105</v>
      </c>
      <c r="C3393" t="s">
        <v>80</v>
      </c>
      <c r="D3393" t="s">
        <v>100</v>
      </c>
      <c r="E3393" t="s">
        <v>102</v>
      </c>
      <c r="F3393" t="s">
        <v>4</v>
      </c>
      <c r="G3393" t="s">
        <v>109</v>
      </c>
      <c r="H3393" s="62">
        <v>2044</v>
      </c>
      <c r="I3393">
        <v>0</v>
      </c>
    </row>
    <row r="3394" spans="1:9">
      <c r="A3394" t="s">
        <v>104</v>
      </c>
      <c r="B3394" t="s">
        <v>105</v>
      </c>
      <c r="C3394" t="s">
        <v>80</v>
      </c>
      <c r="D3394" t="s">
        <v>100</v>
      </c>
      <c r="E3394" t="s">
        <v>111</v>
      </c>
      <c r="F3394" t="s">
        <v>4</v>
      </c>
      <c r="G3394" t="s">
        <v>109</v>
      </c>
      <c r="H3394" s="62">
        <v>2044</v>
      </c>
      <c r="I3394">
        <v>0</v>
      </c>
    </row>
    <row r="3395" spans="1:9">
      <c r="A3395" t="s">
        <v>104</v>
      </c>
      <c r="B3395" t="s">
        <v>105</v>
      </c>
      <c r="C3395" t="s">
        <v>80</v>
      </c>
      <c r="D3395" t="s">
        <v>100</v>
      </c>
      <c r="E3395" t="s">
        <v>112</v>
      </c>
      <c r="F3395" t="s">
        <v>4</v>
      </c>
      <c r="G3395" t="s">
        <v>109</v>
      </c>
      <c r="H3395" s="62">
        <v>2044</v>
      </c>
      <c r="I3395">
        <v>0</v>
      </c>
    </row>
    <row r="3396" spans="1:9">
      <c r="A3396" t="s">
        <v>104</v>
      </c>
      <c r="B3396" t="s">
        <v>105</v>
      </c>
      <c r="C3396" t="s">
        <v>80</v>
      </c>
      <c r="D3396" t="s">
        <v>83</v>
      </c>
      <c r="E3396" t="s">
        <v>84</v>
      </c>
      <c r="F3396" t="s">
        <v>4</v>
      </c>
      <c r="G3396" t="s">
        <v>109</v>
      </c>
      <c r="H3396" s="62">
        <v>2044</v>
      </c>
      <c r="I3396">
        <v>1.9650000000000001</v>
      </c>
    </row>
    <row r="3397" spans="1:9">
      <c r="A3397" t="s">
        <v>104</v>
      </c>
      <c r="B3397" t="s">
        <v>105</v>
      </c>
      <c r="C3397" t="s">
        <v>80</v>
      </c>
      <c r="D3397" t="s">
        <v>83</v>
      </c>
      <c r="E3397" t="s">
        <v>85</v>
      </c>
      <c r="F3397" t="s">
        <v>4</v>
      </c>
      <c r="G3397" t="s">
        <v>109</v>
      </c>
      <c r="H3397" s="62">
        <v>2044</v>
      </c>
      <c r="I3397">
        <v>1.2042999999999999</v>
      </c>
    </row>
    <row r="3398" spans="1:9">
      <c r="A3398" t="s">
        <v>104</v>
      </c>
      <c r="B3398" t="s">
        <v>105</v>
      </c>
      <c r="C3398" t="s">
        <v>80</v>
      </c>
      <c r="D3398" t="s">
        <v>86</v>
      </c>
      <c r="E3398" t="s">
        <v>106</v>
      </c>
      <c r="F3398" t="s">
        <v>4</v>
      </c>
      <c r="G3398" t="s">
        <v>109</v>
      </c>
      <c r="H3398" s="62">
        <v>2044</v>
      </c>
      <c r="I3398">
        <v>0.8901</v>
      </c>
    </row>
    <row r="3399" spans="1:9">
      <c r="A3399" t="s">
        <v>104</v>
      </c>
      <c r="B3399" t="s">
        <v>105</v>
      </c>
      <c r="C3399" t="s">
        <v>80</v>
      </c>
      <c r="D3399" t="s">
        <v>86</v>
      </c>
      <c r="E3399" t="s">
        <v>87</v>
      </c>
      <c r="F3399" t="s">
        <v>4</v>
      </c>
      <c r="G3399" t="s">
        <v>109</v>
      </c>
      <c r="H3399" s="62">
        <v>2044</v>
      </c>
      <c r="I3399">
        <v>5.9424000000000001</v>
      </c>
    </row>
    <row r="3400" spans="1:9">
      <c r="A3400" t="s">
        <v>104</v>
      </c>
      <c r="B3400" t="s">
        <v>105</v>
      </c>
      <c r="C3400" t="s">
        <v>80</v>
      </c>
      <c r="D3400" t="s">
        <v>103</v>
      </c>
      <c r="E3400" t="s">
        <v>92</v>
      </c>
      <c r="F3400" t="s">
        <v>4</v>
      </c>
      <c r="G3400" t="s">
        <v>109</v>
      </c>
      <c r="H3400" s="62">
        <v>2044</v>
      </c>
      <c r="I3400">
        <v>4.2183000000000002</v>
      </c>
    </row>
    <row r="3401" spans="1:9">
      <c r="A3401" t="s">
        <v>104</v>
      </c>
      <c r="B3401" t="s">
        <v>105</v>
      </c>
      <c r="C3401" t="s">
        <v>80</v>
      </c>
      <c r="D3401" t="s">
        <v>103</v>
      </c>
      <c r="E3401" t="s">
        <v>89</v>
      </c>
      <c r="F3401" t="s">
        <v>4</v>
      </c>
      <c r="G3401" t="s">
        <v>109</v>
      </c>
      <c r="H3401" s="62">
        <v>2044</v>
      </c>
      <c r="I3401">
        <v>16.828399999999998</v>
      </c>
    </row>
    <row r="3402" spans="1:9">
      <c r="A3402" t="s">
        <v>104</v>
      </c>
      <c r="B3402" t="s">
        <v>105</v>
      </c>
      <c r="C3402" t="s">
        <v>107</v>
      </c>
      <c r="D3402" t="s">
        <v>107</v>
      </c>
      <c r="E3402" t="s">
        <v>107</v>
      </c>
      <c r="F3402" t="s">
        <v>4</v>
      </c>
      <c r="G3402" t="s">
        <v>109</v>
      </c>
      <c r="H3402" s="62">
        <v>2045</v>
      </c>
      <c r="I3402">
        <v>60.5321</v>
      </c>
    </row>
    <row r="3403" spans="1:9">
      <c r="A3403" t="s">
        <v>104</v>
      </c>
      <c r="B3403" t="s">
        <v>105</v>
      </c>
      <c r="C3403" t="s">
        <v>107</v>
      </c>
      <c r="D3403" t="s">
        <v>108</v>
      </c>
      <c r="E3403" t="s">
        <v>108</v>
      </c>
      <c r="F3403" t="s">
        <v>4</v>
      </c>
      <c r="G3403" t="s">
        <v>109</v>
      </c>
      <c r="H3403" s="62">
        <v>2045</v>
      </c>
      <c r="I3403">
        <v>0.11990000000000001</v>
      </c>
    </row>
    <row r="3404" spans="1:9">
      <c r="A3404" t="s">
        <v>104</v>
      </c>
      <c r="B3404" t="s">
        <v>105</v>
      </c>
      <c r="C3404" t="s">
        <v>80</v>
      </c>
      <c r="D3404" t="s">
        <v>80</v>
      </c>
      <c r="E3404" t="s">
        <v>80</v>
      </c>
      <c r="F3404" t="s">
        <v>4</v>
      </c>
      <c r="G3404" t="s">
        <v>109</v>
      </c>
      <c r="H3404" s="62">
        <v>2045</v>
      </c>
      <c r="I3404">
        <v>60.412199999999999</v>
      </c>
    </row>
    <row r="3405" spans="1:9">
      <c r="A3405" t="s">
        <v>104</v>
      </c>
      <c r="B3405" t="s">
        <v>105</v>
      </c>
      <c r="C3405" t="s">
        <v>80</v>
      </c>
      <c r="D3405" t="s">
        <v>89</v>
      </c>
      <c r="E3405" t="s">
        <v>90</v>
      </c>
      <c r="F3405" t="s">
        <v>4</v>
      </c>
      <c r="G3405" t="s">
        <v>109</v>
      </c>
      <c r="H3405" s="62">
        <v>2045</v>
      </c>
      <c r="I3405">
        <v>-3.8986999999999998</v>
      </c>
    </row>
    <row r="3406" spans="1:9">
      <c r="A3406" t="s">
        <v>104</v>
      </c>
      <c r="B3406" t="s">
        <v>105</v>
      </c>
      <c r="C3406" t="s">
        <v>80</v>
      </c>
      <c r="D3406" t="s">
        <v>89</v>
      </c>
      <c r="E3406" t="s">
        <v>91</v>
      </c>
      <c r="F3406" t="s">
        <v>4</v>
      </c>
      <c r="G3406" t="s">
        <v>109</v>
      </c>
      <c r="H3406" s="62">
        <v>2045</v>
      </c>
      <c r="I3406">
        <v>0.92449999999999999</v>
      </c>
    </row>
    <row r="3407" spans="1:9">
      <c r="A3407" t="s">
        <v>104</v>
      </c>
      <c r="B3407" t="s">
        <v>105</v>
      </c>
      <c r="C3407" t="s">
        <v>80</v>
      </c>
      <c r="D3407" t="s">
        <v>92</v>
      </c>
      <c r="E3407" t="s">
        <v>93</v>
      </c>
      <c r="F3407" t="s">
        <v>4</v>
      </c>
      <c r="G3407" t="s">
        <v>109</v>
      </c>
      <c r="H3407" s="62">
        <v>2045</v>
      </c>
      <c r="I3407">
        <v>-8.0814000000000004</v>
      </c>
    </row>
    <row r="3408" spans="1:9">
      <c r="A3408" t="s">
        <v>104</v>
      </c>
      <c r="B3408" t="s">
        <v>105</v>
      </c>
      <c r="C3408" t="s">
        <v>80</v>
      </c>
      <c r="D3408" t="s">
        <v>92</v>
      </c>
      <c r="E3408" t="s">
        <v>94</v>
      </c>
      <c r="F3408" t="s">
        <v>4</v>
      </c>
      <c r="G3408" t="s">
        <v>109</v>
      </c>
      <c r="H3408" s="62">
        <v>2045</v>
      </c>
      <c r="I3408">
        <v>24.382899999999999</v>
      </c>
    </row>
    <row r="3409" spans="1:9">
      <c r="A3409" t="s">
        <v>104</v>
      </c>
      <c r="B3409" t="s">
        <v>105</v>
      </c>
      <c r="C3409" t="s">
        <v>80</v>
      </c>
      <c r="D3409" t="s">
        <v>92</v>
      </c>
      <c r="E3409" t="s">
        <v>110</v>
      </c>
      <c r="F3409" t="s">
        <v>4</v>
      </c>
      <c r="G3409" t="s">
        <v>109</v>
      </c>
      <c r="H3409" s="62">
        <v>2045</v>
      </c>
      <c r="I3409">
        <v>0</v>
      </c>
    </row>
    <row r="3410" spans="1:9">
      <c r="A3410" t="s">
        <v>104</v>
      </c>
      <c r="B3410" t="s">
        <v>105</v>
      </c>
      <c r="C3410" t="s">
        <v>80</v>
      </c>
      <c r="D3410" t="s">
        <v>92</v>
      </c>
      <c r="E3410" t="s">
        <v>95</v>
      </c>
      <c r="F3410" t="s">
        <v>4</v>
      </c>
      <c r="G3410" t="s">
        <v>109</v>
      </c>
      <c r="H3410" s="62">
        <v>2045</v>
      </c>
      <c r="I3410">
        <v>9.6956000000000007</v>
      </c>
    </row>
    <row r="3411" spans="1:9">
      <c r="A3411" t="s">
        <v>104</v>
      </c>
      <c r="B3411" t="s">
        <v>105</v>
      </c>
      <c r="C3411" t="s">
        <v>80</v>
      </c>
      <c r="D3411" t="s">
        <v>96</v>
      </c>
      <c r="E3411" t="s">
        <v>92</v>
      </c>
      <c r="F3411" t="s">
        <v>4</v>
      </c>
      <c r="G3411" t="s">
        <v>109</v>
      </c>
      <c r="H3411" s="62">
        <v>2045</v>
      </c>
      <c r="I3411">
        <v>3.5204</v>
      </c>
    </row>
    <row r="3412" spans="1:9">
      <c r="A3412" t="s">
        <v>104</v>
      </c>
      <c r="B3412" t="s">
        <v>105</v>
      </c>
      <c r="C3412" t="s">
        <v>80</v>
      </c>
      <c r="D3412" t="s">
        <v>96</v>
      </c>
      <c r="E3412" t="s">
        <v>89</v>
      </c>
      <c r="F3412" t="s">
        <v>4</v>
      </c>
      <c r="G3412" t="s">
        <v>109</v>
      </c>
      <c r="H3412" s="62">
        <v>2045</v>
      </c>
      <c r="I3412">
        <v>7.3605</v>
      </c>
    </row>
    <row r="3413" spans="1:9">
      <c r="A3413" t="s">
        <v>104</v>
      </c>
      <c r="B3413" t="s">
        <v>105</v>
      </c>
      <c r="C3413" t="s">
        <v>80</v>
      </c>
      <c r="D3413" t="s">
        <v>97</v>
      </c>
      <c r="E3413" t="s">
        <v>98</v>
      </c>
      <c r="F3413" t="s">
        <v>4</v>
      </c>
      <c r="G3413" t="s">
        <v>109</v>
      </c>
      <c r="H3413" s="62">
        <v>2045</v>
      </c>
      <c r="I3413">
        <v>13.181699999999999</v>
      </c>
    </row>
    <row r="3414" spans="1:9">
      <c r="A3414" t="s">
        <v>104</v>
      </c>
      <c r="B3414" t="s">
        <v>105</v>
      </c>
      <c r="C3414" t="s">
        <v>80</v>
      </c>
      <c r="D3414" t="s">
        <v>97</v>
      </c>
      <c r="E3414" t="s">
        <v>99</v>
      </c>
      <c r="F3414" t="s">
        <v>4</v>
      </c>
      <c r="G3414" t="s">
        <v>109</v>
      </c>
      <c r="H3414" s="62">
        <v>2045</v>
      </c>
      <c r="I3414">
        <v>0.14649999999999999</v>
      </c>
    </row>
    <row r="3415" spans="1:9">
      <c r="A3415" t="s">
        <v>104</v>
      </c>
      <c r="B3415" t="s">
        <v>105</v>
      </c>
      <c r="C3415" t="s">
        <v>80</v>
      </c>
      <c r="D3415" t="s">
        <v>100</v>
      </c>
      <c r="E3415" t="s">
        <v>101</v>
      </c>
      <c r="F3415" t="s">
        <v>4</v>
      </c>
      <c r="G3415" t="s">
        <v>109</v>
      </c>
      <c r="H3415" s="62">
        <v>2045</v>
      </c>
      <c r="I3415">
        <v>9.9730000000000008</v>
      </c>
    </row>
    <row r="3416" spans="1:9">
      <c r="A3416" t="s">
        <v>104</v>
      </c>
      <c r="B3416" t="s">
        <v>105</v>
      </c>
      <c r="C3416" t="s">
        <v>80</v>
      </c>
      <c r="D3416" t="s">
        <v>100</v>
      </c>
      <c r="E3416" t="s">
        <v>102</v>
      </c>
      <c r="F3416" t="s">
        <v>4</v>
      </c>
      <c r="G3416" t="s">
        <v>109</v>
      </c>
      <c r="H3416" s="62">
        <v>2045</v>
      </c>
      <c r="I3416">
        <v>0</v>
      </c>
    </row>
    <row r="3417" spans="1:9">
      <c r="A3417" t="s">
        <v>104</v>
      </c>
      <c r="B3417" t="s">
        <v>105</v>
      </c>
      <c r="C3417" t="s">
        <v>80</v>
      </c>
      <c r="D3417" t="s">
        <v>100</v>
      </c>
      <c r="E3417" t="s">
        <v>111</v>
      </c>
      <c r="F3417" t="s">
        <v>4</v>
      </c>
      <c r="G3417" t="s">
        <v>109</v>
      </c>
      <c r="H3417" s="62">
        <v>2045</v>
      </c>
      <c r="I3417">
        <v>0</v>
      </c>
    </row>
    <row r="3418" spans="1:9">
      <c r="A3418" t="s">
        <v>104</v>
      </c>
      <c r="B3418" t="s">
        <v>105</v>
      </c>
      <c r="C3418" t="s">
        <v>80</v>
      </c>
      <c r="D3418" t="s">
        <v>100</v>
      </c>
      <c r="E3418" t="s">
        <v>112</v>
      </c>
      <c r="F3418" t="s">
        <v>4</v>
      </c>
      <c r="G3418" t="s">
        <v>109</v>
      </c>
      <c r="H3418" s="62">
        <v>2045</v>
      </c>
      <c r="I3418">
        <v>0</v>
      </c>
    </row>
    <row r="3419" spans="1:9">
      <c r="A3419" t="s">
        <v>104</v>
      </c>
      <c r="B3419" t="s">
        <v>105</v>
      </c>
      <c r="C3419" t="s">
        <v>80</v>
      </c>
      <c r="D3419" t="s">
        <v>83</v>
      </c>
      <c r="E3419" t="s">
        <v>84</v>
      </c>
      <c r="F3419" t="s">
        <v>4</v>
      </c>
      <c r="G3419" t="s">
        <v>109</v>
      </c>
      <c r="H3419" s="62">
        <v>2045</v>
      </c>
      <c r="I3419">
        <v>1.9888999999999999</v>
      </c>
    </row>
    <row r="3420" spans="1:9">
      <c r="A3420" t="s">
        <v>104</v>
      </c>
      <c r="B3420" t="s">
        <v>105</v>
      </c>
      <c r="C3420" t="s">
        <v>80</v>
      </c>
      <c r="D3420" t="s">
        <v>83</v>
      </c>
      <c r="E3420" t="s">
        <v>85</v>
      </c>
      <c r="F3420" t="s">
        <v>4</v>
      </c>
      <c r="G3420" t="s">
        <v>109</v>
      </c>
      <c r="H3420" s="62">
        <v>2045</v>
      </c>
      <c r="I3420">
        <v>1.2182999999999999</v>
      </c>
    </row>
    <row r="3421" spans="1:9">
      <c r="A3421" t="s">
        <v>104</v>
      </c>
      <c r="B3421" t="s">
        <v>105</v>
      </c>
      <c r="C3421" t="s">
        <v>80</v>
      </c>
      <c r="D3421" t="s">
        <v>86</v>
      </c>
      <c r="E3421" t="s">
        <v>106</v>
      </c>
      <c r="F3421" t="s">
        <v>4</v>
      </c>
      <c r="G3421" t="s">
        <v>109</v>
      </c>
      <c r="H3421" s="62">
        <v>2045</v>
      </c>
      <c r="I3421">
        <v>0.90200000000000002</v>
      </c>
    </row>
    <row r="3422" spans="1:9">
      <c r="A3422" t="s">
        <v>104</v>
      </c>
      <c r="B3422" t="s">
        <v>105</v>
      </c>
      <c r="C3422" t="s">
        <v>80</v>
      </c>
      <c r="D3422" t="s">
        <v>86</v>
      </c>
      <c r="E3422" t="s">
        <v>87</v>
      </c>
      <c r="F3422" t="s">
        <v>4</v>
      </c>
      <c r="G3422" t="s">
        <v>109</v>
      </c>
      <c r="H3422" s="62">
        <v>2045</v>
      </c>
      <c r="I3422">
        <v>6.2549000000000001</v>
      </c>
    </row>
    <row r="3423" spans="1:9">
      <c r="A3423" t="s">
        <v>104</v>
      </c>
      <c r="B3423" t="s">
        <v>105</v>
      </c>
      <c r="C3423" t="s">
        <v>80</v>
      </c>
      <c r="D3423" t="s">
        <v>103</v>
      </c>
      <c r="E3423" t="s">
        <v>92</v>
      </c>
      <c r="F3423" t="s">
        <v>4</v>
      </c>
      <c r="G3423" t="s">
        <v>109</v>
      </c>
      <c r="H3423" s="62">
        <v>2045</v>
      </c>
      <c r="I3423">
        <v>4.4211</v>
      </c>
    </row>
    <row r="3424" spans="1:9">
      <c r="A3424" t="s">
        <v>104</v>
      </c>
      <c r="B3424" t="s">
        <v>105</v>
      </c>
      <c r="C3424" t="s">
        <v>80</v>
      </c>
      <c r="D3424" t="s">
        <v>103</v>
      </c>
      <c r="E3424" t="s">
        <v>89</v>
      </c>
      <c r="F3424" t="s">
        <v>4</v>
      </c>
      <c r="G3424" t="s">
        <v>109</v>
      </c>
      <c r="H3424" s="62">
        <v>2045</v>
      </c>
      <c r="I3424">
        <v>17.585799999999999</v>
      </c>
    </row>
    <row r="3425" spans="1:9">
      <c r="A3425" t="s">
        <v>104</v>
      </c>
      <c r="B3425" t="s">
        <v>105</v>
      </c>
      <c r="C3425" t="s">
        <v>107</v>
      </c>
      <c r="D3425" t="s">
        <v>107</v>
      </c>
      <c r="E3425" t="s">
        <v>107</v>
      </c>
      <c r="F3425" t="s">
        <v>4</v>
      </c>
      <c r="G3425" t="s">
        <v>109</v>
      </c>
      <c r="H3425" s="62">
        <v>2046</v>
      </c>
      <c r="I3425">
        <v>60.776699999999998</v>
      </c>
    </row>
    <row r="3426" spans="1:9">
      <c r="A3426" t="s">
        <v>104</v>
      </c>
      <c r="B3426" t="s">
        <v>105</v>
      </c>
      <c r="C3426" t="s">
        <v>107</v>
      </c>
      <c r="D3426" t="s">
        <v>108</v>
      </c>
      <c r="E3426" t="s">
        <v>108</v>
      </c>
      <c r="F3426" t="s">
        <v>4</v>
      </c>
      <c r="G3426" t="s">
        <v>109</v>
      </c>
      <c r="H3426" s="62">
        <v>2046</v>
      </c>
      <c r="I3426">
        <v>0.12</v>
      </c>
    </row>
    <row r="3427" spans="1:9">
      <c r="A3427" t="s">
        <v>104</v>
      </c>
      <c r="B3427" t="s">
        <v>105</v>
      </c>
      <c r="C3427" t="s">
        <v>80</v>
      </c>
      <c r="D3427" t="s">
        <v>80</v>
      </c>
      <c r="E3427" t="s">
        <v>80</v>
      </c>
      <c r="F3427" t="s">
        <v>4</v>
      </c>
      <c r="G3427" t="s">
        <v>109</v>
      </c>
      <c r="H3427" s="62">
        <v>2046</v>
      </c>
      <c r="I3427">
        <v>60.656700000000001</v>
      </c>
    </row>
    <row r="3428" spans="1:9">
      <c r="A3428" t="s">
        <v>104</v>
      </c>
      <c r="B3428" t="s">
        <v>105</v>
      </c>
      <c r="C3428" t="s">
        <v>80</v>
      </c>
      <c r="D3428" t="s">
        <v>89</v>
      </c>
      <c r="E3428" t="s">
        <v>90</v>
      </c>
      <c r="F3428" t="s">
        <v>4</v>
      </c>
      <c r="G3428" t="s">
        <v>109</v>
      </c>
      <c r="H3428" s="62">
        <v>2046</v>
      </c>
      <c r="I3428">
        <v>-4.8752000000000004</v>
      </c>
    </row>
    <row r="3429" spans="1:9">
      <c r="A3429" t="s">
        <v>104</v>
      </c>
      <c r="B3429" t="s">
        <v>105</v>
      </c>
      <c r="C3429" t="s">
        <v>80</v>
      </c>
      <c r="D3429" t="s">
        <v>89</v>
      </c>
      <c r="E3429" t="s">
        <v>91</v>
      </c>
      <c r="F3429" t="s">
        <v>4</v>
      </c>
      <c r="G3429" t="s">
        <v>109</v>
      </c>
      <c r="H3429" s="62">
        <v>2046</v>
      </c>
      <c r="I3429">
        <v>1.2555000000000001</v>
      </c>
    </row>
    <row r="3430" spans="1:9">
      <c r="A3430" t="s">
        <v>104</v>
      </c>
      <c r="B3430" t="s">
        <v>105</v>
      </c>
      <c r="C3430" t="s">
        <v>80</v>
      </c>
      <c r="D3430" t="s">
        <v>92</v>
      </c>
      <c r="E3430" t="s">
        <v>93</v>
      </c>
      <c r="F3430" t="s">
        <v>4</v>
      </c>
      <c r="G3430" t="s">
        <v>109</v>
      </c>
      <c r="H3430" s="62">
        <v>2046</v>
      </c>
      <c r="I3430">
        <v>-8.75</v>
      </c>
    </row>
    <row r="3431" spans="1:9">
      <c r="A3431" t="s">
        <v>104</v>
      </c>
      <c r="B3431" t="s">
        <v>105</v>
      </c>
      <c r="C3431" t="s">
        <v>80</v>
      </c>
      <c r="D3431" t="s">
        <v>92</v>
      </c>
      <c r="E3431" t="s">
        <v>94</v>
      </c>
      <c r="F3431" t="s">
        <v>4</v>
      </c>
      <c r="G3431" t="s">
        <v>109</v>
      </c>
      <c r="H3431" s="62">
        <v>2046</v>
      </c>
      <c r="I3431">
        <v>24.1907</v>
      </c>
    </row>
    <row r="3432" spans="1:9">
      <c r="A3432" t="s">
        <v>104</v>
      </c>
      <c r="B3432" t="s">
        <v>105</v>
      </c>
      <c r="C3432" t="s">
        <v>80</v>
      </c>
      <c r="D3432" t="s">
        <v>92</v>
      </c>
      <c r="E3432" t="s">
        <v>110</v>
      </c>
      <c r="F3432" t="s">
        <v>4</v>
      </c>
      <c r="G3432" t="s">
        <v>109</v>
      </c>
      <c r="H3432" s="62">
        <v>2046</v>
      </c>
      <c r="I3432">
        <v>0</v>
      </c>
    </row>
    <row r="3433" spans="1:9">
      <c r="A3433" t="s">
        <v>104</v>
      </c>
      <c r="B3433" t="s">
        <v>105</v>
      </c>
      <c r="C3433" t="s">
        <v>80</v>
      </c>
      <c r="D3433" t="s">
        <v>92</v>
      </c>
      <c r="E3433" t="s">
        <v>95</v>
      </c>
      <c r="F3433" t="s">
        <v>4</v>
      </c>
      <c r="G3433" t="s">
        <v>109</v>
      </c>
      <c r="H3433" s="62">
        <v>2046</v>
      </c>
      <c r="I3433">
        <v>9.7873000000000001</v>
      </c>
    </row>
    <row r="3434" spans="1:9">
      <c r="A3434" t="s">
        <v>104</v>
      </c>
      <c r="B3434" t="s">
        <v>105</v>
      </c>
      <c r="C3434" t="s">
        <v>80</v>
      </c>
      <c r="D3434" t="s">
        <v>96</v>
      </c>
      <c r="E3434" t="s">
        <v>92</v>
      </c>
      <c r="F3434" t="s">
        <v>4</v>
      </c>
      <c r="G3434" t="s">
        <v>109</v>
      </c>
      <c r="H3434" s="62">
        <v>2046</v>
      </c>
      <c r="I3434">
        <v>3.5825999999999998</v>
      </c>
    </row>
    <row r="3435" spans="1:9">
      <c r="A3435" t="s">
        <v>104</v>
      </c>
      <c r="B3435" t="s">
        <v>105</v>
      </c>
      <c r="C3435" t="s">
        <v>80</v>
      </c>
      <c r="D3435" t="s">
        <v>96</v>
      </c>
      <c r="E3435" t="s">
        <v>89</v>
      </c>
      <c r="F3435" t="s">
        <v>4</v>
      </c>
      <c r="G3435" t="s">
        <v>109</v>
      </c>
      <c r="H3435" s="62">
        <v>2046</v>
      </c>
      <c r="I3435">
        <v>7.7423000000000002</v>
      </c>
    </row>
    <row r="3436" spans="1:9">
      <c r="A3436" t="s">
        <v>104</v>
      </c>
      <c r="B3436" t="s">
        <v>105</v>
      </c>
      <c r="C3436" t="s">
        <v>80</v>
      </c>
      <c r="D3436" t="s">
        <v>97</v>
      </c>
      <c r="E3436" t="s">
        <v>98</v>
      </c>
      <c r="F3436" t="s">
        <v>4</v>
      </c>
      <c r="G3436" t="s">
        <v>109</v>
      </c>
      <c r="H3436" s="62">
        <v>2046</v>
      </c>
      <c r="I3436">
        <v>14.157299999999999</v>
      </c>
    </row>
    <row r="3437" spans="1:9">
      <c r="A3437" t="s">
        <v>104</v>
      </c>
      <c r="B3437" t="s">
        <v>105</v>
      </c>
      <c r="C3437" t="s">
        <v>80</v>
      </c>
      <c r="D3437" t="s">
        <v>97</v>
      </c>
      <c r="E3437" t="s">
        <v>99</v>
      </c>
      <c r="F3437" t="s">
        <v>4</v>
      </c>
      <c r="G3437" t="s">
        <v>109</v>
      </c>
      <c r="H3437" s="62">
        <v>2046</v>
      </c>
      <c r="I3437">
        <v>0.1658</v>
      </c>
    </row>
    <row r="3438" spans="1:9">
      <c r="A3438" t="s">
        <v>104</v>
      </c>
      <c r="B3438" t="s">
        <v>105</v>
      </c>
      <c r="C3438" t="s">
        <v>80</v>
      </c>
      <c r="D3438" t="s">
        <v>100</v>
      </c>
      <c r="E3438" t="s">
        <v>101</v>
      </c>
      <c r="F3438" t="s">
        <v>4</v>
      </c>
      <c r="G3438" t="s">
        <v>109</v>
      </c>
      <c r="H3438" s="62">
        <v>2046</v>
      </c>
      <c r="I3438">
        <v>10.1732</v>
      </c>
    </row>
    <row r="3439" spans="1:9">
      <c r="A3439" t="s">
        <v>104</v>
      </c>
      <c r="B3439" t="s">
        <v>105</v>
      </c>
      <c r="C3439" t="s">
        <v>80</v>
      </c>
      <c r="D3439" t="s">
        <v>100</v>
      </c>
      <c r="E3439" t="s">
        <v>102</v>
      </c>
      <c r="F3439" t="s">
        <v>4</v>
      </c>
      <c r="G3439" t="s">
        <v>109</v>
      </c>
      <c r="H3439" s="62">
        <v>2046</v>
      </c>
      <c r="I3439">
        <v>0</v>
      </c>
    </row>
    <row r="3440" spans="1:9">
      <c r="A3440" t="s">
        <v>104</v>
      </c>
      <c r="B3440" t="s">
        <v>105</v>
      </c>
      <c r="C3440" t="s">
        <v>80</v>
      </c>
      <c r="D3440" t="s">
        <v>100</v>
      </c>
      <c r="E3440" t="s">
        <v>111</v>
      </c>
      <c r="F3440" t="s">
        <v>4</v>
      </c>
      <c r="G3440" t="s">
        <v>109</v>
      </c>
      <c r="H3440" s="62">
        <v>2046</v>
      </c>
      <c r="I3440">
        <v>0</v>
      </c>
    </row>
    <row r="3441" spans="1:9">
      <c r="A3441" t="s">
        <v>104</v>
      </c>
      <c r="B3441" t="s">
        <v>105</v>
      </c>
      <c r="C3441" t="s">
        <v>80</v>
      </c>
      <c r="D3441" t="s">
        <v>100</v>
      </c>
      <c r="E3441" t="s">
        <v>112</v>
      </c>
      <c r="F3441" t="s">
        <v>4</v>
      </c>
      <c r="G3441" t="s">
        <v>109</v>
      </c>
      <c r="H3441" s="62">
        <v>2046</v>
      </c>
      <c r="I3441">
        <v>0</v>
      </c>
    </row>
    <row r="3442" spans="1:9">
      <c r="A3442" t="s">
        <v>104</v>
      </c>
      <c r="B3442" t="s">
        <v>105</v>
      </c>
      <c r="C3442" t="s">
        <v>80</v>
      </c>
      <c r="D3442" t="s">
        <v>83</v>
      </c>
      <c r="E3442" t="s">
        <v>84</v>
      </c>
      <c r="F3442" t="s">
        <v>4</v>
      </c>
      <c r="G3442" t="s">
        <v>109</v>
      </c>
      <c r="H3442" s="62">
        <v>2046</v>
      </c>
      <c r="I3442">
        <v>2.0009000000000001</v>
      </c>
    </row>
    <row r="3443" spans="1:9">
      <c r="A3443" t="s">
        <v>104</v>
      </c>
      <c r="B3443" t="s">
        <v>105</v>
      </c>
      <c r="C3443" t="s">
        <v>80</v>
      </c>
      <c r="D3443" t="s">
        <v>83</v>
      </c>
      <c r="E3443" t="s">
        <v>85</v>
      </c>
      <c r="F3443" t="s">
        <v>4</v>
      </c>
      <c r="G3443" t="s">
        <v>109</v>
      </c>
      <c r="H3443" s="62">
        <v>2046</v>
      </c>
      <c r="I3443">
        <v>1.2263999999999999</v>
      </c>
    </row>
    <row r="3444" spans="1:9">
      <c r="A3444" t="s">
        <v>104</v>
      </c>
      <c r="B3444" t="s">
        <v>105</v>
      </c>
      <c r="C3444" t="s">
        <v>80</v>
      </c>
      <c r="D3444" t="s">
        <v>86</v>
      </c>
      <c r="E3444" t="s">
        <v>106</v>
      </c>
      <c r="F3444" t="s">
        <v>4</v>
      </c>
      <c r="G3444" t="s">
        <v>109</v>
      </c>
      <c r="H3444" s="62">
        <v>2046</v>
      </c>
      <c r="I3444">
        <v>0.91639999999999999</v>
      </c>
    </row>
    <row r="3445" spans="1:9">
      <c r="A3445" t="s">
        <v>104</v>
      </c>
      <c r="B3445" t="s">
        <v>105</v>
      </c>
      <c r="C3445" t="s">
        <v>80</v>
      </c>
      <c r="D3445" t="s">
        <v>86</v>
      </c>
      <c r="E3445" t="s">
        <v>87</v>
      </c>
      <c r="F3445" t="s">
        <v>4</v>
      </c>
      <c r="G3445" t="s">
        <v>109</v>
      </c>
      <c r="H3445" s="62">
        <v>2046</v>
      </c>
      <c r="I3445">
        <v>6.5781000000000001</v>
      </c>
    </row>
    <row r="3446" spans="1:9">
      <c r="A3446" t="s">
        <v>104</v>
      </c>
      <c r="B3446" t="s">
        <v>105</v>
      </c>
      <c r="C3446" t="s">
        <v>80</v>
      </c>
      <c r="D3446" t="s">
        <v>103</v>
      </c>
      <c r="E3446" t="s">
        <v>92</v>
      </c>
      <c r="F3446" t="s">
        <v>4</v>
      </c>
      <c r="G3446" t="s">
        <v>109</v>
      </c>
      <c r="H3446" s="62">
        <v>2046</v>
      </c>
      <c r="I3446">
        <v>4.6306000000000003</v>
      </c>
    </row>
    <row r="3447" spans="1:9">
      <c r="A3447" t="s">
        <v>104</v>
      </c>
      <c r="B3447" t="s">
        <v>105</v>
      </c>
      <c r="C3447" t="s">
        <v>80</v>
      </c>
      <c r="D3447" t="s">
        <v>103</v>
      </c>
      <c r="E3447" t="s">
        <v>89</v>
      </c>
      <c r="F3447" t="s">
        <v>4</v>
      </c>
      <c r="G3447" t="s">
        <v>109</v>
      </c>
      <c r="H3447" s="62">
        <v>2046</v>
      </c>
      <c r="I3447">
        <v>18.331700000000001</v>
      </c>
    </row>
    <row r="3448" spans="1:9">
      <c r="A3448" t="s">
        <v>104</v>
      </c>
      <c r="B3448" t="s">
        <v>105</v>
      </c>
      <c r="C3448" t="s">
        <v>107</v>
      </c>
      <c r="D3448" t="s">
        <v>107</v>
      </c>
      <c r="E3448" t="s">
        <v>107</v>
      </c>
      <c r="F3448" t="s">
        <v>4</v>
      </c>
      <c r="G3448" t="s">
        <v>109</v>
      </c>
      <c r="H3448" s="62">
        <v>2047</v>
      </c>
      <c r="I3448">
        <v>60.609900000000003</v>
      </c>
    </row>
    <row r="3449" spans="1:9">
      <c r="A3449" t="s">
        <v>104</v>
      </c>
      <c r="B3449" t="s">
        <v>105</v>
      </c>
      <c r="C3449" t="s">
        <v>107</v>
      </c>
      <c r="D3449" t="s">
        <v>108</v>
      </c>
      <c r="E3449" t="s">
        <v>108</v>
      </c>
      <c r="F3449" t="s">
        <v>4</v>
      </c>
      <c r="G3449" t="s">
        <v>109</v>
      </c>
      <c r="H3449" s="62">
        <v>2047</v>
      </c>
      <c r="I3449">
        <v>0.1196</v>
      </c>
    </row>
    <row r="3450" spans="1:9">
      <c r="A3450" t="s">
        <v>104</v>
      </c>
      <c r="B3450" t="s">
        <v>105</v>
      </c>
      <c r="C3450" t="s">
        <v>80</v>
      </c>
      <c r="D3450" t="s">
        <v>80</v>
      </c>
      <c r="E3450" t="s">
        <v>80</v>
      </c>
      <c r="F3450" t="s">
        <v>4</v>
      </c>
      <c r="G3450" t="s">
        <v>109</v>
      </c>
      <c r="H3450" s="62">
        <v>2047</v>
      </c>
      <c r="I3450">
        <v>60.490299999999998</v>
      </c>
    </row>
    <row r="3451" spans="1:9">
      <c r="A3451" t="s">
        <v>104</v>
      </c>
      <c r="B3451" t="s">
        <v>105</v>
      </c>
      <c r="C3451" t="s">
        <v>80</v>
      </c>
      <c r="D3451" t="s">
        <v>89</v>
      </c>
      <c r="E3451" t="s">
        <v>90</v>
      </c>
      <c r="F3451" t="s">
        <v>4</v>
      </c>
      <c r="G3451" t="s">
        <v>109</v>
      </c>
      <c r="H3451" s="62">
        <v>2047</v>
      </c>
      <c r="I3451">
        <v>-5.9269999999999996</v>
      </c>
    </row>
    <row r="3452" spans="1:9">
      <c r="A3452" t="s">
        <v>104</v>
      </c>
      <c r="B3452" t="s">
        <v>105</v>
      </c>
      <c r="C3452" t="s">
        <v>80</v>
      </c>
      <c r="D3452" t="s">
        <v>89</v>
      </c>
      <c r="E3452" t="s">
        <v>91</v>
      </c>
      <c r="F3452" t="s">
        <v>4</v>
      </c>
      <c r="G3452" t="s">
        <v>109</v>
      </c>
      <c r="H3452" s="62">
        <v>2047</v>
      </c>
      <c r="I3452">
        <v>1.6677999999999999</v>
      </c>
    </row>
    <row r="3453" spans="1:9">
      <c r="A3453" t="s">
        <v>104</v>
      </c>
      <c r="B3453" t="s">
        <v>105</v>
      </c>
      <c r="C3453" t="s">
        <v>80</v>
      </c>
      <c r="D3453" t="s">
        <v>92</v>
      </c>
      <c r="E3453" t="s">
        <v>93</v>
      </c>
      <c r="F3453" t="s">
        <v>4</v>
      </c>
      <c r="G3453" t="s">
        <v>109</v>
      </c>
      <c r="H3453" s="62">
        <v>2047</v>
      </c>
      <c r="I3453">
        <v>-9.5249000000000006</v>
      </c>
    </row>
    <row r="3454" spans="1:9">
      <c r="A3454" t="s">
        <v>104</v>
      </c>
      <c r="B3454" t="s">
        <v>105</v>
      </c>
      <c r="C3454" t="s">
        <v>80</v>
      </c>
      <c r="D3454" t="s">
        <v>92</v>
      </c>
      <c r="E3454" t="s">
        <v>94</v>
      </c>
      <c r="F3454" t="s">
        <v>4</v>
      </c>
      <c r="G3454" t="s">
        <v>109</v>
      </c>
      <c r="H3454" s="62">
        <v>2047</v>
      </c>
      <c r="I3454">
        <v>23.968599999999999</v>
      </c>
    </row>
    <row r="3455" spans="1:9">
      <c r="A3455" t="s">
        <v>104</v>
      </c>
      <c r="B3455" t="s">
        <v>105</v>
      </c>
      <c r="C3455" t="s">
        <v>80</v>
      </c>
      <c r="D3455" t="s">
        <v>92</v>
      </c>
      <c r="E3455" t="s">
        <v>110</v>
      </c>
      <c r="F3455" t="s">
        <v>4</v>
      </c>
      <c r="G3455" t="s">
        <v>109</v>
      </c>
      <c r="H3455" s="62">
        <v>2047</v>
      </c>
      <c r="I3455">
        <v>0</v>
      </c>
    </row>
    <row r="3456" spans="1:9">
      <c r="A3456" t="s">
        <v>104</v>
      </c>
      <c r="B3456" t="s">
        <v>105</v>
      </c>
      <c r="C3456" t="s">
        <v>80</v>
      </c>
      <c r="D3456" t="s">
        <v>92</v>
      </c>
      <c r="E3456" t="s">
        <v>95</v>
      </c>
      <c r="F3456" t="s">
        <v>4</v>
      </c>
      <c r="G3456" t="s">
        <v>109</v>
      </c>
      <c r="H3456" s="62">
        <v>2047</v>
      </c>
      <c r="I3456">
        <v>9.8806999999999992</v>
      </c>
    </row>
    <row r="3457" spans="1:9">
      <c r="A3457" t="s">
        <v>104</v>
      </c>
      <c r="B3457" t="s">
        <v>105</v>
      </c>
      <c r="C3457" t="s">
        <v>80</v>
      </c>
      <c r="D3457" t="s">
        <v>96</v>
      </c>
      <c r="E3457" t="s">
        <v>92</v>
      </c>
      <c r="F3457" t="s">
        <v>4</v>
      </c>
      <c r="G3457" t="s">
        <v>109</v>
      </c>
      <c r="H3457" s="62">
        <v>2047</v>
      </c>
      <c r="I3457">
        <v>3.5989</v>
      </c>
    </row>
    <row r="3458" spans="1:9">
      <c r="A3458" t="s">
        <v>104</v>
      </c>
      <c r="B3458" t="s">
        <v>105</v>
      </c>
      <c r="C3458" t="s">
        <v>80</v>
      </c>
      <c r="D3458" t="s">
        <v>96</v>
      </c>
      <c r="E3458" t="s">
        <v>89</v>
      </c>
      <c r="F3458" t="s">
        <v>4</v>
      </c>
      <c r="G3458" t="s">
        <v>109</v>
      </c>
      <c r="H3458" s="62">
        <v>2047</v>
      </c>
      <c r="I3458">
        <v>8.1033000000000008</v>
      </c>
    </row>
    <row r="3459" spans="1:9">
      <c r="A3459" t="s">
        <v>104</v>
      </c>
      <c r="B3459" t="s">
        <v>105</v>
      </c>
      <c r="C3459" t="s">
        <v>80</v>
      </c>
      <c r="D3459" t="s">
        <v>97</v>
      </c>
      <c r="E3459" t="s">
        <v>98</v>
      </c>
      <c r="F3459" t="s">
        <v>4</v>
      </c>
      <c r="G3459" t="s">
        <v>109</v>
      </c>
      <c r="H3459" s="62">
        <v>2047</v>
      </c>
      <c r="I3459">
        <v>15.127700000000001</v>
      </c>
    </row>
    <row r="3460" spans="1:9">
      <c r="A3460" t="s">
        <v>104</v>
      </c>
      <c r="B3460" t="s">
        <v>105</v>
      </c>
      <c r="C3460" t="s">
        <v>80</v>
      </c>
      <c r="D3460" t="s">
        <v>97</v>
      </c>
      <c r="E3460" t="s">
        <v>99</v>
      </c>
      <c r="F3460" t="s">
        <v>4</v>
      </c>
      <c r="G3460" t="s">
        <v>109</v>
      </c>
      <c r="H3460" s="62">
        <v>2047</v>
      </c>
      <c r="I3460">
        <v>0.18629999999999999</v>
      </c>
    </row>
    <row r="3461" spans="1:9">
      <c r="A3461" t="s">
        <v>104</v>
      </c>
      <c r="B3461" t="s">
        <v>105</v>
      </c>
      <c r="C3461" t="s">
        <v>80</v>
      </c>
      <c r="D3461" t="s">
        <v>100</v>
      </c>
      <c r="E3461" t="s">
        <v>101</v>
      </c>
      <c r="F3461" t="s">
        <v>4</v>
      </c>
      <c r="G3461" t="s">
        <v>109</v>
      </c>
      <c r="H3461" s="62">
        <v>2047</v>
      </c>
      <c r="I3461">
        <v>10.1732</v>
      </c>
    </row>
    <row r="3462" spans="1:9">
      <c r="A3462" t="s">
        <v>104</v>
      </c>
      <c r="B3462" t="s">
        <v>105</v>
      </c>
      <c r="C3462" t="s">
        <v>80</v>
      </c>
      <c r="D3462" t="s">
        <v>100</v>
      </c>
      <c r="E3462" t="s">
        <v>102</v>
      </c>
      <c r="F3462" t="s">
        <v>4</v>
      </c>
      <c r="G3462" t="s">
        <v>109</v>
      </c>
      <c r="H3462" s="62">
        <v>2047</v>
      </c>
      <c r="I3462">
        <v>0</v>
      </c>
    </row>
    <row r="3463" spans="1:9">
      <c r="A3463" t="s">
        <v>104</v>
      </c>
      <c r="B3463" t="s">
        <v>105</v>
      </c>
      <c r="C3463" t="s">
        <v>80</v>
      </c>
      <c r="D3463" t="s">
        <v>100</v>
      </c>
      <c r="E3463" t="s">
        <v>111</v>
      </c>
      <c r="F3463" t="s">
        <v>4</v>
      </c>
      <c r="G3463" t="s">
        <v>109</v>
      </c>
      <c r="H3463" s="62">
        <v>2047</v>
      </c>
      <c r="I3463">
        <v>0</v>
      </c>
    </row>
    <row r="3464" spans="1:9">
      <c r="A3464" t="s">
        <v>104</v>
      </c>
      <c r="B3464" t="s">
        <v>105</v>
      </c>
      <c r="C3464" t="s">
        <v>80</v>
      </c>
      <c r="D3464" t="s">
        <v>100</v>
      </c>
      <c r="E3464" t="s">
        <v>112</v>
      </c>
      <c r="F3464" t="s">
        <v>4</v>
      </c>
      <c r="G3464" t="s">
        <v>109</v>
      </c>
      <c r="H3464" s="62">
        <v>2047</v>
      </c>
      <c r="I3464">
        <v>0</v>
      </c>
    </row>
    <row r="3465" spans="1:9">
      <c r="A3465" t="s">
        <v>104</v>
      </c>
      <c r="B3465" t="s">
        <v>105</v>
      </c>
      <c r="C3465" t="s">
        <v>80</v>
      </c>
      <c r="D3465" t="s">
        <v>83</v>
      </c>
      <c r="E3465" t="s">
        <v>84</v>
      </c>
      <c r="F3465" t="s">
        <v>4</v>
      </c>
      <c r="G3465" t="s">
        <v>109</v>
      </c>
      <c r="H3465" s="62">
        <v>2047</v>
      </c>
      <c r="I3465">
        <v>2.0051000000000001</v>
      </c>
    </row>
    <row r="3466" spans="1:9">
      <c r="A3466" t="s">
        <v>104</v>
      </c>
      <c r="B3466" t="s">
        <v>105</v>
      </c>
      <c r="C3466" t="s">
        <v>80</v>
      </c>
      <c r="D3466" t="s">
        <v>83</v>
      </c>
      <c r="E3466" t="s">
        <v>85</v>
      </c>
      <c r="F3466" t="s">
        <v>4</v>
      </c>
      <c r="G3466" t="s">
        <v>109</v>
      </c>
      <c r="H3466" s="62">
        <v>2047</v>
      </c>
      <c r="I3466">
        <v>1.2305999999999999</v>
      </c>
    </row>
    <row r="3467" spans="1:9">
      <c r="A3467" t="s">
        <v>104</v>
      </c>
      <c r="B3467" t="s">
        <v>105</v>
      </c>
      <c r="C3467" t="s">
        <v>80</v>
      </c>
      <c r="D3467" t="s">
        <v>86</v>
      </c>
      <c r="E3467" t="s">
        <v>106</v>
      </c>
      <c r="F3467" t="s">
        <v>4</v>
      </c>
      <c r="G3467" t="s">
        <v>109</v>
      </c>
      <c r="H3467" s="62">
        <v>2047</v>
      </c>
      <c r="I3467">
        <v>0.93079999999999996</v>
      </c>
    </row>
    <row r="3468" spans="1:9">
      <c r="A3468" t="s">
        <v>104</v>
      </c>
      <c r="B3468" t="s">
        <v>105</v>
      </c>
      <c r="C3468" t="s">
        <v>80</v>
      </c>
      <c r="D3468" t="s">
        <v>86</v>
      </c>
      <c r="E3468" t="s">
        <v>87</v>
      </c>
      <c r="F3468" t="s">
        <v>4</v>
      </c>
      <c r="G3468" t="s">
        <v>109</v>
      </c>
      <c r="H3468" s="62">
        <v>2047</v>
      </c>
      <c r="I3468">
        <v>6.9263000000000003</v>
      </c>
    </row>
    <row r="3469" spans="1:9">
      <c r="A3469" t="s">
        <v>104</v>
      </c>
      <c r="B3469" t="s">
        <v>105</v>
      </c>
      <c r="C3469" t="s">
        <v>80</v>
      </c>
      <c r="D3469" t="s">
        <v>103</v>
      </c>
      <c r="E3469" t="s">
        <v>92</v>
      </c>
      <c r="F3469" t="s">
        <v>4</v>
      </c>
      <c r="G3469" t="s">
        <v>109</v>
      </c>
      <c r="H3469" s="62">
        <v>2047</v>
      </c>
      <c r="I3469">
        <v>4.8686999999999996</v>
      </c>
    </row>
    <row r="3470" spans="1:9">
      <c r="A3470" t="s">
        <v>104</v>
      </c>
      <c r="B3470" t="s">
        <v>105</v>
      </c>
      <c r="C3470" t="s">
        <v>80</v>
      </c>
      <c r="D3470" t="s">
        <v>103</v>
      </c>
      <c r="E3470" t="s">
        <v>89</v>
      </c>
      <c r="F3470" t="s">
        <v>4</v>
      </c>
      <c r="G3470" t="s">
        <v>109</v>
      </c>
      <c r="H3470" s="62">
        <v>2047</v>
      </c>
      <c r="I3470">
        <v>19.161999999999999</v>
      </c>
    </row>
    <row r="3471" spans="1:9">
      <c r="A3471" t="s">
        <v>104</v>
      </c>
      <c r="B3471" t="s">
        <v>105</v>
      </c>
      <c r="C3471" t="s">
        <v>107</v>
      </c>
      <c r="D3471" t="s">
        <v>107</v>
      </c>
      <c r="E3471" t="s">
        <v>107</v>
      </c>
      <c r="F3471" t="s">
        <v>4</v>
      </c>
      <c r="G3471" t="s">
        <v>109</v>
      </c>
      <c r="H3471" s="62">
        <v>2048</v>
      </c>
      <c r="I3471">
        <v>60.691000000000003</v>
      </c>
    </row>
    <row r="3472" spans="1:9">
      <c r="A3472" t="s">
        <v>104</v>
      </c>
      <c r="B3472" t="s">
        <v>105</v>
      </c>
      <c r="C3472" t="s">
        <v>107</v>
      </c>
      <c r="D3472" t="s">
        <v>108</v>
      </c>
      <c r="E3472" t="s">
        <v>108</v>
      </c>
      <c r="F3472" t="s">
        <v>4</v>
      </c>
      <c r="G3472" t="s">
        <v>109</v>
      </c>
      <c r="H3472" s="62">
        <v>2048</v>
      </c>
      <c r="I3472">
        <v>0.1192</v>
      </c>
    </row>
    <row r="3473" spans="1:9">
      <c r="A3473" t="s">
        <v>104</v>
      </c>
      <c r="B3473" t="s">
        <v>105</v>
      </c>
      <c r="C3473" t="s">
        <v>80</v>
      </c>
      <c r="D3473" t="s">
        <v>80</v>
      </c>
      <c r="E3473" t="s">
        <v>80</v>
      </c>
      <c r="F3473" t="s">
        <v>4</v>
      </c>
      <c r="G3473" t="s">
        <v>109</v>
      </c>
      <c r="H3473" s="62">
        <v>2048</v>
      </c>
      <c r="I3473">
        <v>60.571800000000003</v>
      </c>
    </row>
    <row r="3474" spans="1:9">
      <c r="A3474" t="s">
        <v>104</v>
      </c>
      <c r="B3474" t="s">
        <v>105</v>
      </c>
      <c r="C3474" t="s">
        <v>80</v>
      </c>
      <c r="D3474" t="s">
        <v>89</v>
      </c>
      <c r="E3474" t="s">
        <v>90</v>
      </c>
      <c r="F3474" t="s">
        <v>4</v>
      </c>
      <c r="G3474" t="s">
        <v>109</v>
      </c>
      <c r="H3474" s="62">
        <v>2048</v>
      </c>
      <c r="I3474">
        <v>-7.0339999999999998</v>
      </c>
    </row>
    <row r="3475" spans="1:9">
      <c r="A3475" t="s">
        <v>104</v>
      </c>
      <c r="B3475" t="s">
        <v>105</v>
      </c>
      <c r="C3475" t="s">
        <v>80</v>
      </c>
      <c r="D3475" t="s">
        <v>89</v>
      </c>
      <c r="E3475" t="s">
        <v>91</v>
      </c>
      <c r="F3475" t="s">
        <v>4</v>
      </c>
      <c r="G3475" t="s">
        <v>109</v>
      </c>
      <c r="H3475" s="62">
        <v>2048</v>
      </c>
      <c r="I3475">
        <v>2.1711999999999998</v>
      </c>
    </row>
    <row r="3476" spans="1:9">
      <c r="A3476" t="s">
        <v>104</v>
      </c>
      <c r="B3476" t="s">
        <v>105</v>
      </c>
      <c r="C3476" t="s">
        <v>80</v>
      </c>
      <c r="D3476" t="s">
        <v>92</v>
      </c>
      <c r="E3476" t="s">
        <v>93</v>
      </c>
      <c r="F3476" t="s">
        <v>4</v>
      </c>
      <c r="G3476" t="s">
        <v>109</v>
      </c>
      <c r="H3476" s="62">
        <v>2048</v>
      </c>
      <c r="I3476">
        <v>-10.4049</v>
      </c>
    </row>
    <row r="3477" spans="1:9">
      <c r="A3477" t="s">
        <v>104</v>
      </c>
      <c r="B3477" t="s">
        <v>105</v>
      </c>
      <c r="C3477" t="s">
        <v>80</v>
      </c>
      <c r="D3477" t="s">
        <v>92</v>
      </c>
      <c r="E3477" t="s">
        <v>94</v>
      </c>
      <c r="F3477" t="s">
        <v>4</v>
      </c>
      <c r="G3477" t="s">
        <v>109</v>
      </c>
      <c r="H3477" s="62">
        <v>2048</v>
      </c>
      <c r="I3477">
        <v>23.732900000000001</v>
      </c>
    </row>
    <row r="3478" spans="1:9">
      <c r="A3478" t="s">
        <v>104</v>
      </c>
      <c r="B3478" t="s">
        <v>105</v>
      </c>
      <c r="C3478" t="s">
        <v>80</v>
      </c>
      <c r="D3478" t="s">
        <v>92</v>
      </c>
      <c r="E3478" t="s">
        <v>110</v>
      </c>
      <c r="F3478" t="s">
        <v>4</v>
      </c>
      <c r="G3478" t="s">
        <v>109</v>
      </c>
      <c r="H3478" s="62">
        <v>2048</v>
      </c>
      <c r="I3478">
        <v>0</v>
      </c>
    </row>
    <row r="3479" spans="1:9">
      <c r="A3479" t="s">
        <v>104</v>
      </c>
      <c r="B3479" t="s">
        <v>105</v>
      </c>
      <c r="C3479" t="s">
        <v>80</v>
      </c>
      <c r="D3479" t="s">
        <v>92</v>
      </c>
      <c r="E3479" t="s">
        <v>95</v>
      </c>
      <c r="F3479" t="s">
        <v>4</v>
      </c>
      <c r="G3479" t="s">
        <v>109</v>
      </c>
      <c r="H3479" s="62">
        <v>2048</v>
      </c>
      <c r="I3479">
        <v>9.9762000000000004</v>
      </c>
    </row>
    <row r="3480" spans="1:9">
      <c r="A3480" t="s">
        <v>104</v>
      </c>
      <c r="B3480" t="s">
        <v>105</v>
      </c>
      <c r="C3480" t="s">
        <v>80</v>
      </c>
      <c r="D3480" t="s">
        <v>96</v>
      </c>
      <c r="E3480" t="s">
        <v>92</v>
      </c>
      <c r="F3480" t="s">
        <v>4</v>
      </c>
      <c r="G3480" t="s">
        <v>109</v>
      </c>
      <c r="H3480" s="62">
        <v>2048</v>
      </c>
      <c r="I3480">
        <v>3.6705999999999999</v>
      </c>
    </row>
    <row r="3481" spans="1:9">
      <c r="A3481" t="s">
        <v>104</v>
      </c>
      <c r="B3481" t="s">
        <v>105</v>
      </c>
      <c r="C3481" t="s">
        <v>80</v>
      </c>
      <c r="D3481" t="s">
        <v>96</v>
      </c>
      <c r="E3481" t="s">
        <v>89</v>
      </c>
      <c r="F3481" t="s">
        <v>4</v>
      </c>
      <c r="G3481" t="s">
        <v>109</v>
      </c>
      <c r="H3481" s="62">
        <v>2048</v>
      </c>
      <c r="I3481">
        <v>8.4472000000000005</v>
      </c>
    </row>
    <row r="3482" spans="1:9">
      <c r="A3482" t="s">
        <v>104</v>
      </c>
      <c r="B3482" t="s">
        <v>105</v>
      </c>
      <c r="C3482" t="s">
        <v>80</v>
      </c>
      <c r="D3482" t="s">
        <v>97</v>
      </c>
      <c r="E3482" t="s">
        <v>98</v>
      </c>
      <c r="F3482" t="s">
        <v>4</v>
      </c>
      <c r="G3482" t="s">
        <v>109</v>
      </c>
      <c r="H3482" s="62">
        <v>2048</v>
      </c>
      <c r="I3482">
        <v>16.1372</v>
      </c>
    </row>
    <row r="3483" spans="1:9">
      <c r="A3483" t="s">
        <v>104</v>
      </c>
      <c r="B3483" t="s">
        <v>105</v>
      </c>
      <c r="C3483" t="s">
        <v>80</v>
      </c>
      <c r="D3483" t="s">
        <v>97</v>
      </c>
      <c r="E3483" t="s">
        <v>99</v>
      </c>
      <c r="F3483" t="s">
        <v>4</v>
      </c>
      <c r="G3483" t="s">
        <v>109</v>
      </c>
      <c r="H3483" s="62">
        <v>2048</v>
      </c>
      <c r="I3483">
        <v>0.20860000000000001</v>
      </c>
    </row>
    <row r="3484" spans="1:9">
      <c r="A3484" t="s">
        <v>104</v>
      </c>
      <c r="B3484" t="s">
        <v>105</v>
      </c>
      <c r="C3484" t="s">
        <v>80</v>
      </c>
      <c r="D3484" t="s">
        <v>100</v>
      </c>
      <c r="E3484" t="s">
        <v>101</v>
      </c>
      <c r="F3484" t="s">
        <v>4</v>
      </c>
      <c r="G3484" t="s">
        <v>109</v>
      </c>
      <c r="H3484" s="62">
        <v>2048</v>
      </c>
      <c r="I3484">
        <v>10.421900000000001</v>
      </c>
    </row>
    <row r="3485" spans="1:9">
      <c r="A3485" t="s">
        <v>104</v>
      </c>
      <c r="B3485" t="s">
        <v>105</v>
      </c>
      <c r="C3485" t="s">
        <v>80</v>
      </c>
      <c r="D3485" t="s">
        <v>100</v>
      </c>
      <c r="E3485" t="s">
        <v>102</v>
      </c>
      <c r="F3485" t="s">
        <v>4</v>
      </c>
      <c r="G3485" t="s">
        <v>109</v>
      </c>
      <c r="H3485" s="62">
        <v>2048</v>
      </c>
      <c r="I3485">
        <v>0</v>
      </c>
    </row>
    <row r="3486" spans="1:9">
      <c r="A3486" t="s">
        <v>104</v>
      </c>
      <c r="B3486" t="s">
        <v>105</v>
      </c>
      <c r="C3486" t="s">
        <v>80</v>
      </c>
      <c r="D3486" t="s">
        <v>100</v>
      </c>
      <c r="E3486" t="s">
        <v>111</v>
      </c>
      <c r="F3486" t="s">
        <v>4</v>
      </c>
      <c r="G3486" t="s">
        <v>109</v>
      </c>
      <c r="H3486" s="62">
        <v>2048</v>
      </c>
      <c r="I3486">
        <v>0</v>
      </c>
    </row>
    <row r="3487" spans="1:9">
      <c r="A3487" t="s">
        <v>104</v>
      </c>
      <c r="B3487" t="s">
        <v>105</v>
      </c>
      <c r="C3487" t="s">
        <v>80</v>
      </c>
      <c r="D3487" t="s">
        <v>100</v>
      </c>
      <c r="E3487" t="s">
        <v>112</v>
      </c>
      <c r="F3487" t="s">
        <v>4</v>
      </c>
      <c r="G3487" t="s">
        <v>109</v>
      </c>
      <c r="H3487" s="62">
        <v>2048</v>
      </c>
      <c r="I3487">
        <v>0</v>
      </c>
    </row>
    <row r="3488" spans="1:9">
      <c r="A3488" t="s">
        <v>104</v>
      </c>
      <c r="B3488" t="s">
        <v>105</v>
      </c>
      <c r="C3488" t="s">
        <v>80</v>
      </c>
      <c r="D3488" t="s">
        <v>83</v>
      </c>
      <c r="E3488" t="s">
        <v>84</v>
      </c>
      <c r="F3488" t="s">
        <v>4</v>
      </c>
      <c r="G3488" t="s">
        <v>109</v>
      </c>
      <c r="H3488" s="62">
        <v>2048</v>
      </c>
      <c r="I3488">
        <v>2.0097</v>
      </c>
    </row>
    <row r="3489" spans="1:9">
      <c r="A3489" t="s">
        <v>104</v>
      </c>
      <c r="B3489" t="s">
        <v>105</v>
      </c>
      <c r="C3489" t="s">
        <v>80</v>
      </c>
      <c r="D3489" t="s">
        <v>83</v>
      </c>
      <c r="E3489" t="s">
        <v>85</v>
      </c>
      <c r="F3489" t="s">
        <v>4</v>
      </c>
      <c r="G3489" t="s">
        <v>109</v>
      </c>
      <c r="H3489" s="62">
        <v>2048</v>
      </c>
      <c r="I3489">
        <v>1.2351000000000001</v>
      </c>
    </row>
    <row r="3490" spans="1:9">
      <c r="A3490" t="s">
        <v>104</v>
      </c>
      <c r="B3490" t="s">
        <v>105</v>
      </c>
      <c r="C3490" t="s">
        <v>80</v>
      </c>
      <c r="D3490" t="s">
        <v>86</v>
      </c>
      <c r="E3490" t="s">
        <v>106</v>
      </c>
      <c r="F3490" t="s">
        <v>4</v>
      </c>
      <c r="G3490" t="s">
        <v>109</v>
      </c>
      <c r="H3490" s="62">
        <v>2048</v>
      </c>
      <c r="I3490">
        <v>0.94779999999999998</v>
      </c>
    </row>
    <row r="3491" spans="1:9">
      <c r="A3491" t="s">
        <v>104</v>
      </c>
      <c r="B3491" t="s">
        <v>105</v>
      </c>
      <c r="C3491" t="s">
        <v>80</v>
      </c>
      <c r="D3491" t="s">
        <v>86</v>
      </c>
      <c r="E3491" t="s">
        <v>87</v>
      </c>
      <c r="F3491" t="s">
        <v>4</v>
      </c>
      <c r="G3491" t="s">
        <v>109</v>
      </c>
      <c r="H3491" s="62">
        <v>2048</v>
      </c>
      <c r="I3491">
        <v>7.2858999999999998</v>
      </c>
    </row>
    <row r="3492" spans="1:9">
      <c r="A3492" t="s">
        <v>104</v>
      </c>
      <c r="B3492" t="s">
        <v>105</v>
      </c>
      <c r="C3492" t="s">
        <v>80</v>
      </c>
      <c r="D3492" t="s">
        <v>103</v>
      </c>
      <c r="E3492" t="s">
        <v>92</v>
      </c>
      <c r="F3492" t="s">
        <v>4</v>
      </c>
      <c r="G3492" t="s">
        <v>109</v>
      </c>
      <c r="H3492" s="62">
        <v>2048</v>
      </c>
      <c r="I3492">
        <v>5.1266999999999996</v>
      </c>
    </row>
    <row r="3493" spans="1:9">
      <c r="A3493" t="s">
        <v>104</v>
      </c>
      <c r="B3493" t="s">
        <v>105</v>
      </c>
      <c r="C3493" t="s">
        <v>80</v>
      </c>
      <c r="D3493" t="s">
        <v>103</v>
      </c>
      <c r="E3493" t="s">
        <v>89</v>
      </c>
      <c r="F3493" t="s">
        <v>4</v>
      </c>
      <c r="G3493" t="s">
        <v>109</v>
      </c>
      <c r="H3493" s="62">
        <v>2048</v>
      </c>
      <c r="I3493">
        <v>20.054500000000001</v>
      </c>
    </row>
    <row r="3494" spans="1:9">
      <c r="A3494" t="s">
        <v>104</v>
      </c>
      <c r="B3494" t="s">
        <v>105</v>
      </c>
      <c r="C3494" t="s">
        <v>107</v>
      </c>
      <c r="D3494" t="s">
        <v>107</v>
      </c>
      <c r="E3494" t="s">
        <v>107</v>
      </c>
      <c r="F3494" t="s">
        <v>4</v>
      </c>
      <c r="G3494" t="s">
        <v>109</v>
      </c>
      <c r="H3494" s="62">
        <v>2049</v>
      </c>
      <c r="I3494">
        <v>60.925800000000002</v>
      </c>
    </row>
    <row r="3495" spans="1:9">
      <c r="A3495" t="s">
        <v>104</v>
      </c>
      <c r="B3495" t="s">
        <v>105</v>
      </c>
      <c r="C3495" t="s">
        <v>107</v>
      </c>
      <c r="D3495" t="s">
        <v>108</v>
      </c>
      <c r="E3495" t="s">
        <v>108</v>
      </c>
      <c r="F3495" t="s">
        <v>4</v>
      </c>
      <c r="G3495" t="s">
        <v>109</v>
      </c>
      <c r="H3495" s="62">
        <v>2049</v>
      </c>
      <c r="I3495">
        <v>0.1188</v>
      </c>
    </row>
    <row r="3496" spans="1:9">
      <c r="A3496" t="s">
        <v>104</v>
      </c>
      <c r="B3496" t="s">
        <v>105</v>
      </c>
      <c r="C3496" t="s">
        <v>80</v>
      </c>
      <c r="D3496" t="s">
        <v>80</v>
      </c>
      <c r="E3496" t="s">
        <v>80</v>
      </c>
      <c r="F3496" t="s">
        <v>4</v>
      </c>
      <c r="G3496" t="s">
        <v>109</v>
      </c>
      <c r="H3496" s="62">
        <v>2049</v>
      </c>
      <c r="I3496">
        <v>60.807000000000002</v>
      </c>
    </row>
    <row r="3497" spans="1:9">
      <c r="A3497" t="s">
        <v>104</v>
      </c>
      <c r="B3497" t="s">
        <v>105</v>
      </c>
      <c r="C3497" t="s">
        <v>80</v>
      </c>
      <c r="D3497" t="s">
        <v>89</v>
      </c>
      <c r="E3497" t="s">
        <v>90</v>
      </c>
      <c r="F3497" t="s">
        <v>4</v>
      </c>
      <c r="G3497" t="s">
        <v>109</v>
      </c>
      <c r="H3497" s="62">
        <v>2049</v>
      </c>
      <c r="I3497">
        <v>-8.1282999999999994</v>
      </c>
    </row>
    <row r="3498" spans="1:9">
      <c r="A3498" t="s">
        <v>104</v>
      </c>
      <c r="B3498" t="s">
        <v>105</v>
      </c>
      <c r="C3498" t="s">
        <v>80</v>
      </c>
      <c r="D3498" t="s">
        <v>89</v>
      </c>
      <c r="E3498" t="s">
        <v>91</v>
      </c>
      <c r="F3498" t="s">
        <v>4</v>
      </c>
      <c r="G3498" t="s">
        <v>109</v>
      </c>
      <c r="H3498" s="62">
        <v>2049</v>
      </c>
      <c r="I3498">
        <v>2.7421000000000002</v>
      </c>
    </row>
    <row r="3499" spans="1:9">
      <c r="A3499" t="s">
        <v>104</v>
      </c>
      <c r="B3499" t="s">
        <v>105</v>
      </c>
      <c r="C3499" t="s">
        <v>80</v>
      </c>
      <c r="D3499" t="s">
        <v>92</v>
      </c>
      <c r="E3499" t="s">
        <v>93</v>
      </c>
      <c r="F3499" t="s">
        <v>4</v>
      </c>
      <c r="G3499" t="s">
        <v>109</v>
      </c>
      <c r="H3499" s="62">
        <v>2049</v>
      </c>
      <c r="I3499">
        <v>-11.388</v>
      </c>
    </row>
    <row r="3500" spans="1:9">
      <c r="A3500" t="s">
        <v>104</v>
      </c>
      <c r="B3500" t="s">
        <v>105</v>
      </c>
      <c r="C3500" t="s">
        <v>80</v>
      </c>
      <c r="D3500" t="s">
        <v>92</v>
      </c>
      <c r="E3500" t="s">
        <v>94</v>
      </c>
      <c r="F3500" t="s">
        <v>4</v>
      </c>
      <c r="G3500" t="s">
        <v>109</v>
      </c>
      <c r="H3500" s="62">
        <v>2049</v>
      </c>
      <c r="I3500">
        <v>23.683199999999999</v>
      </c>
    </row>
    <row r="3501" spans="1:9">
      <c r="A3501" t="s">
        <v>104</v>
      </c>
      <c r="B3501" t="s">
        <v>105</v>
      </c>
      <c r="C3501" t="s">
        <v>80</v>
      </c>
      <c r="D3501" t="s">
        <v>92</v>
      </c>
      <c r="E3501" t="s">
        <v>110</v>
      </c>
      <c r="F3501" t="s">
        <v>4</v>
      </c>
      <c r="G3501" t="s">
        <v>109</v>
      </c>
      <c r="H3501" s="62">
        <v>2049</v>
      </c>
      <c r="I3501">
        <v>0</v>
      </c>
    </row>
    <row r="3502" spans="1:9">
      <c r="A3502" t="s">
        <v>104</v>
      </c>
      <c r="B3502" t="s">
        <v>105</v>
      </c>
      <c r="C3502" t="s">
        <v>80</v>
      </c>
      <c r="D3502" t="s">
        <v>92</v>
      </c>
      <c r="E3502" t="s">
        <v>95</v>
      </c>
      <c r="F3502" t="s">
        <v>4</v>
      </c>
      <c r="G3502" t="s">
        <v>109</v>
      </c>
      <c r="H3502" s="62">
        <v>2049</v>
      </c>
      <c r="I3502">
        <v>10.073399999999999</v>
      </c>
    </row>
    <row r="3503" spans="1:9">
      <c r="A3503" t="s">
        <v>104</v>
      </c>
      <c r="B3503" t="s">
        <v>105</v>
      </c>
      <c r="C3503" t="s">
        <v>80</v>
      </c>
      <c r="D3503" t="s">
        <v>96</v>
      </c>
      <c r="E3503" t="s">
        <v>92</v>
      </c>
      <c r="F3503" t="s">
        <v>4</v>
      </c>
      <c r="G3503" t="s">
        <v>109</v>
      </c>
      <c r="H3503" s="62">
        <v>2049</v>
      </c>
      <c r="I3503">
        <v>3.7162999999999999</v>
      </c>
    </row>
    <row r="3504" spans="1:9">
      <c r="A3504" t="s">
        <v>104</v>
      </c>
      <c r="B3504" t="s">
        <v>105</v>
      </c>
      <c r="C3504" t="s">
        <v>80</v>
      </c>
      <c r="D3504" t="s">
        <v>96</v>
      </c>
      <c r="E3504" t="s">
        <v>89</v>
      </c>
      <c r="F3504" t="s">
        <v>4</v>
      </c>
      <c r="G3504" t="s">
        <v>109</v>
      </c>
      <c r="H3504" s="62">
        <v>2049</v>
      </c>
      <c r="I3504">
        <v>8.7489000000000008</v>
      </c>
    </row>
    <row r="3505" spans="1:9">
      <c r="A3505" t="s">
        <v>104</v>
      </c>
      <c r="B3505" t="s">
        <v>105</v>
      </c>
      <c r="C3505" t="s">
        <v>80</v>
      </c>
      <c r="D3505" t="s">
        <v>97</v>
      </c>
      <c r="E3505" t="s">
        <v>98</v>
      </c>
      <c r="F3505" t="s">
        <v>4</v>
      </c>
      <c r="G3505" t="s">
        <v>109</v>
      </c>
      <c r="H3505" s="62">
        <v>2049</v>
      </c>
      <c r="I3505">
        <v>17.064599999999999</v>
      </c>
    </row>
    <row r="3506" spans="1:9">
      <c r="A3506" t="s">
        <v>104</v>
      </c>
      <c r="B3506" t="s">
        <v>105</v>
      </c>
      <c r="C3506" t="s">
        <v>80</v>
      </c>
      <c r="D3506" t="s">
        <v>97</v>
      </c>
      <c r="E3506" t="s">
        <v>99</v>
      </c>
      <c r="F3506" t="s">
        <v>4</v>
      </c>
      <c r="G3506" t="s">
        <v>109</v>
      </c>
      <c r="H3506" s="62">
        <v>2049</v>
      </c>
      <c r="I3506">
        <v>0.23100000000000001</v>
      </c>
    </row>
    <row r="3507" spans="1:9">
      <c r="A3507" t="s">
        <v>104</v>
      </c>
      <c r="B3507" t="s">
        <v>105</v>
      </c>
      <c r="C3507" t="s">
        <v>80</v>
      </c>
      <c r="D3507" t="s">
        <v>100</v>
      </c>
      <c r="E3507" t="s">
        <v>101</v>
      </c>
      <c r="F3507" t="s">
        <v>4</v>
      </c>
      <c r="G3507" t="s">
        <v>109</v>
      </c>
      <c r="H3507" s="62">
        <v>2049</v>
      </c>
      <c r="I3507">
        <v>10.8065</v>
      </c>
    </row>
    <row r="3508" spans="1:9">
      <c r="A3508" t="s">
        <v>104</v>
      </c>
      <c r="B3508" t="s">
        <v>105</v>
      </c>
      <c r="C3508" t="s">
        <v>80</v>
      </c>
      <c r="D3508" t="s">
        <v>100</v>
      </c>
      <c r="E3508" t="s">
        <v>102</v>
      </c>
      <c r="F3508" t="s">
        <v>4</v>
      </c>
      <c r="G3508" t="s">
        <v>109</v>
      </c>
      <c r="H3508" s="62">
        <v>2049</v>
      </c>
      <c r="I3508">
        <v>0</v>
      </c>
    </row>
    <row r="3509" spans="1:9">
      <c r="A3509" t="s">
        <v>104</v>
      </c>
      <c r="B3509" t="s">
        <v>105</v>
      </c>
      <c r="C3509" t="s">
        <v>80</v>
      </c>
      <c r="D3509" t="s">
        <v>100</v>
      </c>
      <c r="E3509" t="s">
        <v>111</v>
      </c>
      <c r="F3509" t="s">
        <v>4</v>
      </c>
      <c r="G3509" t="s">
        <v>109</v>
      </c>
      <c r="H3509" s="62">
        <v>2049</v>
      </c>
      <c r="I3509">
        <v>0</v>
      </c>
    </row>
    <row r="3510" spans="1:9">
      <c r="A3510" t="s">
        <v>104</v>
      </c>
      <c r="B3510" t="s">
        <v>105</v>
      </c>
      <c r="C3510" t="s">
        <v>80</v>
      </c>
      <c r="D3510" t="s">
        <v>100</v>
      </c>
      <c r="E3510" t="s">
        <v>112</v>
      </c>
      <c r="F3510" t="s">
        <v>4</v>
      </c>
      <c r="G3510" t="s">
        <v>109</v>
      </c>
      <c r="H3510" s="62">
        <v>2049</v>
      </c>
      <c r="I3510">
        <v>0</v>
      </c>
    </row>
    <row r="3511" spans="1:9">
      <c r="A3511" t="s">
        <v>104</v>
      </c>
      <c r="B3511" t="s">
        <v>105</v>
      </c>
      <c r="C3511" t="s">
        <v>80</v>
      </c>
      <c r="D3511" t="s">
        <v>83</v>
      </c>
      <c r="E3511" t="s">
        <v>84</v>
      </c>
      <c r="F3511" t="s">
        <v>4</v>
      </c>
      <c r="G3511" t="s">
        <v>109</v>
      </c>
      <c r="H3511" s="62">
        <v>2049</v>
      </c>
      <c r="I3511">
        <v>2.0165000000000002</v>
      </c>
    </row>
    <row r="3512" spans="1:9">
      <c r="A3512" t="s">
        <v>104</v>
      </c>
      <c r="B3512" t="s">
        <v>105</v>
      </c>
      <c r="C3512" t="s">
        <v>80</v>
      </c>
      <c r="D3512" t="s">
        <v>83</v>
      </c>
      <c r="E3512" t="s">
        <v>85</v>
      </c>
      <c r="F3512" t="s">
        <v>4</v>
      </c>
      <c r="G3512" t="s">
        <v>109</v>
      </c>
      <c r="H3512" s="62">
        <v>2049</v>
      </c>
      <c r="I3512">
        <v>1.2406999999999999</v>
      </c>
    </row>
    <row r="3513" spans="1:9">
      <c r="A3513" t="s">
        <v>104</v>
      </c>
      <c r="B3513" t="s">
        <v>105</v>
      </c>
      <c r="C3513" t="s">
        <v>80</v>
      </c>
      <c r="D3513" t="s">
        <v>86</v>
      </c>
      <c r="E3513" t="s">
        <v>106</v>
      </c>
      <c r="F3513" t="s">
        <v>4</v>
      </c>
      <c r="G3513" t="s">
        <v>109</v>
      </c>
      <c r="H3513" s="62">
        <v>2049</v>
      </c>
      <c r="I3513">
        <v>0.95960000000000001</v>
      </c>
    </row>
    <row r="3514" spans="1:9">
      <c r="A3514" t="s">
        <v>104</v>
      </c>
      <c r="B3514" t="s">
        <v>105</v>
      </c>
      <c r="C3514" t="s">
        <v>80</v>
      </c>
      <c r="D3514" t="s">
        <v>86</v>
      </c>
      <c r="E3514" t="s">
        <v>87</v>
      </c>
      <c r="F3514" t="s">
        <v>4</v>
      </c>
      <c r="G3514" t="s">
        <v>109</v>
      </c>
      <c r="H3514" s="62">
        <v>2049</v>
      </c>
      <c r="I3514">
        <v>7.6863000000000001</v>
      </c>
    </row>
    <row r="3515" spans="1:9">
      <c r="A3515" t="s">
        <v>104</v>
      </c>
      <c r="B3515" t="s">
        <v>105</v>
      </c>
      <c r="C3515" t="s">
        <v>80</v>
      </c>
      <c r="D3515" t="s">
        <v>103</v>
      </c>
      <c r="E3515" t="s">
        <v>92</v>
      </c>
      <c r="F3515" t="s">
        <v>4</v>
      </c>
      <c r="G3515" t="s">
        <v>109</v>
      </c>
      <c r="H3515" s="62">
        <v>2049</v>
      </c>
      <c r="I3515">
        <v>5.3811999999999998</v>
      </c>
    </row>
    <row r="3516" spans="1:9">
      <c r="A3516" t="s">
        <v>104</v>
      </c>
      <c r="B3516" t="s">
        <v>105</v>
      </c>
      <c r="C3516" t="s">
        <v>80</v>
      </c>
      <c r="D3516" t="s">
        <v>103</v>
      </c>
      <c r="E3516" t="s">
        <v>89</v>
      </c>
      <c r="F3516" t="s">
        <v>4</v>
      </c>
      <c r="G3516" t="s">
        <v>109</v>
      </c>
      <c r="H3516" s="62">
        <v>2049</v>
      </c>
      <c r="I3516">
        <v>20.909099999999999</v>
      </c>
    </row>
    <row r="3517" spans="1:9">
      <c r="A3517" t="s">
        <v>104</v>
      </c>
      <c r="B3517" t="s">
        <v>105</v>
      </c>
      <c r="C3517" t="s">
        <v>107</v>
      </c>
      <c r="D3517" t="s">
        <v>107</v>
      </c>
      <c r="E3517" t="s">
        <v>107</v>
      </c>
      <c r="F3517" t="s">
        <v>4</v>
      </c>
      <c r="G3517" t="s">
        <v>109</v>
      </c>
      <c r="H3517" s="62">
        <v>2050</v>
      </c>
      <c r="I3517">
        <v>61.179000000000002</v>
      </c>
    </row>
    <row r="3518" spans="1:9">
      <c r="A3518" t="s">
        <v>104</v>
      </c>
      <c r="B3518" t="s">
        <v>105</v>
      </c>
      <c r="C3518" t="s">
        <v>107</v>
      </c>
      <c r="D3518" t="s">
        <v>108</v>
      </c>
      <c r="E3518" t="s">
        <v>108</v>
      </c>
      <c r="F3518" t="s">
        <v>4</v>
      </c>
      <c r="G3518" t="s">
        <v>109</v>
      </c>
      <c r="H3518" s="62">
        <v>2050</v>
      </c>
      <c r="I3518">
        <v>0.1187</v>
      </c>
    </row>
    <row r="3519" spans="1:9">
      <c r="A3519" t="s">
        <v>104</v>
      </c>
      <c r="B3519" t="s">
        <v>105</v>
      </c>
      <c r="C3519" t="s">
        <v>80</v>
      </c>
      <c r="D3519" t="s">
        <v>80</v>
      </c>
      <c r="E3519" t="s">
        <v>80</v>
      </c>
      <c r="F3519" t="s">
        <v>4</v>
      </c>
      <c r="G3519" t="s">
        <v>109</v>
      </c>
      <c r="H3519" s="62">
        <v>2050</v>
      </c>
      <c r="I3519">
        <v>61.060299999999998</v>
      </c>
    </row>
    <row r="3520" spans="1:9">
      <c r="A3520" t="s">
        <v>104</v>
      </c>
      <c r="B3520" t="s">
        <v>105</v>
      </c>
      <c r="C3520" t="s">
        <v>80</v>
      </c>
      <c r="D3520" t="s">
        <v>89</v>
      </c>
      <c r="E3520" t="s">
        <v>90</v>
      </c>
      <c r="F3520" t="s">
        <v>4</v>
      </c>
      <c r="G3520" t="s">
        <v>109</v>
      </c>
      <c r="H3520" s="62">
        <v>2050</v>
      </c>
      <c r="I3520">
        <v>-8.9957999999999991</v>
      </c>
    </row>
    <row r="3521" spans="1:9">
      <c r="A3521" t="s">
        <v>104</v>
      </c>
      <c r="B3521" t="s">
        <v>105</v>
      </c>
      <c r="C3521" t="s">
        <v>80</v>
      </c>
      <c r="D3521" t="s">
        <v>89</v>
      </c>
      <c r="E3521" t="s">
        <v>91</v>
      </c>
      <c r="F3521" t="s">
        <v>4</v>
      </c>
      <c r="G3521" t="s">
        <v>109</v>
      </c>
      <c r="H3521" s="62">
        <v>2050</v>
      </c>
      <c r="I3521">
        <v>3.3258000000000001</v>
      </c>
    </row>
    <row r="3522" spans="1:9">
      <c r="A3522" t="s">
        <v>104</v>
      </c>
      <c r="B3522" t="s">
        <v>105</v>
      </c>
      <c r="C3522" t="s">
        <v>80</v>
      </c>
      <c r="D3522" t="s">
        <v>92</v>
      </c>
      <c r="E3522" t="s">
        <v>93</v>
      </c>
      <c r="F3522" t="s">
        <v>4</v>
      </c>
      <c r="G3522" t="s">
        <v>109</v>
      </c>
      <c r="H3522" s="62">
        <v>2050</v>
      </c>
      <c r="I3522">
        <v>-12.507199999999999</v>
      </c>
    </row>
    <row r="3523" spans="1:9">
      <c r="A3523" t="s">
        <v>104</v>
      </c>
      <c r="B3523" t="s">
        <v>105</v>
      </c>
      <c r="C3523" t="s">
        <v>80</v>
      </c>
      <c r="D3523" t="s">
        <v>92</v>
      </c>
      <c r="E3523" t="s">
        <v>94</v>
      </c>
      <c r="F3523" t="s">
        <v>4</v>
      </c>
      <c r="G3523" t="s">
        <v>109</v>
      </c>
      <c r="H3523" s="62">
        <v>2050</v>
      </c>
      <c r="I3523">
        <v>23.659400000000002</v>
      </c>
    </row>
    <row r="3524" spans="1:9">
      <c r="A3524" t="s">
        <v>104</v>
      </c>
      <c r="B3524" t="s">
        <v>105</v>
      </c>
      <c r="C3524" t="s">
        <v>80</v>
      </c>
      <c r="D3524" t="s">
        <v>92</v>
      </c>
      <c r="E3524" t="s">
        <v>110</v>
      </c>
      <c r="F3524" t="s">
        <v>4</v>
      </c>
      <c r="G3524" t="s">
        <v>109</v>
      </c>
      <c r="H3524" s="62">
        <v>2050</v>
      </c>
      <c r="I3524">
        <v>0</v>
      </c>
    </row>
    <row r="3525" spans="1:9">
      <c r="A3525" t="s">
        <v>104</v>
      </c>
      <c r="B3525" t="s">
        <v>105</v>
      </c>
      <c r="C3525" t="s">
        <v>80</v>
      </c>
      <c r="D3525" t="s">
        <v>92</v>
      </c>
      <c r="E3525" t="s">
        <v>95</v>
      </c>
      <c r="F3525" t="s">
        <v>4</v>
      </c>
      <c r="G3525" t="s">
        <v>109</v>
      </c>
      <c r="H3525" s="62">
        <v>2050</v>
      </c>
      <c r="I3525">
        <v>10.171099999999999</v>
      </c>
    </row>
    <row r="3526" spans="1:9">
      <c r="A3526" t="s">
        <v>104</v>
      </c>
      <c r="B3526" t="s">
        <v>105</v>
      </c>
      <c r="C3526" t="s">
        <v>80</v>
      </c>
      <c r="D3526" t="s">
        <v>96</v>
      </c>
      <c r="E3526" t="s">
        <v>92</v>
      </c>
      <c r="F3526" t="s">
        <v>4</v>
      </c>
      <c r="G3526" t="s">
        <v>109</v>
      </c>
      <c r="H3526" s="62">
        <v>2050</v>
      </c>
      <c r="I3526">
        <v>3.7724000000000002</v>
      </c>
    </row>
    <row r="3527" spans="1:9">
      <c r="A3527" t="s">
        <v>104</v>
      </c>
      <c r="B3527" t="s">
        <v>105</v>
      </c>
      <c r="C3527" t="s">
        <v>80</v>
      </c>
      <c r="D3527" t="s">
        <v>96</v>
      </c>
      <c r="E3527" t="s">
        <v>89</v>
      </c>
      <c r="F3527" t="s">
        <v>4</v>
      </c>
      <c r="G3527" t="s">
        <v>109</v>
      </c>
      <c r="H3527" s="62">
        <v>2050</v>
      </c>
      <c r="I3527">
        <v>8.9672999999999998</v>
      </c>
    </row>
    <row r="3528" spans="1:9">
      <c r="A3528" t="s">
        <v>104</v>
      </c>
      <c r="B3528" t="s">
        <v>105</v>
      </c>
      <c r="C3528" t="s">
        <v>80</v>
      </c>
      <c r="D3528" t="s">
        <v>97</v>
      </c>
      <c r="E3528" t="s">
        <v>98</v>
      </c>
      <c r="F3528" t="s">
        <v>4</v>
      </c>
      <c r="G3528" t="s">
        <v>109</v>
      </c>
      <c r="H3528" s="62">
        <v>2050</v>
      </c>
      <c r="I3528">
        <v>18.032599999999999</v>
      </c>
    </row>
    <row r="3529" spans="1:9">
      <c r="A3529" t="s">
        <v>104</v>
      </c>
      <c r="B3529" t="s">
        <v>105</v>
      </c>
      <c r="C3529" t="s">
        <v>80</v>
      </c>
      <c r="D3529" t="s">
        <v>97</v>
      </c>
      <c r="E3529" t="s">
        <v>99</v>
      </c>
      <c r="F3529" t="s">
        <v>4</v>
      </c>
      <c r="G3529" t="s">
        <v>109</v>
      </c>
      <c r="H3529" s="62">
        <v>2050</v>
      </c>
      <c r="I3529">
        <v>0.25509999999999999</v>
      </c>
    </row>
    <row r="3530" spans="1:9">
      <c r="A3530" t="s">
        <v>104</v>
      </c>
      <c r="B3530" t="s">
        <v>105</v>
      </c>
      <c r="C3530" t="s">
        <v>80</v>
      </c>
      <c r="D3530" t="s">
        <v>100</v>
      </c>
      <c r="E3530" t="s">
        <v>101</v>
      </c>
      <c r="F3530" t="s">
        <v>4</v>
      </c>
      <c r="G3530" t="s">
        <v>109</v>
      </c>
      <c r="H3530" s="62">
        <v>2050</v>
      </c>
      <c r="I3530">
        <v>11.0951</v>
      </c>
    </row>
    <row r="3531" spans="1:9">
      <c r="A3531" t="s">
        <v>104</v>
      </c>
      <c r="B3531" t="s">
        <v>105</v>
      </c>
      <c r="C3531" t="s">
        <v>80</v>
      </c>
      <c r="D3531" t="s">
        <v>100</v>
      </c>
      <c r="E3531" t="s">
        <v>102</v>
      </c>
      <c r="F3531" t="s">
        <v>4</v>
      </c>
      <c r="G3531" t="s">
        <v>109</v>
      </c>
      <c r="H3531" s="62">
        <v>2050</v>
      </c>
      <c r="I3531">
        <v>0</v>
      </c>
    </row>
    <row r="3532" spans="1:9">
      <c r="A3532" t="s">
        <v>104</v>
      </c>
      <c r="B3532" t="s">
        <v>105</v>
      </c>
      <c r="C3532" t="s">
        <v>80</v>
      </c>
      <c r="D3532" t="s">
        <v>100</v>
      </c>
      <c r="E3532" t="s">
        <v>111</v>
      </c>
      <c r="F3532" t="s">
        <v>4</v>
      </c>
      <c r="G3532" t="s">
        <v>109</v>
      </c>
      <c r="H3532" s="62">
        <v>2050</v>
      </c>
      <c r="I3532">
        <v>0</v>
      </c>
    </row>
    <row r="3533" spans="1:9">
      <c r="A3533" t="s">
        <v>104</v>
      </c>
      <c r="B3533" t="s">
        <v>105</v>
      </c>
      <c r="C3533" t="s">
        <v>80</v>
      </c>
      <c r="D3533" t="s">
        <v>100</v>
      </c>
      <c r="E3533" t="s">
        <v>112</v>
      </c>
      <c r="F3533" t="s">
        <v>4</v>
      </c>
      <c r="G3533" t="s">
        <v>109</v>
      </c>
      <c r="H3533" s="62">
        <v>2050</v>
      </c>
      <c r="I3533">
        <v>0</v>
      </c>
    </row>
    <row r="3534" spans="1:9">
      <c r="A3534" t="s">
        <v>104</v>
      </c>
      <c r="B3534" t="s">
        <v>105</v>
      </c>
      <c r="C3534" t="s">
        <v>80</v>
      </c>
      <c r="D3534" t="s">
        <v>83</v>
      </c>
      <c r="E3534" t="s">
        <v>84</v>
      </c>
      <c r="F3534" t="s">
        <v>4</v>
      </c>
      <c r="G3534" t="s">
        <v>109</v>
      </c>
      <c r="H3534" s="62">
        <v>2050</v>
      </c>
      <c r="I3534">
        <v>2.0331999999999999</v>
      </c>
    </row>
    <row r="3535" spans="1:9">
      <c r="A3535" t="s">
        <v>104</v>
      </c>
      <c r="B3535" t="s">
        <v>105</v>
      </c>
      <c r="C3535" t="s">
        <v>80</v>
      </c>
      <c r="D3535" t="s">
        <v>83</v>
      </c>
      <c r="E3535" t="s">
        <v>85</v>
      </c>
      <c r="F3535" t="s">
        <v>4</v>
      </c>
      <c r="G3535" t="s">
        <v>109</v>
      </c>
      <c r="H3535" s="62">
        <v>2050</v>
      </c>
      <c r="I3535">
        <v>1.2513000000000001</v>
      </c>
    </row>
    <row r="3536" spans="1:9">
      <c r="A3536" t="s">
        <v>104</v>
      </c>
      <c r="B3536" t="s">
        <v>105</v>
      </c>
      <c r="C3536" t="s">
        <v>80</v>
      </c>
      <c r="D3536" t="s">
        <v>86</v>
      </c>
      <c r="E3536" t="s">
        <v>106</v>
      </c>
      <c r="F3536" t="s">
        <v>4</v>
      </c>
      <c r="G3536" t="s">
        <v>109</v>
      </c>
      <c r="H3536" s="62">
        <v>2050</v>
      </c>
      <c r="I3536">
        <v>0.97399999999999998</v>
      </c>
    </row>
    <row r="3537" spans="1:9">
      <c r="A3537" t="s">
        <v>104</v>
      </c>
      <c r="B3537" t="s">
        <v>105</v>
      </c>
      <c r="C3537" t="s">
        <v>80</v>
      </c>
      <c r="D3537" t="s">
        <v>86</v>
      </c>
      <c r="E3537" t="s">
        <v>87</v>
      </c>
      <c r="F3537" t="s">
        <v>4</v>
      </c>
      <c r="G3537" t="s">
        <v>109</v>
      </c>
      <c r="H3537" s="62">
        <v>2050</v>
      </c>
      <c r="I3537">
        <v>8.2074999999999996</v>
      </c>
    </row>
    <row r="3538" spans="1:9">
      <c r="A3538" t="s">
        <v>104</v>
      </c>
      <c r="B3538" t="s">
        <v>105</v>
      </c>
      <c r="C3538" t="s">
        <v>80</v>
      </c>
      <c r="D3538" t="s">
        <v>103</v>
      </c>
      <c r="E3538" t="s">
        <v>92</v>
      </c>
      <c r="F3538" t="s">
        <v>4</v>
      </c>
      <c r="G3538" t="s">
        <v>109</v>
      </c>
      <c r="H3538" s="62">
        <v>2050</v>
      </c>
      <c r="I3538">
        <v>5.6186999999999996</v>
      </c>
    </row>
    <row r="3539" spans="1:9">
      <c r="A3539" t="s">
        <v>104</v>
      </c>
      <c r="B3539" t="s">
        <v>105</v>
      </c>
      <c r="C3539" t="s">
        <v>80</v>
      </c>
      <c r="D3539" t="s">
        <v>103</v>
      </c>
      <c r="E3539" t="s">
        <v>89</v>
      </c>
      <c r="F3539" t="s">
        <v>4</v>
      </c>
      <c r="G3539" t="s">
        <v>109</v>
      </c>
      <c r="H3539" s="62">
        <v>2050</v>
      </c>
      <c r="I3539">
        <v>21.672699999999999</v>
      </c>
    </row>
    <row r="3540" spans="1:9">
      <c r="A3540" t="s">
        <v>104</v>
      </c>
      <c r="B3540" t="s">
        <v>105</v>
      </c>
      <c r="C3540" t="s">
        <v>107</v>
      </c>
      <c r="D3540" t="s">
        <v>107</v>
      </c>
      <c r="E3540" t="s">
        <v>107</v>
      </c>
      <c r="F3540" t="s">
        <v>4</v>
      </c>
      <c r="G3540" t="s">
        <v>109</v>
      </c>
      <c r="H3540" s="62">
        <v>2051</v>
      </c>
      <c r="I3540">
        <v>61.214399999999998</v>
      </c>
    </row>
    <row r="3541" spans="1:9">
      <c r="A3541" t="s">
        <v>104</v>
      </c>
      <c r="B3541" t="s">
        <v>105</v>
      </c>
      <c r="C3541" t="s">
        <v>107</v>
      </c>
      <c r="D3541" t="s">
        <v>108</v>
      </c>
      <c r="E3541" t="s">
        <v>108</v>
      </c>
      <c r="F3541" t="s">
        <v>4</v>
      </c>
      <c r="G3541" t="s">
        <v>109</v>
      </c>
      <c r="H3541" s="62">
        <v>2051</v>
      </c>
      <c r="I3541">
        <v>0.1183</v>
      </c>
    </row>
    <row r="3542" spans="1:9">
      <c r="A3542" t="s">
        <v>104</v>
      </c>
      <c r="B3542" t="s">
        <v>105</v>
      </c>
      <c r="C3542" t="s">
        <v>80</v>
      </c>
      <c r="D3542" t="s">
        <v>80</v>
      </c>
      <c r="E3542" t="s">
        <v>80</v>
      </c>
      <c r="F3542" t="s">
        <v>4</v>
      </c>
      <c r="G3542" t="s">
        <v>109</v>
      </c>
      <c r="H3542" s="62">
        <v>2051</v>
      </c>
      <c r="I3542">
        <v>61.095999999999997</v>
      </c>
    </row>
    <row r="3543" spans="1:9">
      <c r="A3543" t="s">
        <v>104</v>
      </c>
      <c r="B3543" t="s">
        <v>105</v>
      </c>
      <c r="C3543" t="s">
        <v>80</v>
      </c>
      <c r="D3543" t="s">
        <v>89</v>
      </c>
      <c r="E3543" t="s">
        <v>90</v>
      </c>
      <c r="F3543" t="s">
        <v>4</v>
      </c>
      <c r="G3543" t="s">
        <v>109</v>
      </c>
      <c r="H3543" s="62">
        <v>2051</v>
      </c>
      <c r="I3543">
        <v>-9.8529999999999998</v>
      </c>
    </row>
    <row r="3544" spans="1:9">
      <c r="A3544" t="s">
        <v>104</v>
      </c>
      <c r="B3544" t="s">
        <v>105</v>
      </c>
      <c r="C3544" t="s">
        <v>80</v>
      </c>
      <c r="D3544" t="s">
        <v>89</v>
      </c>
      <c r="E3544" t="s">
        <v>91</v>
      </c>
      <c r="F3544" t="s">
        <v>4</v>
      </c>
      <c r="G3544" t="s">
        <v>109</v>
      </c>
      <c r="H3544" s="62">
        <v>2051</v>
      </c>
      <c r="I3544">
        <v>3.9599000000000002</v>
      </c>
    </row>
    <row r="3545" spans="1:9">
      <c r="A3545" t="s">
        <v>104</v>
      </c>
      <c r="B3545" t="s">
        <v>105</v>
      </c>
      <c r="C3545" t="s">
        <v>80</v>
      </c>
      <c r="D3545" t="s">
        <v>92</v>
      </c>
      <c r="E3545" t="s">
        <v>93</v>
      </c>
      <c r="F3545" t="s">
        <v>4</v>
      </c>
      <c r="G3545" t="s">
        <v>109</v>
      </c>
      <c r="H3545" s="62">
        <v>2051</v>
      </c>
      <c r="I3545">
        <v>-13.6229</v>
      </c>
    </row>
    <row r="3546" spans="1:9">
      <c r="A3546" t="s">
        <v>104</v>
      </c>
      <c r="B3546" t="s">
        <v>105</v>
      </c>
      <c r="C3546" t="s">
        <v>80</v>
      </c>
      <c r="D3546" t="s">
        <v>92</v>
      </c>
      <c r="E3546" t="s">
        <v>94</v>
      </c>
      <c r="F3546" t="s">
        <v>4</v>
      </c>
      <c r="G3546" t="s">
        <v>109</v>
      </c>
      <c r="H3546" s="62">
        <v>2051</v>
      </c>
      <c r="I3546">
        <v>23.6266</v>
      </c>
    </row>
    <row r="3547" spans="1:9">
      <c r="A3547" t="s">
        <v>104</v>
      </c>
      <c r="B3547" t="s">
        <v>105</v>
      </c>
      <c r="C3547" t="s">
        <v>80</v>
      </c>
      <c r="D3547" t="s">
        <v>92</v>
      </c>
      <c r="E3547" t="s">
        <v>110</v>
      </c>
      <c r="F3547" t="s">
        <v>4</v>
      </c>
      <c r="G3547" t="s">
        <v>109</v>
      </c>
      <c r="H3547" s="62">
        <v>2051</v>
      </c>
      <c r="I3547">
        <v>0</v>
      </c>
    </row>
    <row r="3548" spans="1:9">
      <c r="A3548" t="s">
        <v>104</v>
      </c>
      <c r="B3548" t="s">
        <v>105</v>
      </c>
      <c r="C3548" t="s">
        <v>80</v>
      </c>
      <c r="D3548" t="s">
        <v>92</v>
      </c>
      <c r="E3548" t="s">
        <v>95</v>
      </c>
      <c r="F3548" t="s">
        <v>4</v>
      </c>
      <c r="G3548" t="s">
        <v>109</v>
      </c>
      <c r="H3548" s="62">
        <v>2051</v>
      </c>
      <c r="I3548">
        <v>10.2698</v>
      </c>
    </row>
    <row r="3549" spans="1:9">
      <c r="A3549" t="s">
        <v>104</v>
      </c>
      <c r="B3549" t="s">
        <v>105</v>
      </c>
      <c r="C3549" t="s">
        <v>80</v>
      </c>
      <c r="D3549" t="s">
        <v>96</v>
      </c>
      <c r="E3549" t="s">
        <v>92</v>
      </c>
      <c r="F3549" t="s">
        <v>4</v>
      </c>
      <c r="G3549" t="s">
        <v>109</v>
      </c>
      <c r="H3549" s="62">
        <v>2051</v>
      </c>
      <c r="I3549">
        <v>3.7877000000000001</v>
      </c>
    </row>
    <row r="3550" spans="1:9">
      <c r="A3550" t="s">
        <v>104</v>
      </c>
      <c r="B3550" t="s">
        <v>105</v>
      </c>
      <c r="C3550" t="s">
        <v>80</v>
      </c>
      <c r="D3550" t="s">
        <v>96</v>
      </c>
      <c r="E3550" t="s">
        <v>89</v>
      </c>
      <c r="F3550" t="s">
        <v>4</v>
      </c>
      <c r="G3550" t="s">
        <v>109</v>
      </c>
      <c r="H3550" s="62">
        <v>2051</v>
      </c>
      <c r="I3550">
        <v>9.0691000000000006</v>
      </c>
    </row>
    <row r="3551" spans="1:9">
      <c r="A3551" t="s">
        <v>104</v>
      </c>
      <c r="B3551" t="s">
        <v>105</v>
      </c>
      <c r="C3551" t="s">
        <v>80</v>
      </c>
      <c r="D3551" t="s">
        <v>97</v>
      </c>
      <c r="E3551" t="s">
        <v>98</v>
      </c>
      <c r="F3551" t="s">
        <v>4</v>
      </c>
      <c r="G3551" t="s">
        <v>109</v>
      </c>
      <c r="H3551" s="62">
        <v>2051</v>
      </c>
      <c r="I3551">
        <v>19.001799999999999</v>
      </c>
    </row>
    <row r="3552" spans="1:9">
      <c r="A3552" t="s">
        <v>104</v>
      </c>
      <c r="B3552" t="s">
        <v>105</v>
      </c>
      <c r="C3552" t="s">
        <v>80</v>
      </c>
      <c r="D3552" t="s">
        <v>97</v>
      </c>
      <c r="E3552" t="s">
        <v>99</v>
      </c>
      <c r="F3552" t="s">
        <v>4</v>
      </c>
      <c r="G3552" t="s">
        <v>109</v>
      </c>
      <c r="H3552" s="62">
        <v>2051</v>
      </c>
      <c r="I3552">
        <v>0.26700000000000002</v>
      </c>
    </row>
    <row r="3553" spans="1:9">
      <c r="A3553" t="s">
        <v>104</v>
      </c>
      <c r="B3553" t="s">
        <v>105</v>
      </c>
      <c r="C3553" t="s">
        <v>80</v>
      </c>
      <c r="D3553" t="s">
        <v>100</v>
      </c>
      <c r="E3553" t="s">
        <v>101</v>
      </c>
      <c r="F3553" t="s">
        <v>4</v>
      </c>
      <c r="G3553" t="s">
        <v>109</v>
      </c>
      <c r="H3553" s="62">
        <v>2051</v>
      </c>
      <c r="I3553">
        <v>11.289099999999999</v>
      </c>
    </row>
    <row r="3554" spans="1:9">
      <c r="A3554" t="s">
        <v>104</v>
      </c>
      <c r="B3554" t="s">
        <v>105</v>
      </c>
      <c r="C3554" t="s">
        <v>80</v>
      </c>
      <c r="D3554" t="s">
        <v>100</v>
      </c>
      <c r="E3554" t="s">
        <v>102</v>
      </c>
      <c r="F3554" t="s">
        <v>4</v>
      </c>
      <c r="G3554" t="s">
        <v>109</v>
      </c>
      <c r="H3554" s="62">
        <v>2051</v>
      </c>
      <c r="I3554">
        <v>0</v>
      </c>
    </row>
    <row r="3555" spans="1:9">
      <c r="A3555" t="s">
        <v>104</v>
      </c>
      <c r="B3555" t="s">
        <v>105</v>
      </c>
      <c r="C3555" t="s">
        <v>80</v>
      </c>
      <c r="D3555" t="s">
        <v>100</v>
      </c>
      <c r="E3555" t="s">
        <v>111</v>
      </c>
      <c r="F3555" t="s">
        <v>4</v>
      </c>
      <c r="G3555" t="s">
        <v>109</v>
      </c>
      <c r="H3555" s="62">
        <v>2051</v>
      </c>
      <c r="I3555">
        <v>0</v>
      </c>
    </row>
    <row r="3556" spans="1:9">
      <c r="A3556" t="s">
        <v>104</v>
      </c>
      <c r="B3556" t="s">
        <v>105</v>
      </c>
      <c r="C3556" t="s">
        <v>80</v>
      </c>
      <c r="D3556" t="s">
        <v>100</v>
      </c>
      <c r="E3556" t="s">
        <v>112</v>
      </c>
      <c r="F3556" t="s">
        <v>4</v>
      </c>
      <c r="G3556" t="s">
        <v>109</v>
      </c>
      <c r="H3556" s="62">
        <v>2051</v>
      </c>
      <c r="I3556">
        <v>0</v>
      </c>
    </row>
    <row r="3557" spans="1:9">
      <c r="A3557" t="s">
        <v>104</v>
      </c>
      <c r="B3557" t="s">
        <v>105</v>
      </c>
      <c r="C3557" t="s">
        <v>80</v>
      </c>
      <c r="D3557" t="s">
        <v>83</v>
      </c>
      <c r="E3557" t="s">
        <v>84</v>
      </c>
      <c r="F3557" t="s">
        <v>4</v>
      </c>
      <c r="G3557" t="s">
        <v>109</v>
      </c>
      <c r="H3557" s="62">
        <v>2051</v>
      </c>
      <c r="I3557">
        <v>2.0425</v>
      </c>
    </row>
    <row r="3558" spans="1:9">
      <c r="A3558" t="s">
        <v>104</v>
      </c>
      <c r="B3558" t="s">
        <v>105</v>
      </c>
      <c r="C3558" t="s">
        <v>80</v>
      </c>
      <c r="D3558" t="s">
        <v>83</v>
      </c>
      <c r="E3558" t="s">
        <v>85</v>
      </c>
      <c r="F3558" t="s">
        <v>4</v>
      </c>
      <c r="G3558" t="s">
        <v>109</v>
      </c>
      <c r="H3558" s="62">
        <v>2051</v>
      </c>
      <c r="I3558">
        <v>1.2582</v>
      </c>
    </row>
    <row r="3559" spans="1:9">
      <c r="A3559" t="s">
        <v>104</v>
      </c>
      <c r="B3559" t="s">
        <v>105</v>
      </c>
      <c r="C3559" t="s">
        <v>80</v>
      </c>
      <c r="D3559" t="s">
        <v>86</v>
      </c>
      <c r="E3559" t="s">
        <v>106</v>
      </c>
      <c r="F3559" t="s">
        <v>4</v>
      </c>
      <c r="G3559" t="s">
        <v>109</v>
      </c>
      <c r="H3559" s="62">
        <v>2051</v>
      </c>
      <c r="I3559">
        <v>0.98829999999999996</v>
      </c>
    </row>
    <row r="3560" spans="1:9">
      <c r="A3560" t="s">
        <v>104</v>
      </c>
      <c r="B3560" t="s">
        <v>105</v>
      </c>
      <c r="C3560" t="s">
        <v>80</v>
      </c>
      <c r="D3560" t="s">
        <v>86</v>
      </c>
      <c r="E3560" t="s">
        <v>87</v>
      </c>
      <c r="F3560" t="s">
        <v>4</v>
      </c>
      <c r="G3560" t="s">
        <v>109</v>
      </c>
      <c r="H3560" s="62">
        <v>2051</v>
      </c>
      <c r="I3560">
        <v>8.6746999999999996</v>
      </c>
    </row>
    <row r="3561" spans="1:9">
      <c r="A3561" t="s">
        <v>104</v>
      </c>
      <c r="B3561" t="s">
        <v>105</v>
      </c>
      <c r="C3561" t="s">
        <v>80</v>
      </c>
      <c r="D3561" t="s">
        <v>103</v>
      </c>
      <c r="E3561" t="s">
        <v>92</v>
      </c>
      <c r="F3561" t="s">
        <v>4</v>
      </c>
      <c r="G3561" t="s">
        <v>109</v>
      </c>
      <c r="H3561" s="62">
        <v>2051</v>
      </c>
      <c r="I3561">
        <v>5.8658000000000001</v>
      </c>
    </row>
    <row r="3562" spans="1:9">
      <c r="A3562" t="s">
        <v>104</v>
      </c>
      <c r="B3562" t="s">
        <v>105</v>
      </c>
      <c r="C3562" t="s">
        <v>80</v>
      </c>
      <c r="D3562" t="s">
        <v>103</v>
      </c>
      <c r="E3562" t="s">
        <v>89</v>
      </c>
      <c r="F3562" t="s">
        <v>4</v>
      </c>
      <c r="G3562" t="s">
        <v>109</v>
      </c>
      <c r="H3562" s="62">
        <v>2051</v>
      </c>
      <c r="I3562">
        <v>22.422899999999998</v>
      </c>
    </row>
    <row r="3563" spans="1:9">
      <c r="A3563" t="s">
        <v>104</v>
      </c>
      <c r="B3563" t="s">
        <v>105</v>
      </c>
      <c r="C3563" t="s">
        <v>107</v>
      </c>
      <c r="D3563" t="s">
        <v>107</v>
      </c>
      <c r="E3563" t="s">
        <v>107</v>
      </c>
      <c r="F3563" t="s">
        <v>4</v>
      </c>
      <c r="G3563" t="s">
        <v>109</v>
      </c>
      <c r="H3563" s="62">
        <v>2052</v>
      </c>
      <c r="I3563">
        <v>61.132199999999997</v>
      </c>
    </row>
    <row r="3564" spans="1:9">
      <c r="A3564" t="s">
        <v>104</v>
      </c>
      <c r="B3564" t="s">
        <v>105</v>
      </c>
      <c r="C3564" t="s">
        <v>107</v>
      </c>
      <c r="D3564" t="s">
        <v>108</v>
      </c>
      <c r="E3564" t="s">
        <v>108</v>
      </c>
      <c r="F3564" t="s">
        <v>4</v>
      </c>
      <c r="G3564" t="s">
        <v>109</v>
      </c>
      <c r="H3564" s="62">
        <v>2052</v>
      </c>
      <c r="I3564">
        <v>0.1179</v>
      </c>
    </row>
    <row r="3565" spans="1:9">
      <c r="A3565" t="s">
        <v>104</v>
      </c>
      <c r="B3565" t="s">
        <v>105</v>
      </c>
      <c r="C3565" t="s">
        <v>80</v>
      </c>
      <c r="D3565" t="s">
        <v>80</v>
      </c>
      <c r="E3565" t="s">
        <v>80</v>
      </c>
      <c r="F3565" t="s">
        <v>4</v>
      </c>
      <c r="G3565" t="s">
        <v>109</v>
      </c>
      <c r="H3565" s="62">
        <v>2052</v>
      </c>
      <c r="I3565">
        <v>61.014299999999999</v>
      </c>
    </row>
    <row r="3566" spans="1:9">
      <c r="A3566" t="s">
        <v>104</v>
      </c>
      <c r="B3566" t="s">
        <v>105</v>
      </c>
      <c r="C3566" t="s">
        <v>80</v>
      </c>
      <c r="D3566" t="s">
        <v>89</v>
      </c>
      <c r="E3566" t="s">
        <v>90</v>
      </c>
      <c r="F3566" t="s">
        <v>4</v>
      </c>
      <c r="G3566" t="s">
        <v>109</v>
      </c>
      <c r="H3566" s="62">
        <v>2052</v>
      </c>
      <c r="I3566">
        <v>-10.708299999999999</v>
      </c>
    </row>
    <row r="3567" spans="1:9">
      <c r="A3567" t="s">
        <v>104</v>
      </c>
      <c r="B3567" t="s">
        <v>105</v>
      </c>
      <c r="C3567" t="s">
        <v>80</v>
      </c>
      <c r="D3567" t="s">
        <v>89</v>
      </c>
      <c r="E3567" t="s">
        <v>91</v>
      </c>
      <c r="F3567" t="s">
        <v>4</v>
      </c>
      <c r="G3567" t="s">
        <v>109</v>
      </c>
      <c r="H3567" s="62">
        <v>2052</v>
      </c>
      <c r="I3567">
        <v>4.6547000000000001</v>
      </c>
    </row>
    <row r="3568" spans="1:9">
      <c r="A3568" t="s">
        <v>104</v>
      </c>
      <c r="B3568" t="s">
        <v>105</v>
      </c>
      <c r="C3568" t="s">
        <v>80</v>
      </c>
      <c r="D3568" t="s">
        <v>92</v>
      </c>
      <c r="E3568" t="s">
        <v>93</v>
      </c>
      <c r="F3568" t="s">
        <v>4</v>
      </c>
      <c r="G3568" t="s">
        <v>109</v>
      </c>
      <c r="H3568" s="62">
        <v>2052</v>
      </c>
      <c r="I3568">
        <v>-14.7643</v>
      </c>
    </row>
    <row r="3569" spans="1:9">
      <c r="A3569" t="s">
        <v>104</v>
      </c>
      <c r="B3569" t="s">
        <v>105</v>
      </c>
      <c r="C3569" t="s">
        <v>80</v>
      </c>
      <c r="D3569" t="s">
        <v>92</v>
      </c>
      <c r="E3569" t="s">
        <v>94</v>
      </c>
      <c r="F3569" t="s">
        <v>4</v>
      </c>
      <c r="G3569" t="s">
        <v>109</v>
      </c>
      <c r="H3569" s="62">
        <v>2052</v>
      </c>
      <c r="I3569">
        <v>23.5962</v>
      </c>
    </row>
    <row r="3570" spans="1:9">
      <c r="A3570" t="s">
        <v>104</v>
      </c>
      <c r="B3570" t="s">
        <v>105</v>
      </c>
      <c r="C3570" t="s">
        <v>80</v>
      </c>
      <c r="D3570" t="s">
        <v>92</v>
      </c>
      <c r="E3570" t="s">
        <v>110</v>
      </c>
      <c r="F3570" t="s">
        <v>4</v>
      </c>
      <c r="G3570" t="s">
        <v>109</v>
      </c>
      <c r="H3570" s="62">
        <v>2052</v>
      </c>
      <c r="I3570">
        <v>0</v>
      </c>
    </row>
    <row r="3571" spans="1:9">
      <c r="A3571" t="s">
        <v>104</v>
      </c>
      <c r="B3571" t="s">
        <v>105</v>
      </c>
      <c r="C3571" t="s">
        <v>80</v>
      </c>
      <c r="D3571" t="s">
        <v>92</v>
      </c>
      <c r="E3571" t="s">
        <v>95</v>
      </c>
      <c r="F3571" t="s">
        <v>4</v>
      </c>
      <c r="G3571" t="s">
        <v>109</v>
      </c>
      <c r="H3571" s="62">
        <v>2052</v>
      </c>
      <c r="I3571">
        <v>10.3696</v>
      </c>
    </row>
    <row r="3572" spans="1:9">
      <c r="A3572" t="s">
        <v>104</v>
      </c>
      <c r="B3572" t="s">
        <v>105</v>
      </c>
      <c r="C3572" t="s">
        <v>80</v>
      </c>
      <c r="D3572" t="s">
        <v>96</v>
      </c>
      <c r="E3572" t="s">
        <v>92</v>
      </c>
      <c r="F3572" t="s">
        <v>4</v>
      </c>
      <c r="G3572" t="s">
        <v>109</v>
      </c>
      <c r="H3572" s="62">
        <v>2052</v>
      </c>
      <c r="I3572">
        <v>3.7410000000000001</v>
      </c>
    </row>
    <row r="3573" spans="1:9">
      <c r="A3573" t="s">
        <v>104</v>
      </c>
      <c r="B3573" t="s">
        <v>105</v>
      </c>
      <c r="C3573" t="s">
        <v>80</v>
      </c>
      <c r="D3573" t="s">
        <v>96</v>
      </c>
      <c r="E3573" t="s">
        <v>89</v>
      </c>
      <c r="F3573" t="s">
        <v>4</v>
      </c>
      <c r="G3573" t="s">
        <v>109</v>
      </c>
      <c r="H3573" s="62">
        <v>2052</v>
      </c>
      <c r="I3573">
        <v>9.1079000000000008</v>
      </c>
    </row>
    <row r="3574" spans="1:9">
      <c r="A3574" t="s">
        <v>104</v>
      </c>
      <c r="B3574" t="s">
        <v>105</v>
      </c>
      <c r="C3574" t="s">
        <v>80</v>
      </c>
      <c r="D3574" t="s">
        <v>97</v>
      </c>
      <c r="E3574" t="s">
        <v>98</v>
      </c>
      <c r="F3574" t="s">
        <v>4</v>
      </c>
      <c r="G3574" t="s">
        <v>109</v>
      </c>
      <c r="H3574" s="62">
        <v>2052</v>
      </c>
      <c r="I3574">
        <v>20.038699999999999</v>
      </c>
    </row>
    <row r="3575" spans="1:9">
      <c r="A3575" t="s">
        <v>104</v>
      </c>
      <c r="B3575" t="s">
        <v>105</v>
      </c>
      <c r="C3575" t="s">
        <v>80</v>
      </c>
      <c r="D3575" t="s">
        <v>97</v>
      </c>
      <c r="E3575" t="s">
        <v>99</v>
      </c>
      <c r="F3575" t="s">
        <v>4</v>
      </c>
      <c r="G3575" t="s">
        <v>109</v>
      </c>
      <c r="H3575" s="62">
        <v>2052</v>
      </c>
      <c r="I3575">
        <v>0.27979999999999999</v>
      </c>
    </row>
    <row r="3576" spans="1:9">
      <c r="A3576" t="s">
        <v>104</v>
      </c>
      <c r="B3576" t="s">
        <v>105</v>
      </c>
      <c r="C3576" t="s">
        <v>80</v>
      </c>
      <c r="D3576" t="s">
        <v>100</v>
      </c>
      <c r="E3576" t="s">
        <v>101</v>
      </c>
      <c r="F3576" t="s">
        <v>4</v>
      </c>
      <c r="G3576" t="s">
        <v>109</v>
      </c>
      <c r="H3576" s="62">
        <v>2052</v>
      </c>
      <c r="I3576">
        <v>11.3857</v>
      </c>
    </row>
    <row r="3577" spans="1:9">
      <c r="A3577" t="s">
        <v>104</v>
      </c>
      <c r="B3577" t="s">
        <v>105</v>
      </c>
      <c r="C3577" t="s">
        <v>80</v>
      </c>
      <c r="D3577" t="s">
        <v>100</v>
      </c>
      <c r="E3577" t="s">
        <v>102</v>
      </c>
      <c r="F3577" t="s">
        <v>4</v>
      </c>
      <c r="G3577" t="s">
        <v>109</v>
      </c>
      <c r="H3577" s="62">
        <v>2052</v>
      </c>
      <c r="I3577">
        <v>0</v>
      </c>
    </row>
    <row r="3578" spans="1:9">
      <c r="A3578" t="s">
        <v>104</v>
      </c>
      <c r="B3578" t="s">
        <v>105</v>
      </c>
      <c r="C3578" t="s">
        <v>80</v>
      </c>
      <c r="D3578" t="s">
        <v>100</v>
      </c>
      <c r="E3578" t="s">
        <v>111</v>
      </c>
      <c r="F3578" t="s">
        <v>4</v>
      </c>
      <c r="G3578" t="s">
        <v>109</v>
      </c>
      <c r="H3578" s="62">
        <v>2052</v>
      </c>
      <c r="I3578">
        <v>0</v>
      </c>
    </row>
    <row r="3579" spans="1:9">
      <c r="A3579" t="s">
        <v>104</v>
      </c>
      <c r="B3579" t="s">
        <v>105</v>
      </c>
      <c r="C3579" t="s">
        <v>80</v>
      </c>
      <c r="D3579" t="s">
        <v>100</v>
      </c>
      <c r="E3579" t="s">
        <v>112</v>
      </c>
      <c r="F3579" t="s">
        <v>4</v>
      </c>
      <c r="G3579" t="s">
        <v>109</v>
      </c>
      <c r="H3579" s="62">
        <v>2052</v>
      </c>
      <c r="I3579">
        <v>0</v>
      </c>
    </row>
    <row r="3580" spans="1:9">
      <c r="A3580" t="s">
        <v>104</v>
      </c>
      <c r="B3580" t="s">
        <v>105</v>
      </c>
      <c r="C3580" t="s">
        <v>80</v>
      </c>
      <c r="D3580" t="s">
        <v>83</v>
      </c>
      <c r="E3580" t="s">
        <v>84</v>
      </c>
      <c r="F3580" t="s">
        <v>4</v>
      </c>
      <c r="G3580" t="s">
        <v>109</v>
      </c>
      <c r="H3580" s="62">
        <v>2052</v>
      </c>
      <c r="I3580">
        <v>2.0495000000000001</v>
      </c>
    </row>
    <row r="3581" spans="1:9">
      <c r="A3581" t="s">
        <v>104</v>
      </c>
      <c r="B3581" t="s">
        <v>105</v>
      </c>
      <c r="C3581" t="s">
        <v>80</v>
      </c>
      <c r="D3581" t="s">
        <v>83</v>
      </c>
      <c r="E3581" t="s">
        <v>85</v>
      </c>
      <c r="F3581" t="s">
        <v>4</v>
      </c>
      <c r="G3581" t="s">
        <v>109</v>
      </c>
      <c r="H3581" s="62">
        <v>2052</v>
      </c>
      <c r="I3581">
        <v>1.2639</v>
      </c>
    </row>
    <row r="3582" spans="1:9">
      <c r="A3582" t="s">
        <v>104</v>
      </c>
      <c r="B3582" t="s">
        <v>105</v>
      </c>
      <c r="C3582" t="s">
        <v>80</v>
      </c>
      <c r="D3582" t="s">
        <v>86</v>
      </c>
      <c r="E3582" t="s">
        <v>106</v>
      </c>
      <c r="F3582" t="s">
        <v>4</v>
      </c>
      <c r="G3582" t="s">
        <v>109</v>
      </c>
      <c r="H3582" s="62">
        <v>2052</v>
      </c>
      <c r="I3582">
        <v>1.0055000000000001</v>
      </c>
    </row>
    <row r="3583" spans="1:9">
      <c r="A3583" t="s">
        <v>104</v>
      </c>
      <c r="B3583" t="s">
        <v>105</v>
      </c>
      <c r="C3583" t="s">
        <v>80</v>
      </c>
      <c r="D3583" t="s">
        <v>86</v>
      </c>
      <c r="E3583" t="s">
        <v>87</v>
      </c>
      <c r="F3583" t="s">
        <v>4</v>
      </c>
      <c r="G3583" t="s">
        <v>109</v>
      </c>
      <c r="H3583" s="62">
        <v>2052</v>
      </c>
      <c r="I3583">
        <v>9.1042000000000005</v>
      </c>
    </row>
    <row r="3584" spans="1:9">
      <c r="A3584" t="s">
        <v>104</v>
      </c>
      <c r="B3584" t="s">
        <v>105</v>
      </c>
      <c r="C3584" t="s">
        <v>80</v>
      </c>
      <c r="D3584" t="s">
        <v>103</v>
      </c>
      <c r="E3584" t="s">
        <v>92</v>
      </c>
      <c r="F3584" t="s">
        <v>4</v>
      </c>
      <c r="G3584" t="s">
        <v>109</v>
      </c>
      <c r="H3584" s="62">
        <v>2052</v>
      </c>
      <c r="I3584">
        <v>6.1227</v>
      </c>
    </row>
    <row r="3585" spans="1:9">
      <c r="A3585" t="s">
        <v>104</v>
      </c>
      <c r="B3585" t="s">
        <v>105</v>
      </c>
      <c r="C3585" t="s">
        <v>80</v>
      </c>
      <c r="D3585" t="s">
        <v>103</v>
      </c>
      <c r="E3585" t="s">
        <v>89</v>
      </c>
      <c r="F3585" t="s">
        <v>4</v>
      </c>
      <c r="G3585" t="s">
        <v>109</v>
      </c>
      <c r="H3585" s="62">
        <v>2052</v>
      </c>
      <c r="I3585">
        <v>23.173300000000001</v>
      </c>
    </row>
    <row r="3586" spans="1:9">
      <c r="A3586" t="s">
        <v>104</v>
      </c>
      <c r="B3586" t="s">
        <v>105</v>
      </c>
      <c r="C3586" t="s">
        <v>107</v>
      </c>
      <c r="D3586" t="s">
        <v>107</v>
      </c>
      <c r="E3586" t="s">
        <v>107</v>
      </c>
      <c r="F3586" t="s">
        <v>4</v>
      </c>
      <c r="G3586" t="s">
        <v>109</v>
      </c>
      <c r="H3586" s="62">
        <v>2053</v>
      </c>
      <c r="I3586">
        <v>61.1755</v>
      </c>
    </row>
    <row r="3587" spans="1:9">
      <c r="A3587" t="s">
        <v>104</v>
      </c>
      <c r="B3587" t="s">
        <v>105</v>
      </c>
      <c r="C3587" t="s">
        <v>107</v>
      </c>
      <c r="D3587" t="s">
        <v>108</v>
      </c>
      <c r="E3587" t="s">
        <v>108</v>
      </c>
      <c r="F3587" t="s">
        <v>4</v>
      </c>
      <c r="G3587" t="s">
        <v>109</v>
      </c>
      <c r="H3587" s="62">
        <v>2053</v>
      </c>
      <c r="I3587">
        <v>0.1173</v>
      </c>
    </row>
    <row r="3588" spans="1:9">
      <c r="A3588" t="s">
        <v>104</v>
      </c>
      <c r="B3588" t="s">
        <v>105</v>
      </c>
      <c r="C3588" t="s">
        <v>80</v>
      </c>
      <c r="D3588" t="s">
        <v>80</v>
      </c>
      <c r="E3588" t="s">
        <v>80</v>
      </c>
      <c r="F3588" t="s">
        <v>4</v>
      </c>
      <c r="G3588" t="s">
        <v>109</v>
      </c>
      <c r="H3588" s="62">
        <v>2053</v>
      </c>
      <c r="I3588">
        <v>61.058199999999999</v>
      </c>
    </row>
    <row r="3589" spans="1:9">
      <c r="A3589" t="s">
        <v>104</v>
      </c>
      <c r="B3589" t="s">
        <v>105</v>
      </c>
      <c r="C3589" t="s">
        <v>80</v>
      </c>
      <c r="D3589" t="s">
        <v>89</v>
      </c>
      <c r="E3589" t="s">
        <v>90</v>
      </c>
      <c r="F3589" t="s">
        <v>4</v>
      </c>
      <c r="G3589" t="s">
        <v>109</v>
      </c>
      <c r="H3589" s="62">
        <v>2053</v>
      </c>
      <c r="I3589">
        <v>-11.551600000000001</v>
      </c>
    </row>
    <row r="3590" spans="1:9">
      <c r="A3590" t="s">
        <v>104</v>
      </c>
      <c r="B3590" t="s">
        <v>105</v>
      </c>
      <c r="C3590" t="s">
        <v>80</v>
      </c>
      <c r="D3590" t="s">
        <v>89</v>
      </c>
      <c r="E3590" t="s">
        <v>91</v>
      </c>
      <c r="F3590" t="s">
        <v>4</v>
      </c>
      <c r="G3590" t="s">
        <v>109</v>
      </c>
      <c r="H3590" s="62">
        <v>2053</v>
      </c>
      <c r="I3590">
        <v>5.3853</v>
      </c>
    </row>
    <row r="3591" spans="1:9">
      <c r="A3591" t="s">
        <v>104</v>
      </c>
      <c r="B3591" t="s">
        <v>105</v>
      </c>
      <c r="C3591" t="s">
        <v>80</v>
      </c>
      <c r="D3591" t="s">
        <v>92</v>
      </c>
      <c r="E3591" t="s">
        <v>93</v>
      </c>
      <c r="F3591" t="s">
        <v>4</v>
      </c>
      <c r="G3591" t="s">
        <v>109</v>
      </c>
      <c r="H3591" s="62">
        <v>2053</v>
      </c>
      <c r="I3591">
        <v>-15.8719</v>
      </c>
    </row>
    <row r="3592" spans="1:9">
      <c r="A3592" t="s">
        <v>104</v>
      </c>
      <c r="B3592" t="s">
        <v>105</v>
      </c>
      <c r="C3592" t="s">
        <v>80</v>
      </c>
      <c r="D3592" t="s">
        <v>92</v>
      </c>
      <c r="E3592" t="s">
        <v>94</v>
      </c>
      <c r="F3592" t="s">
        <v>4</v>
      </c>
      <c r="G3592" t="s">
        <v>109</v>
      </c>
      <c r="H3592" s="62">
        <v>2053</v>
      </c>
      <c r="I3592">
        <v>23.573899999999998</v>
      </c>
    </row>
    <row r="3593" spans="1:9">
      <c r="A3593" t="s">
        <v>104</v>
      </c>
      <c r="B3593" t="s">
        <v>105</v>
      </c>
      <c r="C3593" t="s">
        <v>80</v>
      </c>
      <c r="D3593" t="s">
        <v>92</v>
      </c>
      <c r="E3593" t="s">
        <v>110</v>
      </c>
      <c r="F3593" t="s">
        <v>4</v>
      </c>
      <c r="G3593" t="s">
        <v>109</v>
      </c>
      <c r="H3593" s="62">
        <v>2053</v>
      </c>
      <c r="I3593">
        <v>0</v>
      </c>
    </row>
    <row r="3594" spans="1:9">
      <c r="A3594" t="s">
        <v>104</v>
      </c>
      <c r="B3594" t="s">
        <v>105</v>
      </c>
      <c r="C3594" t="s">
        <v>80</v>
      </c>
      <c r="D3594" t="s">
        <v>92</v>
      </c>
      <c r="E3594" t="s">
        <v>95</v>
      </c>
      <c r="F3594" t="s">
        <v>4</v>
      </c>
      <c r="G3594" t="s">
        <v>109</v>
      </c>
      <c r="H3594" s="62">
        <v>2053</v>
      </c>
      <c r="I3594">
        <v>10.4719</v>
      </c>
    </row>
    <row r="3595" spans="1:9">
      <c r="A3595" t="s">
        <v>104</v>
      </c>
      <c r="B3595" t="s">
        <v>105</v>
      </c>
      <c r="C3595" t="s">
        <v>80</v>
      </c>
      <c r="D3595" t="s">
        <v>96</v>
      </c>
      <c r="E3595" t="s">
        <v>92</v>
      </c>
      <c r="F3595" t="s">
        <v>4</v>
      </c>
      <c r="G3595" t="s">
        <v>109</v>
      </c>
      <c r="H3595" s="62">
        <v>2053</v>
      </c>
      <c r="I3595">
        <v>3.6758999999999999</v>
      </c>
    </row>
    <row r="3596" spans="1:9">
      <c r="A3596" t="s">
        <v>104</v>
      </c>
      <c r="B3596" t="s">
        <v>105</v>
      </c>
      <c r="C3596" t="s">
        <v>80</v>
      </c>
      <c r="D3596" t="s">
        <v>96</v>
      </c>
      <c r="E3596" t="s">
        <v>89</v>
      </c>
      <c r="F3596" t="s">
        <v>4</v>
      </c>
      <c r="G3596" t="s">
        <v>109</v>
      </c>
      <c r="H3596" s="62">
        <v>2053</v>
      </c>
      <c r="I3596">
        <v>9.1320999999999994</v>
      </c>
    </row>
    <row r="3597" spans="1:9">
      <c r="A3597" t="s">
        <v>104</v>
      </c>
      <c r="B3597" t="s">
        <v>105</v>
      </c>
      <c r="C3597" t="s">
        <v>80</v>
      </c>
      <c r="D3597" t="s">
        <v>97</v>
      </c>
      <c r="E3597" t="s">
        <v>98</v>
      </c>
      <c r="F3597" t="s">
        <v>4</v>
      </c>
      <c r="G3597" t="s">
        <v>109</v>
      </c>
      <c r="H3597" s="62">
        <v>2053</v>
      </c>
      <c r="I3597">
        <v>20.943000000000001</v>
      </c>
    </row>
    <row r="3598" spans="1:9">
      <c r="A3598" t="s">
        <v>104</v>
      </c>
      <c r="B3598" t="s">
        <v>105</v>
      </c>
      <c r="C3598" t="s">
        <v>80</v>
      </c>
      <c r="D3598" t="s">
        <v>97</v>
      </c>
      <c r="E3598" t="s">
        <v>99</v>
      </c>
      <c r="F3598" t="s">
        <v>4</v>
      </c>
      <c r="G3598" t="s">
        <v>109</v>
      </c>
      <c r="H3598" s="62">
        <v>2053</v>
      </c>
      <c r="I3598">
        <v>0.29089999999999999</v>
      </c>
    </row>
    <row r="3599" spans="1:9">
      <c r="A3599" t="s">
        <v>104</v>
      </c>
      <c r="B3599" t="s">
        <v>105</v>
      </c>
      <c r="C3599" t="s">
        <v>80</v>
      </c>
      <c r="D3599" t="s">
        <v>100</v>
      </c>
      <c r="E3599" t="s">
        <v>101</v>
      </c>
      <c r="F3599" t="s">
        <v>4</v>
      </c>
      <c r="G3599" t="s">
        <v>109</v>
      </c>
      <c r="H3599" s="62">
        <v>2053</v>
      </c>
      <c r="I3599">
        <v>11.692500000000001</v>
      </c>
    </row>
    <row r="3600" spans="1:9">
      <c r="A3600" t="s">
        <v>104</v>
      </c>
      <c r="B3600" t="s">
        <v>105</v>
      </c>
      <c r="C3600" t="s">
        <v>80</v>
      </c>
      <c r="D3600" t="s">
        <v>100</v>
      </c>
      <c r="E3600" t="s">
        <v>102</v>
      </c>
      <c r="F3600" t="s">
        <v>4</v>
      </c>
      <c r="G3600" t="s">
        <v>109</v>
      </c>
      <c r="H3600" s="62">
        <v>2053</v>
      </c>
      <c r="I3600">
        <v>0</v>
      </c>
    </row>
    <row r="3601" spans="1:9">
      <c r="A3601" t="s">
        <v>104</v>
      </c>
      <c r="B3601" t="s">
        <v>105</v>
      </c>
      <c r="C3601" t="s">
        <v>80</v>
      </c>
      <c r="D3601" t="s">
        <v>100</v>
      </c>
      <c r="E3601" t="s">
        <v>111</v>
      </c>
      <c r="F3601" t="s">
        <v>4</v>
      </c>
      <c r="G3601" t="s">
        <v>109</v>
      </c>
      <c r="H3601" s="62">
        <v>2053</v>
      </c>
      <c r="I3601">
        <v>0</v>
      </c>
    </row>
    <row r="3602" spans="1:9">
      <c r="A3602" t="s">
        <v>104</v>
      </c>
      <c r="B3602" t="s">
        <v>105</v>
      </c>
      <c r="C3602" t="s">
        <v>80</v>
      </c>
      <c r="D3602" t="s">
        <v>100</v>
      </c>
      <c r="E3602" t="s">
        <v>112</v>
      </c>
      <c r="F3602" t="s">
        <v>4</v>
      </c>
      <c r="G3602" t="s">
        <v>109</v>
      </c>
      <c r="H3602" s="62">
        <v>2053</v>
      </c>
      <c r="I3602">
        <v>0</v>
      </c>
    </row>
    <row r="3603" spans="1:9">
      <c r="A3603" t="s">
        <v>104</v>
      </c>
      <c r="B3603" t="s">
        <v>105</v>
      </c>
      <c r="C3603" t="s">
        <v>80</v>
      </c>
      <c r="D3603" t="s">
        <v>83</v>
      </c>
      <c r="E3603" t="s">
        <v>84</v>
      </c>
      <c r="F3603" t="s">
        <v>4</v>
      </c>
      <c r="G3603" t="s">
        <v>109</v>
      </c>
      <c r="H3603" s="62">
        <v>2053</v>
      </c>
      <c r="I3603">
        <v>2.0499000000000001</v>
      </c>
    </row>
    <row r="3604" spans="1:9">
      <c r="A3604" t="s">
        <v>104</v>
      </c>
      <c r="B3604" t="s">
        <v>105</v>
      </c>
      <c r="C3604" t="s">
        <v>80</v>
      </c>
      <c r="D3604" t="s">
        <v>83</v>
      </c>
      <c r="E3604" t="s">
        <v>85</v>
      </c>
      <c r="F3604" t="s">
        <v>4</v>
      </c>
      <c r="G3604" t="s">
        <v>109</v>
      </c>
      <c r="H3604" s="62">
        <v>2053</v>
      </c>
      <c r="I3604">
        <v>1.2664</v>
      </c>
    </row>
    <row r="3605" spans="1:9">
      <c r="A3605" t="s">
        <v>104</v>
      </c>
      <c r="B3605" t="s">
        <v>105</v>
      </c>
      <c r="C3605" t="s">
        <v>80</v>
      </c>
      <c r="D3605" t="s">
        <v>86</v>
      </c>
      <c r="E3605" t="s">
        <v>106</v>
      </c>
      <c r="F3605" t="s">
        <v>4</v>
      </c>
      <c r="G3605" t="s">
        <v>109</v>
      </c>
      <c r="H3605" s="62">
        <v>2053</v>
      </c>
      <c r="I3605">
        <v>1.0170999999999999</v>
      </c>
    </row>
    <row r="3606" spans="1:9">
      <c r="A3606" t="s">
        <v>104</v>
      </c>
      <c r="B3606" t="s">
        <v>105</v>
      </c>
      <c r="C3606" t="s">
        <v>80</v>
      </c>
      <c r="D3606" t="s">
        <v>86</v>
      </c>
      <c r="E3606" t="s">
        <v>87</v>
      </c>
      <c r="F3606" t="s">
        <v>4</v>
      </c>
      <c r="G3606" t="s">
        <v>109</v>
      </c>
      <c r="H3606" s="62">
        <v>2053</v>
      </c>
      <c r="I3606">
        <v>9.4695</v>
      </c>
    </row>
    <row r="3607" spans="1:9">
      <c r="A3607" t="s">
        <v>104</v>
      </c>
      <c r="B3607" t="s">
        <v>105</v>
      </c>
      <c r="C3607" t="s">
        <v>80</v>
      </c>
      <c r="D3607" t="s">
        <v>103</v>
      </c>
      <c r="E3607" t="s">
        <v>92</v>
      </c>
      <c r="F3607" t="s">
        <v>4</v>
      </c>
      <c r="G3607" t="s">
        <v>109</v>
      </c>
      <c r="H3607" s="62">
        <v>2053</v>
      </c>
      <c r="I3607">
        <v>6.3773</v>
      </c>
    </row>
    <row r="3608" spans="1:9">
      <c r="A3608" t="s">
        <v>104</v>
      </c>
      <c r="B3608" t="s">
        <v>105</v>
      </c>
      <c r="C3608" t="s">
        <v>80</v>
      </c>
      <c r="D3608" t="s">
        <v>103</v>
      </c>
      <c r="E3608" t="s">
        <v>89</v>
      </c>
      <c r="F3608" t="s">
        <v>4</v>
      </c>
      <c r="G3608" t="s">
        <v>109</v>
      </c>
      <c r="H3608" s="62">
        <v>2053</v>
      </c>
      <c r="I3608">
        <v>23.907</v>
      </c>
    </row>
    <row r="3609" spans="1:9">
      <c r="A3609" t="s">
        <v>104</v>
      </c>
      <c r="B3609" t="s">
        <v>105</v>
      </c>
      <c r="C3609" t="s">
        <v>107</v>
      </c>
      <c r="D3609" t="s">
        <v>107</v>
      </c>
      <c r="E3609" t="s">
        <v>107</v>
      </c>
      <c r="F3609" t="s">
        <v>4</v>
      </c>
      <c r="G3609" t="s">
        <v>109</v>
      </c>
      <c r="H3609" s="62">
        <v>2054</v>
      </c>
      <c r="I3609">
        <v>60.998399999999997</v>
      </c>
    </row>
    <row r="3610" spans="1:9">
      <c r="A3610" t="s">
        <v>104</v>
      </c>
      <c r="B3610" t="s">
        <v>105</v>
      </c>
      <c r="C3610" t="s">
        <v>107</v>
      </c>
      <c r="D3610" t="s">
        <v>108</v>
      </c>
      <c r="E3610" t="s">
        <v>108</v>
      </c>
      <c r="F3610" t="s">
        <v>4</v>
      </c>
      <c r="G3610" t="s">
        <v>109</v>
      </c>
      <c r="H3610" s="62">
        <v>2054</v>
      </c>
      <c r="I3610">
        <v>0.1169</v>
      </c>
    </row>
    <row r="3611" spans="1:9">
      <c r="A3611" t="s">
        <v>104</v>
      </c>
      <c r="B3611" t="s">
        <v>105</v>
      </c>
      <c r="C3611" t="s">
        <v>80</v>
      </c>
      <c r="D3611" t="s">
        <v>80</v>
      </c>
      <c r="E3611" t="s">
        <v>80</v>
      </c>
      <c r="F3611" t="s">
        <v>4</v>
      </c>
      <c r="G3611" t="s">
        <v>109</v>
      </c>
      <c r="H3611" s="62">
        <v>2054</v>
      </c>
      <c r="I3611">
        <v>60.881500000000003</v>
      </c>
    </row>
    <row r="3612" spans="1:9">
      <c r="A3612" t="s">
        <v>104</v>
      </c>
      <c r="B3612" t="s">
        <v>105</v>
      </c>
      <c r="C3612" t="s">
        <v>80</v>
      </c>
      <c r="D3612" t="s">
        <v>89</v>
      </c>
      <c r="E3612" t="s">
        <v>90</v>
      </c>
      <c r="F3612" t="s">
        <v>4</v>
      </c>
      <c r="G3612" t="s">
        <v>109</v>
      </c>
      <c r="H3612" s="62">
        <v>2054</v>
      </c>
      <c r="I3612">
        <v>-12.340999999999999</v>
      </c>
    </row>
    <row r="3613" spans="1:9">
      <c r="A3613" t="s">
        <v>104</v>
      </c>
      <c r="B3613" t="s">
        <v>105</v>
      </c>
      <c r="C3613" t="s">
        <v>80</v>
      </c>
      <c r="D3613" t="s">
        <v>89</v>
      </c>
      <c r="E3613" t="s">
        <v>91</v>
      </c>
      <c r="F3613" t="s">
        <v>4</v>
      </c>
      <c r="G3613" t="s">
        <v>109</v>
      </c>
      <c r="H3613" s="62">
        <v>2054</v>
      </c>
      <c r="I3613">
        <v>6.1704999999999997</v>
      </c>
    </row>
    <row r="3614" spans="1:9">
      <c r="A3614" t="s">
        <v>104</v>
      </c>
      <c r="B3614" t="s">
        <v>105</v>
      </c>
      <c r="C3614" t="s">
        <v>80</v>
      </c>
      <c r="D3614" t="s">
        <v>92</v>
      </c>
      <c r="E3614" t="s">
        <v>93</v>
      </c>
      <c r="F3614" t="s">
        <v>4</v>
      </c>
      <c r="G3614" t="s">
        <v>109</v>
      </c>
      <c r="H3614" s="62">
        <v>2054</v>
      </c>
      <c r="I3614">
        <v>-17.071100000000001</v>
      </c>
    </row>
    <row r="3615" spans="1:9">
      <c r="A3615" t="s">
        <v>104</v>
      </c>
      <c r="B3615" t="s">
        <v>105</v>
      </c>
      <c r="C3615" t="s">
        <v>80</v>
      </c>
      <c r="D3615" t="s">
        <v>92</v>
      </c>
      <c r="E3615" t="s">
        <v>94</v>
      </c>
      <c r="F3615" t="s">
        <v>4</v>
      </c>
      <c r="G3615" t="s">
        <v>109</v>
      </c>
      <c r="H3615" s="62">
        <v>2054</v>
      </c>
      <c r="I3615">
        <v>23.566299999999998</v>
      </c>
    </row>
    <row r="3616" spans="1:9">
      <c r="A3616" t="s">
        <v>104</v>
      </c>
      <c r="B3616" t="s">
        <v>105</v>
      </c>
      <c r="C3616" t="s">
        <v>80</v>
      </c>
      <c r="D3616" t="s">
        <v>92</v>
      </c>
      <c r="E3616" t="s">
        <v>110</v>
      </c>
      <c r="F3616" t="s">
        <v>4</v>
      </c>
      <c r="G3616" t="s">
        <v>109</v>
      </c>
      <c r="H3616" s="62">
        <v>2054</v>
      </c>
      <c r="I3616">
        <v>0</v>
      </c>
    </row>
    <row r="3617" spans="1:9">
      <c r="A3617" t="s">
        <v>104</v>
      </c>
      <c r="B3617" t="s">
        <v>105</v>
      </c>
      <c r="C3617" t="s">
        <v>80</v>
      </c>
      <c r="D3617" t="s">
        <v>92</v>
      </c>
      <c r="E3617" t="s">
        <v>95</v>
      </c>
      <c r="F3617" t="s">
        <v>4</v>
      </c>
      <c r="G3617" t="s">
        <v>109</v>
      </c>
      <c r="H3617" s="62">
        <v>2054</v>
      </c>
      <c r="I3617">
        <v>10.5761</v>
      </c>
    </row>
    <row r="3618" spans="1:9">
      <c r="A3618" t="s">
        <v>104</v>
      </c>
      <c r="B3618" t="s">
        <v>105</v>
      </c>
      <c r="C3618" t="s">
        <v>80</v>
      </c>
      <c r="D3618" t="s">
        <v>96</v>
      </c>
      <c r="E3618" t="s">
        <v>92</v>
      </c>
      <c r="F3618" t="s">
        <v>4</v>
      </c>
      <c r="G3618" t="s">
        <v>109</v>
      </c>
      <c r="H3618" s="62">
        <v>2054</v>
      </c>
      <c r="I3618">
        <v>3.6055999999999999</v>
      </c>
    </row>
    <row r="3619" spans="1:9">
      <c r="A3619" t="s">
        <v>104</v>
      </c>
      <c r="B3619" t="s">
        <v>105</v>
      </c>
      <c r="C3619" t="s">
        <v>80</v>
      </c>
      <c r="D3619" t="s">
        <v>96</v>
      </c>
      <c r="E3619" t="s">
        <v>89</v>
      </c>
      <c r="F3619" t="s">
        <v>4</v>
      </c>
      <c r="G3619" t="s">
        <v>109</v>
      </c>
      <c r="H3619" s="62">
        <v>2054</v>
      </c>
      <c r="I3619">
        <v>9.1392000000000007</v>
      </c>
    </row>
    <row r="3620" spans="1:9">
      <c r="A3620" t="s">
        <v>104</v>
      </c>
      <c r="B3620" t="s">
        <v>105</v>
      </c>
      <c r="C3620" t="s">
        <v>80</v>
      </c>
      <c r="D3620" t="s">
        <v>97</v>
      </c>
      <c r="E3620" t="s">
        <v>98</v>
      </c>
      <c r="F3620" t="s">
        <v>4</v>
      </c>
      <c r="G3620" t="s">
        <v>109</v>
      </c>
      <c r="H3620" s="62">
        <v>2054</v>
      </c>
      <c r="I3620">
        <v>21.913699999999999</v>
      </c>
    </row>
    <row r="3621" spans="1:9">
      <c r="A3621" t="s">
        <v>104</v>
      </c>
      <c r="B3621" t="s">
        <v>105</v>
      </c>
      <c r="C3621" t="s">
        <v>80</v>
      </c>
      <c r="D3621" t="s">
        <v>97</v>
      </c>
      <c r="E3621" t="s">
        <v>99</v>
      </c>
      <c r="F3621" t="s">
        <v>4</v>
      </c>
      <c r="G3621" t="s">
        <v>109</v>
      </c>
      <c r="H3621" s="62">
        <v>2054</v>
      </c>
      <c r="I3621">
        <v>0.3029</v>
      </c>
    </row>
    <row r="3622" spans="1:9">
      <c r="A3622" t="s">
        <v>104</v>
      </c>
      <c r="B3622" t="s">
        <v>105</v>
      </c>
      <c r="C3622" t="s">
        <v>80</v>
      </c>
      <c r="D3622" t="s">
        <v>100</v>
      </c>
      <c r="E3622" t="s">
        <v>101</v>
      </c>
      <c r="F3622" t="s">
        <v>4</v>
      </c>
      <c r="G3622" t="s">
        <v>109</v>
      </c>
      <c r="H3622" s="62">
        <v>2054</v>
      </c>
      <c r="I3622">
        <v>11.692500000000001</v>
      </c>
    </row>
    <row r="3623" spans="1:9">
      <c r="A3623" t="s">
        <v>104</v>
      </c>
      <c r="B3623" t="s">
        <v>105</v>
      </c>
      <c r="C3623" t="s">
        <v>80</v>
      </c>
      <c r="D3623" t="s">
        <v>100</v>
      </c>
      <c r="E3623" t="s">
        <v>102</v>
      </c>
      <c r="F3623" t="s">
        <v>4</v>
      </c>
      <c r="G3623" t="s">
        <v>109</v>
      </c>
      <c r="H3623" s="62">
        <v>2054</v>
      </c>
      <c r="I3623">
        <v>0</v>
      </c>
    </row>
    <row r="3624" spans="1:9">
      <c r="A3624" t="s">
        <v>104</v>
      </c>
      <c r="B3624" t="s">
        <v>105</v>
      </c>
      <c r="C3624" t="s">
        <v>80</v>
      </c>
      <c r="D3624" t="s">
        <v>100</v>
      </c>
      <c r="E3624" t="s">
        <v>111</v>
      </c>
      <c r="F3624" t="s">
        <v>4</v>
      </c>
      <c r="G3624" t="s">
        <v>109</v>
      </c>
      <c r="H3624" s="62">
        <v>2054</v>
      </c>
      <c r="I3624">
        <v>0</v>
      </c>
    </row>
    <row r="3625" spans="1:9">
      <c r="A3625" t="s">
        <v>104</v>
      </c>
      <c r="B3625" t="s">
        <v>105</v>
      </c>
      <c r="C3625" t="s">
        <v>80</v>
      </c>
      <c r="D3625" t="s">
        <v>100</v>
      </c>
      <c r="E3625" t="s">
        <v>112</v>
      </c>
      <c r="F3625" t="s">
        <v>4</v>
      </c>
      <c r="G3625" t="s">
        <v>109</v>
      </c>
      <c r="H3625" s="62">
        <v>2054</v>
      </c>
      <c r="I3625">
        <v>0</v>
      </c>
    </row>
    <row r="3626" spans="1:9">
      <c r="A3626" t="s">
        <v>104</v>
      </c>
      <c r="B3626" t="s">
        <v>105</v>
      </c>
      <c r="C3626" t="s">
        <v>80</v>
      </c>
      <c r="D3626" t="s">
        <v>83</v>
      </c>
      <c r="E3626" t="s">
        <v>84</v>
      </c>
      <c r="F3626" t="s">
        <v>4</v>
      </c>
      <c r="G3626" t="s">
        <v>109</v>
      </c>
      <c r="H3626" s="62">
        <v>2054</v>
      </c>
      <c r="I3626">
        <v>2.0552999999999999</v>
      </c>
    </row>
    <row r="3627" spans="1:9">
      <c r="A3627" t="s">
        <v>104</v>
      </c>
      <c r="B3627" t="s">
        <v>105</v>
      </c>
      <c r="C3627" t="s">
        <v>80</v>
      </c>
      <c r="D3627" t="s">
        <v>83</v>
      </c>
      <c r="E3627" t="s">
        <v>85</v>
      </c>
      <c r="F3627" t="s">
        <v>4</v>
      </c>
      <c r="G3627" t="s">
        <v>109</v>
      </c>
      <c r="H3627" s="62">
        <v>2054</v>
      </c>
      <c r="I3627">
        <v>1.2715000000000001</v>
      </c>
    </row>
    <row r="3628" spans="1:9">
      <c r="A3628" t="s">
        <v>104</v>
      </c>
      <c r="B3628" t="s">
        <v>105</v>
      </c>
      <c r="C3628" t="s">
        <v>80</v>
      </c>
      <c r="D3628" t="s">
        <v>86</v>
      </c>
      <c r="E3628" t="s">
        <v>106</v>
      </c>
      <c r="F3628" t="s">
        <v>4</v>
      </c>
      <c r="G3628" t="s">
        <v>109</v>
      </c>
      <c r="H3628" s="62">
        <v>2054</v>
      </c>
      <c r="I3628">
        <v>1.0315000000000001</v>
      </c>
    </row>
    <row r="3629" spans="1:9">
      <c r="A3629" t="s">
        <v>104</v>
      </c>
      <c r="B3629" t="s">
        <v>105</v>
      </c>
      <c r="C3629" t="s">
        <v>80</v>
      </c>
      <c r="D3629" t="s">
        <v>86</v>
      </c>
      <c r="E3629" t="s">
        <v>87</v>
      </c>
      <c r="F3629" t="s">
        <v>4</v>
      </c>
      <c r="G3629" t="s">
        <v>109</v>
      </c>
      <c r="H3629" s="62">
        <v>2054</v>
      </c>
      <c r="I3629">
        <v>9.8690999999999995</v>
      </c>
    </row>
    <row r="3630" spans="1:9">
      <c r="A3630" t="s">
        <v>104</v>
      </c>
      <c r="B3630" t="s">
        <v>105</v>
      </c>
      <c r="C3630" t="s">
        <v>80</v>
      </c>
      <c r="D3630" t="s">
        <v>103</v>
      </c>
      <c r="E3630" t="s">
        <v>92</v>
      </c>
      <c r="F3630" t="s">
        <v>4</v>
      </c>
      <c r="G3630" t="s">
        <v>109</v>
      </c>
      <c r="H3630" s="62">
        <v>2054</v>
      </c>
      <c r="I3630">
        <v>6.6166999999999998</v>
      </c>
    </row>
    <row r="3631" spans="1:9">
      <c r="A3631" t="s">
        <v>104</v>
      </c>
      <c r="B3631" t="s">
        <v>105</v>
      </c>
      <c r="C3631" t="s">
        <v>80</v>
      </c>
      <c r="D3631" t="s">
        <v>103</v>
      </c>
      <c r="E3631" t="s">
        <v>89</v>
      </c>
      <c r="F3631" t="s">
        <v>4</v>
      </c>
      <c r="G3631" t="s">
        <v>109</v>
      </c>
      <c r="H3631" s="62">
        <v>2054</v>
      </c>
      <c r="I3631">
        <v>24.577200000000001</v>
      </c>
    </row>
    <row r="3632" spans="1:9">
      <c r="A3632" t="s">
        <v>104</v>
      </c>
      <c r="B3632" t="s">
        <v>105</v>
      </c>
      <c r="C3632" t="s">
        <v>107</v>
      </c>
      <c r="D3632" t="s">
        <v>108</v>
      </c>
      <c r="E3632" t="s">
        <v>108</v>
      </c>
      <c r="F3632" t="s">
        <v>7</v>
      </c>
      <c r="G3632" t="s">
        <v>82</v>
      </c>
      <c r="H3632" s="62">
        <v>2019</v>
      </c>
      <c r="I3632">
        <v>9.3414999999999999</v>
      </c>
    </row>
    <row r="3633" spans="1:9">
      <c r="A3633" t="s">
        <v>104</v>
      </c>
      <c r="B3633" t="s">
        <v>105</v>
      </c>
      <c r="C3633" t="s">
        <v>80</v>
      </c>
      <c r="D3633" t="s">
        <v>80</v>
      </c>
      <c r="E3633" t="s">
        <v>80</v>
      </c>
      <c r="F3633" t="s">
        <v>7</v>
      </c>
      <c r="G3633" t="s">
        <v>82</v>
      </c>
      <c r="H3633" s="62">
        <v>2019</v>
      </c>
      <c r="I3633">
        <v>184.12690000000001</v>
      </c>
    </row>
    <row r="3634" spans="1:9">
      <c r="A3634" t="s">
        <v>104</v>
      </c>
      <c r="B3634" t="s">
        <v>105</v>
      </c>
      <c r="C3634" t="s">
        <v>80</v>
      </c>
      <c r="D3634" t="s">
        <v>83</v>
      </c>
      <c r="E3634" t="s">
        <v>84</v>
      </c>
      <c r="F3634" t="s">
        <v>7</v>
      </c>
      <c r="G3634" t="s">
        <v>82</v>
      </c>
      <c r="H3634" s="62">
        <v>2019</v>
      </c>
      <c r="I3634">
        <v>6.6463000000000001</v>
      </c>
    </row>
    <row r="3635" spans="1:9">
      <c r="A3635" t="s">
        <v>104</v>
      </c>
      <c r="B3635" t="s">
        <v>105</v>
      </c>
      <c r="C3635" t="s">
        <v>80</v>
      </c>
      <c r="D3635" t="s">
        <v>83</v>
      </c>
      <c r="E3635" t="s">
        <v>85</v>
      </c>
      <c r="F3635" t="s">
        <v>7</v>
      </c>
      <c r="G3635" t="s">
        <v>82</v>
      </c>
      <c r="H3635" s="62">
        <v>2019</v>
      </c>
      <c r="I3635">
        <v>4.3455000000000004</v>
      </c>
    </row>
    <row r="3636" spans="1:9">
      <c r="A3636" t="s">
        <v>104</v>
      </c>
      <c r="B3636" t="s">
        <v>105</v>
      </c>
      <c r="C3636" t="s">
        <v>80</v>
      </c>
      <c r="D3636" t="s">
        <v>86</v>
      </c>
      <c r="E3636" t="s">
        <v>106</v>
      </c>
      <c r="F3636" t="s">
        <v>7</v>
      </c>
      <c r="G3636" t="s">
        <v>82</v>
      </c>
      <c r="H3636" s="62">
        <v>2019</v>
      </c>
      <c r="I3636">
        <v>5.1085000000000003</v>
      </c>
    </row>
    <row r="3637" spans="1:9">
      <c r="A3637" t="s">
        <v>104</v>
      </c>
      <c r="B3637" t="s">
        <v>105</v>
      </c>
      <c r="C3637" t="s">
        <v>80</v>
      </c>
      <c r="D3637" t="s">
        <v>86</v>
      </c>
      <c r="E3637" t="s">
        <v>87</v>
      </c>
      <c r="F3637" t="s">
        <v>7</v>
      </c>
      <c r="G3637" t="s">
        <v>82</v>
      </c>
      <c r="H3637" s="62">
        <v>2019</v>
      </c>
      <c r="I3637">
        <v>0.70779999999999998</v>
      </c>
    </row>
    <row r="3638" spans="1:9">
      <c r="A3638" t="s">
        <v>104</v>
      </c>
      <c r="B3638" t="s">
        <v>105</v>
      </c>
      <c r="C3638" t="s">
        <v>107</v>
      </c>
      <c r="D3638" t="s">
        <v>108</v>
      </c>
      <c r="E3638" t="s">
        <v>108</v>
      </c>
      <c r="F3638" t="s">
        <v>7</v>
      </c>
      <c r="G3638" t="s">
        <v>82</v>
      </c>
      <c r="H3638" s="62">
        <v>2020</v>
      </c>
      <c r="I3638">
        <v>8.8193999999999999</v>
      </c>
    </row>
    <row r="3639" spans="1:9">
      <c r="A3639" t="s">
        <v>104</v>
      </c>
      <c r="B3639" t="s">
        <v>105</v>
      </c>
      <c r="C3639" t="s">
        <v>80</v>
      </c>
      <c r="D3639" t="s">
        <v>80</v>
      </c>
      <c r="E3639" t="s">
        <v>80</v>
      </c>
      <c r="F3639" t="s">
        <v>7</v>
      </c>
      <c r="G3639" t="s">
        <v>82</v>
      </c>
      <c r="H3639" s="62">
        <v>2020</v>
      </c>
      <c r="I3639">
        <v>181.29320000000001</v>
      </c>
    </row>
    <row r="3640" spans="1:9">
      <c r="A3640" t="s">
        <v>104</v>
      </c>
      <c r="B3640" t="s">
        <v>105</v>
      </c>
      <c r="C3640" t="s">
        <v>80</v>
      </c>
      <c r="D3640" t="s">
        <v>83</v>
      </c>
      <c r="E3640" t="s">
        <v>84</v>
      </c>
      <c r="F3640" t="s">
        <v>7</v>
      </c>
      <c r="G3640" t="s">
        <v>82</v>
      </c>
      <c r="H3640" s="62">
        <v>2020</v>
      </c>
      <c r="I3640">
        <v>6.5529999999999999</v>
      </c>
    </row>
    <row r="3641" spans="1:9">
      <c r="A3641" t="s">
        <v>104</v>
      </c>
      <c r="B3641" t="s">
        <v>105</v>
      </c>
      <c r="C3641" t="s">
        <v>80</v>
      </c>
      <c r="D3641" t="s">
        <v>83</v>
      </c>
      <c r="E3641" t="s">
        <v>85</v>
      </c>
      <c r="F3641" t="s">
        <v>7</v>
      </c>
      <c r="G3641" t="s">
        <v>82</v>
      </c>
      <c r="H3641" s="62">
        <v>2020</v>
      </c>
      <c r="I3641">
        <v>4.0446</v>
      </c>
    </row>
    <row r="3642" spans="1:9">
      <c r="A3642" t="s">
        <v>104</v>
      </c>
      <c r="B3642" t="s">
        <v>105</v>
      </c>
      <c r="C3642" t="s">
        <v>80</v>
      </c>
      <c r="D3642" t="s">
        <v>86</v>
      </c>
      <c r="E3642" t="s">
        <v>106</v>
      </c>
      <c r="F3642" t="s">
        <v>7</v>
      </c>
      <c r="G3642" t="s">
        <v>82</v>
      </c>
      <c r="H3642" s="62">
        <v>2020</v>
      </c>
      <c r="I3642">
        <v>4.9516</v>
      </c>
    </row>
    <row r="3643" spans="1:9">
      <c r="A3643" t="s">
        <v>104</v>
      </c>
      <c r="B3643" t="s">
        <v>105</v>
      </c>
      <c r="C3643" t="s">
        <v>80</v>
      </c>
      <c r="D3643" t="s">
        <v>86</v>
      </c>
      <c r="E3643" t="s">
        <v>87</v>
      </c>
      <c r="F3643" t="s">
        <v>7</v>
      </c>
      <c r="G3643" t="s">
        <v>82</v>
      </c>
      <c r="H3643" s="62">
        <v>2020</v>
      </c>
      <c r="I3643">
        <v>1.0866</v>
      </c>
    </row>
    <row r="3644" spans="1:9">
      <c r="A3644" t="s">
        <v>104</v>
      </c>
      <c r="B3644" t="s">
        <v>105</v>
      </c>
      <c r="C3644" t="s">
        <v>107</v>
      </c>
      <c r="D3644" t="s">
        <v>108</v>
      </c>
      <c r="E3644" t="s">
        <v>108</v>
      </c>
      <c r="F3644" t="s">
        <v>7</v>
      </c>
      <c r="G3644" t="s">
        <v>82</v>
      </c>
      <c r="H3644" s="62">
        <v>2021</v>
      </c>
      <c r="I3644">
        <v>8.5169999999999995</v>
      </c>
    </row>
    <row r="3645" spans="1:9">
      <c r="A3645" t="s">
        <v>104</v>
      </c>
      <c r="B3645" t="s">
        <v>105</v>
      </c>
      <c r="C3645" t="s">
        <v>80</v>
      </c>
      <c r="D3645" t="s">
        <v>80</v>
      </c>
      <c r="E3645" t="s">
        <v>80</v>
      </c>
      <c r="F3645" t="s">
        <v>7</v>
      </c>
      <c r="G3645" t="s">
        <v>82</v>
      </c>
      <c r="H3645" s="62">
        <v>2021</v>
      </c>
      <c r="I3645">
        <v>178.1283</v>
      </c>
    </row>
    <row r="3646" spans="1:9">
      <c r="A3646" t="s">
        <v>104</v>
      </c>
      <c r="B3646" t="s">
        <v>105</v>
      </c>
      <c r="C3646" t="s">
        <v>80</v>
      </c>
      <c r="D3646" t="s">
        <v>83</v>
      </c>
      <c r="E3646" t="s">
        <v>84</v>
      </c>
      <c r="F3646" t="s">
        <v>7</v>
      </c>
      <c r="G3646" t="s">
        <v>82</v>
      </c>
      <c r="H3646" s="62">
        <v>2021</v>
      </c>
      <c r="I3646">
        <v>6.2058999999999997</v>
      </c>
    </row>
    <row r="3647" spans="1:9">
      <c r="A3647" t="s">
        <v>104</v>
      </c>
      <c r="B3647" t="s">
        <v>105</v>
      </c>
      <c r="C3647" t="s">
        <v>80</v>
      </c>
      <c r="D3647" t="s">
        <v>83</v>
      </c>
      <c r="E3647" t="s">
        <v>85</v>
      </c>
      <c r="F3647" t="s">
        <v>7</v>
      </c>
      <c r="G3647" t="s">
        <v>82</v>
      </c>
      <c r="H3647" s="62">
        <v>2021</v>
      </c>
      <c r="I3647">
        <v>4.2948000000000004</v>
      </c>
    </row>
    <row r="3648" spans="1:9">
      <c r="A3648" t="s">
        <v>104</v>
      </c>
      <c r="B3648" t="s">
        <v>105</v>
      </c>
      <c r="C3648" t="s">
        <v>80</v>
      </c>
      <c r="D3648" t="s">
        <v>86</v>
      </c>
      <c r="E3648" t="s">
        <v>106</v>
      </c>
      <c r="F3648" t="s">
        <v>7</v>
      </c>
      <c r="G3648" t="s">
        <v>82</v>
      </c>
      <c r="H3648" s="62">
        <v>2021</v>
      </c>
      <c r="I3648">
        <v>4.7042000000000002</v>
      </c>
    </row>
    <row r="3649" spans="1:9">
      <c r="A3649" t="s">
        <v>104</v>
      </c>
      <c r="B3649" t="s">
        <v>105</v>
      </c>
      <c r="C3649" t="s">
        <v>80</v>
      </c>
      <c r="D3649" t="s">
        <v>86</v>
      </c>
      <c r="E3649" t="s">
        <v>87</v>
      </c>
      <c r="F3649" t="s">
        <v>7</v>
      </c>
      <c r="G3649" t="s">
        <v>82</v>
      </c>
      <c r="H3649" s="62">
        <v>2021</v>
      </c>
      <c r="I3649">
        <v>1.4432</v>
      </c>
    </row>
    <row r="3650" spans="1:9">
      <c r="A3650" t="s">
        <v>104</v>
      </c>
      <c r="B3650" t="s">
        <v>105</v>
      </c>
      <c r="C3650" t="s">
        <v>107</v>
      </c>
      <c r="D3650" t="s">
        <v>108</v>
      </c>
      <c r="E3650" t="s">
        <v>108</v>
      </c>
      <c r="F3650" t="s">
        <v>7</v>
      </c>
      <c r="G3650" t="s">
        <v>82</v>
      </c>
      <c r="H3650" s="62">
        <v>2022</v>
      </c>
      <c r="I3650">
        <v>8.1341000000000001</v>
      </c>
    </row>
    <row r="3651" spans="1:9">
      <c r="A3651" t="s">
        <v>104</v>
      </c>
      <c r="B3651" t="s">
        <v>105</v>
      </c>
      <c r="C3651" t="s">
        <v>80</v>
      </c>
      <c r="D3651" t="s">
        <v>80</v>
      </c>
      <c r="E3651" t="s">
        <v>80</v>
      </c>
      <c r="F3651" t="s">
        <v>7</v>
      </c>
      <c r="G3651" t="s">
        <v>82</v>
      </c>
      <c r="H3651" s="62">
        <v>2022</v>
      </c>
      <c r="I3651">
        <v>178.3622</v>
      </c>
    </row>
    <row r="3652" spans="1:9">
      <c r="A3652" t="s">
        <v>104</v>
      </c>
      <c r="B3652" t="s">
        <v>105</v>
      </c>
      <c r="C3652" t="s">
        <v>80</v>
      </c>
      <c r="D3652" t="s">
        <v>83</v>
      </c>
      <c r="E3652" t="s">
        <v>84</v>
      </c>
      <c r="F3652" t="s">
        <v>7</v>
      </c>
      <c r="G3652" t="s">
        <v>82</v>
      </c>
      <c r="H3652" s="62">
        <v>2022</v>
      </c>
      <c r="I3652">
        <v>6.2821999999999996</v>
      </c>
    </row>
    <row r="3653" spans="1:9">
      <c r="A3653" t="s">
        <v>104</v>
      </c>
      <c r="B3653" t="s">
        <v>105</v>
      </c>
      <c r="C3653" t="s">
        <v>80</v>
      </c>
      <c r="D3653" t="s">
        <v>83</v>
      </c>
      <c r="E3653" t="s">
        <v>85</v>
      </c>
      <c r="F3653" t="s">
        <v>7</v>
      </c>
      <c r="G3653" t="s">
        <v>82</v>
      </c>
      <c r="H3653" s="62">
        <v>2022</v>
      </c>
      <c r="I3653">
        <v>4.5946999999999996</v>
      </c>
    </row>
    <row r="3654" spans="1:9">
      <c r="A3654" t="s">
        <v>104</v>
      </c>
      <c r="B3654" t="s">
        <v>105</v>
      </c>
      <c r="C3654" t="s">
        <v>80</v>
      </c>
      <c r="D3654" t="s">
        <v>86</v>
      </c>
      <c r="E3654" t="s">
        <v>106</v>
      </c>
      <c r="F3654" t="s">
        <v>7</v>
      </c>
      <c r="G3654" t="s">
        <v>82</v>
      </c>
      <c r="H3654" s="62">
        <v>2022</v>
      </c>
      <c r="I3654">
        <v>4.6139999999999999</v>
      </c>
    </row>
    <row r="3655" spans="1:9">
      <c r="A3655" t="s">
        <v>104</v>
      </c>
      <c r="B3655" t="s">
        <v>105</v>
      </c>
      <c r="C3655" t="s">
        <v>80</v>
      </c>
      <c r="D3655" t="s">
        <v>86</v>
      </c>
      <c r="E3655" t="s">
        <v>87</v>
      </c>
      <c r="F3655" t="s">
        <v>7</v>
      </c>
      <c r="G3655" t="s">
        <v>82</v>
      </c>
      <c r="H3655" s="62">
        <v>2022</v>
      </c>
      <c r="I3655">
        <v>1.7513000000000001</v>
      </c>
    </row>
    <row r="3656" spans="1:9">
      <c r="A3656" t="s">
        <v>104</v>
      </c>
      <c r="B3656" t="s">
        <v>105</v>
      </c>
      <c r="C3656" t="s">
        <v>107</v>
      </c>
      <c r="D3656" t="s">
        <v>108</v>
      </c>
      <c r="E3656" t="s">
        <v>108</v>
      </c>
      <c r="F3656" t="s">
        <v>7</v>
      </c>
      <c r="G3656" t="s">
        <v>82</v>
      </c>
      <c r="H3656" s="62">
        <v>2023</v>
      </c>
      <c r="I3656">
        <v>7.8830999999999998</v>
      </c>
    </row>
    <row r="3657" spans="1:9">
      <c r="A3657" t="s">
        <v>104</v>
      </c>
      <c r="B3657" t="s">
        <v>105</v>
      </c>
      <c r="C3657" t="s">
        <v>80</v>
      </c>
      <c r="D3657" t="s">
        <v>80</v>
      </c>
      <c r="E3657" t="s">
        <v>80</v>
      </c>
      <c r="F3657" t="s">
        <v>7</v>
      </c>
      <c r="G3657" t="s">
        <v>82</v>
      </c>
      <c r="H3657" s="62">
        <v>2023</v>
      </c>
      <c r="I3657">
        <v>177.69200000000001</v>
      </c>
    </row>
    <row r="3658" spans="1:9">
      <c r="A3658" t="s">
        <v>104</v>
      </c>
      <c r="B3658" t="s">
        <v>105</v>
      </c>
      <c r="C3658" t="s">
        <v>80</v>
      </c>
      <c r="D3658" t="s">
        <v>83</v>
      </c>
      <c r="E3658" t="s">
        <v>84</v>
      </c>
      <c r="F3658" t="s">
        <v>7</v>
      </c>
      <c r="G3658" t="s">
        <v>82</v>
      </c>
      <c r="H3658" s="62">
        <v>2023</v>
      </c>
      <c r="I3658">
        <v>5.8644999999999996</v>
      </c>
    </row>
    <row r="3659" spans="1:9">
      <c r="A3659" t="s">
        <v>104</v>
      </c>
      <c r="B3659" t="s">
        <v>105</v>
      </c>
      <c r="C3659" t="s">
        <v>80</v>
      </c>
      <c r="D3659" t="s">
        <v>83</v>
      </c>
      <c r="E3659" t="s">
        <v>85</v>
      </c>
      <c r="F3659" t="s">
        <v>7</v>
      </c>
      <c r="G3659" t="s">
        <v>82</v>
      </c>
      <c r="H3659" s="62">
        <v>2023</v>
      </c>
      <c r="I3659">
        <v>4.5800999999999998</v>
      </c>
    </row>
    <row r="3660" spans="1:9">
      <c r="A3660" t="s">
        <v>104</v>
      </c>
      <c r="B3660" t="s">
        <v>105</v>
      </c>
      <c r="C3660" t="s">
        <v>80</v>
      </c>
      <c r="D3660" t="s">
        <v>86</v>
      </c>
      <c r="E3660" t="s">
        <v>106</v>
      </c>
      <c r="F3660" t="s">
        <v>7</v>
      </c>
      <c r="G3660" t="s">
        <v>82</v>
      </c>
      <c r="H3660" s="62">
        <v>2023</v>
      </c>
      <c r="I3660">
        <v>4.3948</v>
      </c>
    </row>
    <row r="3661" spans="1:9">
      <c r="A3661" t="s">
        <v>104</v>
      </c>
      <c r="B3661" t="s">
        <v>105</v>
      </c>
      <c r="C3661" t="s">
        <v>80</v>
      </c>
      <c r="D3661" t="s">
        <v>86</v>
      </c>
      <c r="E3661" t="s">
        <v>87</v>
      </c>
      <c r="F3661" t="s">
        <v>7</v>
      </c>
      <c r="G3661" t="s">
        <v>82</v>
      </c>
      <c r="H3661" s="62">
        <v>2023</v>
      </c>
      <c r="I3661">
        <v>2.0074999999999998</v>
      </c>
    </row>
    <row r="3662" spans="1:9">
      <c r="A3662" t="s">
        <v>104</v>
      </c>
      <c r="B3662" t="s">
        <v>105</v>
      </c>
      <c r="C3662" t="s">
        <v>107</v>
      </c>
      <c r="D3662" t="s">
        <v>108</v>
      </c>
      <c r="E3662" t="s">
        <v>108</v>
      </c>
      <c r="F3662" t="s">
        <v>7</v>
      </c>
      <c r="G3662" t="s">
        <v>82</v>
      </c>
      <c r="H3662" s="62">
        <v>2024</v>
      </c>
      <c r="I3662">
        <v>7.7823000000000002</v>
      </c>
    </row>
    <row r="3663" spans="1:9">
      <c r="A3663" t="s">
        <v>104</v>
      </c>
      <c r="B3663" t="s">
        <v>105</v>
      </c>
      <c r="C3663" t="s">
        <v>80</v>
      </c>
      <c r="D3663" t="s">
        <v>80</v>
      </c>
      <c r="E3663" t="s">
        <v>80</v>
      </c>
      <c r="F3663" t="s">
        <v>7</v>
      </c>
      <c r="G3663" t="s">
        <v>82</v>
      </c>
      <c r="H3663" s="62">
        <v>2024</v>
      </c>
      <c r="I3663">
        <v>177.05719999999999</v>
      </c>
    </row>
    <row r="3664" spans="1:9">
      <c r="A3664" t="s">
        <v>104</v>
      </c>
      <c r="B3664" t="s">
        <v>105</v>
      </c>
      <c r="C3664" t="s">
        <v>80</v>
      </c>
      <c r="D3664" t="s">
        <v>83</v>
      </c>
      <c r="E3664" t="s">
        <v>84</v>
      </c>
      <c r="F3664" t="s">
        <v>7</v>
      </c>
      <c r="G3664" t="s">
        <v>82</v>
      </c>
      <c r="H3664" s="62">
        <v>2024</v>
      </c>
      <c r="I3664">
        <v>5.7778999999999998</v>
      </c>
    </row>
    <row r="3665" spans="1:9">
      <c r="A3665" t="s">
        <v>104</v>
      </c>
      <c r="B3665" t="s">
        <v>105</v>
      </c>
      <c r="C3665" t="s">
        <v>80</v>
      </c>
      <c r="D3665" t="s">
        <v>83</v>
      </c>
      <c r="E3665" t="s">
        <v>85</v>
      </c>
      <c r="F3665" t="s">
        <v>7</v>
      </c>
      <c r="G3665" t="s">
        <v>82</v>
      </c>
      <c r="H3665" s="62">
        <v>2024</v>
      </c>
      <c r="I3665">
        <v>4.5547000000000004</v>
      </c>
    </row>
    <row r="3666" spans="1:9">
      <c r="A3666" t="s">
        <v>104</v>
      </c>
      <c r="B3666" t="s">
        <v>105</v>
      </c>
      <c r="C3666" t="s">
        <v>80</v>
      </c>
      <c r="D3666" t="s">
        <v>86</v>
      </c>
      <c r="E3666" t="s">
        <v>106</v>
      </c>
      <c r="F3666" t="s">
        <v>7</v>
      </c>
      <c r="G3666" t="s">
        <v>82</v>
      </c>
      <c r="H3666" s="62">
        <v>2024</v>
      </c>
      <c r="I3666">
        <v>4.3476999999999997</v>
      </c>
    </row>
    <row r="3667" spans="1:9">
      <c r="A3667" t="s">
        <v>104</v>
      </c>
      <c r="B3667" t="s">
        <v>105</v>
      </c>
      <c r="C3667" t="s">
        <v>80</v>
      </c>
      <c r="D3667" t="s">
        <v>86</v>
      </c>
      <c r="E3667" t="s">
        <v>87</v>
      </c>
      <c r="F3667" t="s">
        <v>7</v>
      </c>
      <c r="G3667" t="s">
        <v>82</v>
      </c>
      <c r="H3667" s="62">
        <v>2024</v>
      </c>
      <c r="I3667">
        <v>2.4885000000000002</v>
      </c>
    </row>
    <row r="3668" spans="1:9">
      <c r="A3668" t="s">
        <v>104</v>
      </c>
      <c r="B3668" t="s">
        <v>105</v>
      </c>
      <c r="C3668" t="s">
        <v>107</v>
      </c>
      <c r="D3668" t="s">
        <v>107</v>
      </c>
      <c r="E3668" t="s">
        <v>107</v>
      </c>
      <c r="F3668" t="s">
        <v>7</v>
      </c>
      <c r="G3668" t="s">
        <v>109</v>
      </c>
      <c r="H3668" s="62">
        <v>2025</v>
      </c>
      <c r="I3668">
        <v>183.49430000000001</v>
      </c>
    </row>
    <row r="3669" spans="1:9">
      <c r="A3669" t="s">
        <v>104</v>
      </c>
      <c r="B3669" t="s">
        <v>105</v>
      </c>
      <c r="C3669" t="s">
        <v>107</v>
      </c>
      <c r="D3669" t="s">
        <v>108</v>
      </c>
      <c r="E3669" t="s">
        <v>108</v>
      </c>
      <c r="F3669" t="s">
        <v>7</v>
      </c>
      <c r="G3669" t="s">
        <v>109</v>
      </c>
      <c r="H3669" s="62">
        <v>2025</v>
      </c>
      <c r="I3669">
        <v>7.9279999999999999</v>
      </c>
    </row>
    <row r="3670" spans="1:9">
      <c r="A3670" t="s">
        <v>104</v>
      </c>
      <c r="B3670" t="s">
        <v>105</v>
      </c>
      <c r="C3670" t="s">
        <v>80</v>
      </c>
      <c r="D3670" t="s">
        <v>80</v>
      </c>
      <c r="E3670" t="s">
        <v>80</v>
      </c>
      <c r="F3670" t="s">
        <v>7</v>
      </c>
      <c r="G3670" t="s">
        <v>109</v>
      </c>
      <c r="H3670" s="62">
        <v>2025</v>
      </c>
      <c r="I3670">
        <v>175.56630000000001</v>
      </c>
    </row>
    <row r="3671" spans="1:9">
      <c r="A3671" t="s">
        <v>104</v>
      </c>
      <c r="B3671" t="s">
        <v>105</v>
      </c>
      <c r="C3671" t="s">
        <v>80</v>
      </c>
      <c r="D3671" t="s">
        <v>89</v>
      </c>
      <c r="E3671" t="s">
        <v>90</v>
      </c>
      <c r="F3671" t="s">
        <v>7</v>
      </c>
      <c r="G3671" t="s">
        <v>109</v>
      </c>
      <c r="H3671" s="62">
        <v>2025</v>
      </c>
      <c r="I3671">
        <v>35.323799999999999</v>
      </c>
    </row>
    <row r="3672" spans="1:9">
      <c r="A3672" t="s">
        <v>104</v>
      </c>
      <c r="B3672" t="s">
        <v>105</v>
      </c>
      <c r="C3672" t="s">
        <v>80</v>
      </c>
      <c r="D3672" t="s">
        <v>89</v>
      </c>
      <c r="E3672" t="s">
        <v>91</v>
      </c>
      <c r="F3672" t="s">
        <v>7</v>
      </c>
      <c r="G3672" t="s">
        <v>109</v>
      </c>
      <c r="H3672" s="62">
        <v>2025</v>
      </c>
      <c r="I3672">
        <v>-1.4702</v>
      </c>
    </row>
    <row r="3673" spans="1:9">
      <c r="A3673" t="s">
        <v>104</v>
      </c>
      <c r="B3673" t="s">
        <v>105</v>
      </c>
      <c r="C3673" t="s">
        <v>80</v>
      </c>
      <c r="D3673" t="s">
        <v>92</v>
      </c>
      <c r="E3673" t="s">
        <v>93</v>
      </c>
      <c r="F3673" t="s">
        <v>7</v>
      </c>
      <c r="G3673" t="s">
        <v>109</v>
      </c>
      <c r="H3673" s="62">
        <v>2025</v>
      </c>
      <c r="I3673">
        <v>-5.5822000000000003</v>
      </c>
    </row>
    <row r="3674" spans="1:9">
      <c r="A3674" t="s">
        <v>104</v>
      </c>
      <c r="B3674" t="s">
        <v>105</v>
      </c>
      <c r="C3674" t="s">
        <v>80</v>
      </c>
      <c r="D3674" t="s">
        <v>92</v>
      </c>
      <c r="E3674" t="s">
        <v>94</v>
      </c>
      <c r="F3674" t="s">
        <v>7</v>
      </c>
      <c r="G3674" t="s">
        <v>109</v>
      </c>
      <c r="H3674" s="62">
        <v>2025</v>
      </c>
      <c r="I3674">
        <v>80.229399999999998</v>
      </c>
    </row>
    <row r="3675" spans="1:9">
      <c r="A3675" t="s">
        <v>104</v>
      </c>
      <c r="B3675" t="s">
        <v>105</v>
      </c>
      <c r="C3675" t="s">
        <v>80</v>
      </c>
      <c r="D3675" t="s">
        <v>92</v>
      </c>
      <c r="E3675" t="s">
        <v>110</v>
      </c>
      <c r="F3675" t="s">
        <v>7</v>
      </c>
      <c r="G3675" t="s">
        <v>109</v>
      </c>
      <c r="H3675" s="62">
        <v>2025</v>
      </c>
      <c r="I3675">
        <v>6.5669000000000004</v>
      </c>
    </row>
    <row r="3676" spans="1:9">
      <c r="A3676" t="s">
        <v>104</v>
      </c>
      <c r="B3676" t="s">
        <v>105</v>
      </c>
      <c r="C3676" t="s">
        <v>80</v>
      </c>
      <c r="D3676" t="s">
        <v>92</v>
      </c>
      <c r="E3676" t="s">
        <v>95</v>
      </c>
      <c r="F3676" t="s">
        <v>7</v>
      </c>
      <c r="G3676" t="s">
        <v>109</v>
      </c>
      <c r="H3676" s="62">
        <v>2025</v>
      </c>
      <c r="I3676">
        <v>48.679099999999998</v>
      </c>
    </row>
    <row r="3677" spans="1:9">
      <c r="A3677" t="s">
        <v>104</v>
      </c>
      <c r="B3677" t="s">
        <v>105</v>
      </c>
      <c r="C3677" t="s">
        <v>80</v>
      </c>
      <c r="D3677" t="s">
        <v>96</v>
      </c>
      <c r="E3677" t="s">
        <v>92</v>
      </c>
      <c r="F3677" t="s">
        <v>7</v>
      </c>
      <c r="G3677" t="s">
        <v>109</v>
      </c>
      <c r="H3677" s="62">
        <v>2025</v>
      </c>
      <c r="I3677">
        <v>1.4173</v>
      </c>
    </row>
    <row r="3678" spans="1:9">
      <c r="A3678" t="s">
        <v>104</v>
      </c>
      <c r="B3678" t="s">
        <v>105</v>
      </c>
      <c r="C3678" t="s">
        <v>80</v>
      </c>
      <c r="D3678" t="s">
        <v>96</v>
      </c>
      <c r="E3678" t="s">
        <v>89</v>
      </c>
      <c r="F3678" t="s">
        <v>7</v>
      </c>
      <c r="G3678" t="s">
        <v>109</v>
      </c>
      <c r="H3678" s="62">
        <v>2025</v>
      </c>
      <c r="I3678">
        <v>3.9300000000000002E-2</v>
      </c>
    </row>
    <row r="3679" spans="1:9">
      <c r="A3679" t="s">
        <v>104</v>
      </c>
      <c r="B3679" t="s">
        <v>105</v>
      </c>
      <c r="C3679" t="s">
        <v>80</v>
      </c>
      <c r="D3679" t="s">
        <v>97</v>
      </c>
      <c r="E3679" t="s">
        <v>98</v>
      </c>
      <c r="F3679" t="s">
        <v>7</v>
      </c>
      <c r="G3679" t="s">
        <v>109</v>
      </c>
      <c r="H3679" s="62">
        <v>2025</v>
      </c>
      <c r="I3679">
        <v>0.71909999999999996</v>
      </c>
    </row>
    <row r="3680" spans="1:9">
      <c r="A3680" t="s">
        <v>104</v>
      </c>
      <c r="B3680" t="s">
        <v>105</v>
      </c>
      <c r="C3680" t="s">
        <v>80</v>
      </c>
      <c r="D3680" t="s">
        <v>97</v>
      </c>
      <c r="E3680" t="s">
        <v>99</v>
      </c>
      <c r="F3680" t="s">
        <v>7</v>
      </c>
      <c r="G3680" t="s">
        <v>109</v>
      </c>
      <c r="H3680" s="62">
        <v>2025</v>
      </c>
      <c r="I3680">
        <v>0</v>
      </c>
    </row>
    <row r="3681" spans="1:9">
      <c r="A3681" t="s">
        <v>104</v>
      </c>
      <c r="B3681" t="s">
        <v>105</v>
      </c>
      <c r="C3681" t="s">
        <v>80</v>
      </c>
      <c r="D3681" t="s">
        <v>100</v>
      </c>
      <c r="E3681" t="s">
        <v>101</v>
      </c>
      <c r="F3681" t="s">
        <v>7</v>
      </c>
      <c r="G3681" t="s">
        <v>109</v>
      </c>
      <c r="H3681" s="62">
        <v>2025</v>
      </c>
      <c r="I3681">
        <v>0.1108</v>
      </c>
    </row>
    <row r="3682" spans="1:9">
      <c r="A3682" t="s">
        <v>104</v>
      </c>
      <c r="B3682" t="s">
        <v>105</v>
      </c>
      <c r="C3682" t="s">
        <v>80</v>
      </c>
      <c r="D3682" t="s">
        <v>100</v>
      </c>
      <c r="E3682" t="s">
        <v>102</v>
      </c>
      <c r="F3682" t="s">
        <v>7</v>
      </c>
      <c r="G3682" t="s">
        <v>109</v>
      </c>
      <c r="H3682" s="62">
        <v>2025</v>
      </c>
      <c r="I3682">
        <v>0</v>
      </c>
    </row>
    <row r="3683" spans="1:9">
      <c r="A3683" t="s">
        <v>104</v>
      </c>
      <c r="B3683" t="s">
        <v>105</v>
      </c>
      <c r="C3683" t="s">
        <v>80</v>
      </c>
      <c r="D3683" t="s">
        <v>100</v>
      </c>
      <c r="E3683" t="s">
        <v>111</v>
      </c>
      <c r="F3683" t="s">
        <v>7</v>
      </c>
      <c r="G3683" t="s">
        <v>109</v>
      </c>
      <c r="H3683" s="62">
        <v>2025</v>
      </c>
      <c r="I3683">
        <v>0</v>
      </c>
    </row>
    <row r="3684" spans="1:9">
      <c r="A3684" t="s">
        <v>104</v>
      </c>
      <c r="B3684" t="s">
        <v>105</v>
      </c>
      <c r="C3684" t="s">
        <v>80</v>
      </c>
      <c r="D3684" t="s">
        <v>100</v>
      </c>
      <c r="E3684" t="s">
        <v>112</v>
      </c>
      <c r="F3684" t="s">
        <v>7</v>
      </c>
      <c r="G3684" t="s">
        <v>109</v>
      </c>
      <c r="H3684" s="62">
        <v>2025</v>
      </c>
      <c r="I3684">
        <v>0</v>
      </c>
    </row>
    <row r="3685" spans="1:9">
      <c r="A3685" t="s">
        <v>104</v>
      </c>
      <c r="B3685" t="s">
        <v>105</v>
      </c>
      <c r="C3685" t="s">
        <v>80</v>
      </c>
      <c r="D3685" t="s">
        <v>83</v>
      </c>
      <c r="E3685" t="s">
        <v>84</v>
      </c>
      <c r="F3685" t="s">
        <v>7</v>
      </c>
      <c r="G3685" t="s">
        <v>109</v>
      </c>
      <c r="H3685" s="62">
        <v>2025</v>
      </c>
      <c r="I3685">
        <v>5.0808999999999997</v>
      </c>
    </row>
    <row r="3686" spans="1:9">
      <c r="A3686" t="s">
        <v>104</v>
      </c>
      <c r="B3686" t="s">
        <v>105</v>
      </c>
      <c r="C3686" t="s">
        <v>80</v>
      </c>
      <c r="D3686" t="s">
        <v>83</v>
      </c>
      <c r="E3686" t="s">
        <v>85</v>
      </c>
      <c r="F3686" t="s">
        <v>7</v>
      </c>
      <c r="G3686" t="s">
        <v>109</v>
      </c>
      <c r="H3686" s="62">
        <v>2025</v>
      </c>
      <c r="I3686">
        <v>4.4519000000000002</v>
      </c>
    </row>
    <row r="3687" spans="1:9">
      <c r="A3687" t="s">
        <v>104</v>
      </c>
      <c r="B3687" t="s">
        <v>105</v>
      </c>
      <c r="C3687" t="s">
        <v>80</v>
      </c>
      <c r="D3687" t="s">
        <v>86</v>
      </c>
      <c r="E3687" t="s">
        <v>106</v>
      </c>
      <c r="F3687" t="s">
        <v>7</v>
      </c>
      <c r="G3687" t="s">
        <v>109</v>
      </c>
      <c r="H3687" s="62">
        <v>2025</v>
      </c>
      <c r="I3687">
        <v>4.0820999999999996</v>
      </c>
    </row>
    <row r="3688" spans="1:9">
      <c r="A3688" t="s">
        <v>104</v>
      </c>
      <c r="B3688" t="s">
        <v>105</v>
      </c>
      <c r="C3688" t="s">
        <v>80</v>
      </c>
      <c r="D3688" t="s">
        <v>86</v>
      </c>
      <c r="E3688" t="s">
        <v>87</v>
      </c>
      <c r="F3688" t="s">
        <v>7</v>
      </c>
      <c r="G3688" t="s">
        <v>109</v>
      </c>
      <c r="H3688" s="62">
        <v>2025</v>
      </c>
      <c r="I3688">
        <v>2.9702000000000002</v>
      </c>
    </row>
    <row r="3689" spans="1:9">
      <c r="A3689" t="s">
        <v>104</v>
      </c>
      <c r="B3689" t="s">
        <v>105</v>
      </c>
      <c r="C3689" t="s">
        <v>80</v>
      </c>
      <c r="D3689" t="s">
        <v>103</v>
      </c>
      <c r="E3689" t="s">
        <v>92</v>
      </c>
      <c r="F3689" t="s">
        <v>7</v>
      </c>
      <c r="G3689" t="s">
        <v>109</v>
      </c>
      <c r="H3689" s="62">
        <v>2025</v>
      </c>
      <c r="I3689">
        <v>5.0194000000000001</v>
      </c>
    </row>
    <row r="3690" spans="1:9">
      <c r="A3690" t="s">
        <v>104</v>
      </c>
      <c r="B3690" t="s">
        <v>105</v>
      </c>
      <c r="C3690" t="s">
        <v>80</v>
      </c>
      <c r="D3690" t="s">
        <v>103</v>
      </c>
      <c r="E3690" t="s">
        <v>89</v>
      </c>
      <c r="F3690" t="s">
        <v>7</v>
      </c>
      <c r="G3690" t="s">
        <v>109</v>
      </c>
      <c r="H3690" s="62">
        <v>2025</v>
      </c>
      <c r="I3690">
        <v>21.940100000000001</v>
      </c>
    </row>
    <row r="3691" spans="1:9">
      <c r="A3691" t="s">
        <v>104</v>
      </c>
      <c r="B3691" t="s">
        <v>105</v>
      </c>
      <c r="C3691" t="s">
        <v>107</v>
      </c>
      <c r="D3691" t="s">
        <v>107</v>
      </c>
      <c r="E3691" t="s">
        <v>107</v>
      </c>
      <c r="F3691" t="s">
        <v>7</v>
      </c>
      <c r="G3691" t="s">
        <v>109</v>
      </c>
      <c r="H3691" s="62">
        <v>2026</v>
      </c>
      <c r="I3691">
        <v>185.19409999999999</v>
      </c>
    </row>
    <row r="3692" spans="1:9">
      <c r="A3692" t="s">
        <v>104</v>
      </c>
      <c r="B3692" t="s">
        <v>105</v>
      </c>
      <c r="C3692" t="s">
        <v>107</v>
      </c>
      <c r="D3692" t="s">
        <v>108</v>
      </c>
      <c r="E3692" t="s">
        <v>108</v>
      </c>
      <c r="F3692" t="s">
        <v>7</v>
      </c>
      <c r="G3692" t="s">
        <v>109</v>
      </c>
      <c r="H3692" s="62">
        <v>2026</v>
      </c>
      <c r="I3692">
        <v>8.0699000000000005</v>
      </c>
    </row>
    <row r="3693" spans="1:9">
      <c r="A3693" t="s">
        <v>104</v>
      </c>
      <c r="B3693" t="s">
        <v>105</v>
      </c>
      <c r="C3693" t="s">
        <v>80</v>
      </c>
      <c r="D3693" t="s">
        <v>80</v>
      </c>
      <c r="E3693" t="s">
        <v>80</v>
      </c>
      <c r="F3693" t="s">
        <v>7</v>
      </c>
      <c r="G3693" t="s">
        <v>109</v>
      </c>
      <c r="H3693" s="62">
        <v>2026</v>
      </c>
      <c r="I3693">
        <v>177.12430000000001</v>
      </c>
    </row>
    <row r="3694" spans="1:9">
      <c r="A3694" t="s">
        <v>104</v>
      </c>
      <c r="B3694" t="s">
        <v>105</v>
      </c>
      <c r="C3694" t="s">
        <v>80</v>
      </c>
      <c r="D3694" t="s">
        <v>89</v>
      </c>
      <c r="E3694" t="s">
        <v>90</v>
      </c>
      <c r="F3694" t="s">
        <v>7</v>
      </c>
      <c r="G3694" t="s">
        <v>109</v>
      </c>
      <c r="H3694" s="62">
        <v>2026</v>
      </c>
      <c r="I3694">
        <v>32.774500000000003</v>
      </c>
    </row>
    <row r="3695" spans="1:9">
      <c r="A3695" t="s">
        <v>104</v>
      </c>
      <c r="B3695" t="s">
        <v>105</v>
      </c>
      <c r="C3695" t="s">
        <v>80</v>
      </c>
      <c r="D3695" t="s">
        <v>89</v>
      </c>
      <c r="E3695" t="s">
        <v>91</v>
      </c>
      <c r="F3695" t="s">
        <v>7</v>
      </c>
      <c r="G3695" t="s">
        <v>109</v>
      </c>
      <c r="H3695" s="62">
        <v>2026</v>
      </c>
      <c r="I3695">
        <v>-1.4723999999999999</v>
      </c>
    </row>
    <row r="3696" spans="1:9">
      <c r="A3696" t="s">
        <v>104</v>
      </c>
      <c r="B3696" t="s">
        <v>105</v>
      </c>
      <c r="C3696" t="s">
        <v>80</v>
      </c>
      <c r="D3696" t="s">
        <v>92</v>
      </c>
      <c r="E3696" t="s">
        <v>93</v>
      </c>
      <c r="F3696" t="s">
        <v>7</v>
      </c>
      <c r="G3696" t="s">
        <v>109</v>
      </c>
      <c r="H3696" s="62">
        <v>2026</v>
      </c>
      <c r="I3696">
        <v>-6.0909000000000004</v>
      </c>
    </row>
    <row r="3697" spans="1:9">
      <c r="A3697" t="s">
        <v>104</v>
      </c>
      <c r="B3697" t="s">
        <v>105</v>
      </c>
      <c r="C3697" t="s">
        <v>80</v>
      </c>
      <c r="D3697" t="s">
        <v>92</v>
      </c>
      <c r="E3697" t="s">
        <v>94</v>
      </c>
      <c r="F3697" t="s">
        <v>7</v>
      </c>
      <c r="G3697" t="s">
        <v>109</v>
      </c>
      <c r="H3697" s="62">
        <v>2026</v>
      </c>
      <c r="I3697">
        <v>80.318100000000001</v>
      </c>
    </row>
    <row r="3698" spans="1:9">
      <c r="A3698" t="s">
        <v>104</v>
      </c>
      <c r="B3698" t="s">
        <v>105</v>
      </c>
      <c r="C3698" t="s">
        <v>80</v>
      </c>
      <c r="D3698" t="s">
        <v>92</v>
      </c>
      <c r="E3698" t="s">
        <v>110</v>
      </c>
      <c r="F3698" t="s">
        <v>7</v>
      </c>
      <c r="G3698" t="s">
        <v>109</v>
      </c>
      <c r="H3698" s="62">
        <v>2026</v>
      </c>
      <c r="I3698">
        <v>6.5692000000000004</v>
      </c>
    </row>
    <row r="3699" spans="1:9">
      <c r="A3699" t="s">
        <v>104</v>
      </c>
      <c r="B3699" t="s">
        <v>105</v>
      </c>
      <c r="C3699" t="s">
        <v>80</v>
      </c>
      <c r="D3699" t="s">
        <v>92</v>
      </c>
      <c r="E3699" t="s">
        <v>95</v>
      </c>
      <c r="F3699" t="s">
        <v>7</v>
      </c>
      <c r="G3699" t="s">
        <v>109</v>
      </c>
      <c r="H3699" s="62">
        <v>2026</v>
      </c>
      <c r="I3699">
        <v>49.649700000000003</v>
      </c>
    </row>
    <row r="3700" spans="1:9">
      <c r="A3700" t="s">
        <v>104</v>
      </c>
      <c r="B3700" t="s">
        <v>105</v>
      </c>
      <c r="C3700" t="s">
        <v>80</v>
      </c>
      <c r="D3700" t="s">
        <v>96</v>
      </c>
      <c r="E3700" t="s">
        <v>92</v>
      </c>
      <c r="F3700" t="s">
        <v>7</v>
      </c>
      <c r="G3700" t="s">
        <v>109</v>
      </c>
      <c r="H3700" s="62">
        <v>2026</v>
      </c>
      <c r="I3700">
        <v>3.7206000000000001</v>
      </c>
    </row>
    <row r="3701" spans="1:9">
      <c r="A3701" t="s">
        <v>104</v>
      </c>
      <c r="B3701" t="s">
        <v>105</v>
      </c>
      <c r="C3701" t="s">
        <v>80</v>
      </c>
      <c r="D3701" t="s">
        <v>96</v>
      </c>
      <c r="E3701" t="s">
        <v>89</v>
      </c>
      <c r="F3701" t="s">
        <v>7</v>
      </c>
      <c r="G3701" t="s">
        <v>109</v>
      </c>
      <c r="H3701" s="62">
        <v>2026</v>
      </c>
      <c r="I3701">
        <v>0.254</v>
      </c>
    </row>
    <row r="3702" spans="1:9">
      <c r="A3702" t="s">
        <v>104</v>
      </c>
      <c r="B3702" t="s">
        <v>105</v>
      </c>
      <c r="C3702" t="s">
        <v>80</v>
      </c>
      <c r="D3702" t="s">
        <v>97</v>
      </c>
      <c r="E3702" t="s">
        <v>98</v>
      </c>
      <c r="F3702" t="s">
        <v>7</v>
      </c>
      <c r="G3702" t="s">
        <v>109</v>
      </c>
      <c r="H3702" s="62">
        <v>2026</v>
      </c>
      <c r="I3702">
        <v>1.2484999999999999</v>
      </c>
    </row>
    <row r="3703" spans="1:9">
      <c r="A3703" t="s">
        <v>104</v>
      </c>
      <c r="B3703" t="s">
        <v>105</v>
      </c>
      <c r="C3703" t="s">
        <v>80</v>
      </c>
      <c r="D3703" t="s">
        <v>97</v>
      </c>
      <c r="E3703" t="s">
        <v>99</v>
      </c>
      <c r="F3703" t="s">
        <v>7</v>
      </c>
      <c r="G3703" t="s">
        <v>109</v>
      </c>
      <c r="H3703" s="62">
        <v>2026</v>
      </c>
      <c r="I3703">
        <v>0</v>
      </c>
    </row>
    <row r="3704" spans="1:9">
      <c r="A3704" t="s">
        <v>104</v>
      </c>
      <c r="B3704" t="s">
        <v>105</v>
      </c>
      <c r="C3704" t="s">
        <v>80</v>
      </c>
      <c r="D3704" t="s">
        <v>100</v>
      </c>
      <c r="E3704" t="s">
        <v>101</v>
      </c>
      <c r="F3704" t="s">
        <v>7</v>
      </c>
      <c r="G3704" t="s">
        <v>109</v>
      </c>
      <c r="H3704" s="62">
        <v>2026</v>
      </c>
      <c r="I3704">
        <v>0.55600000000000005</v>
      </c>
    </row>
    <row r="3705" spans="1:9">
      <c r="A3705" t="s">
        <v>104</v>
      </c>
      <c r="B3705" t="s">
        <v>105</v>
      </c>
      <c r="C3705" t="s">
        <v>80</v>
      </c>
      <c r="D3705" t="s">
        <v>100</v>
      </c>
      <c r="E3705" t="s">
        <v>102</v>
      </c>
      <c r="F3705" t="s">
        <v>7</v>
      </c>
      <c r="G3705" t="s">
        <v>109</v>
      </c>
      <c r="H3705" s="62">
        <v>2026</v>
      </c>
      <c r="I3705">
        <v>0</v>
      </c>
    </row>
    <row r="3706" spans="1:9">
      <c r="A3706" t="s">
        <v>104</v>
      </c>
      <c r="B3706" t="s">
        <v>105</v>
      </c>
      <c r="C3706" t="s">
        <v>80</v>
      </c>
      <c r="D3706" t="s">
        <v>100</v>
      </c>
      <c r="E3706" t="s">
        <v>111</v>
      </c>
      <c r="F3706" t="s">
        <v>7</v>
      </c>
      <c r="G3706" t="s">
        <v>109</v>
      </c>
      <c r="H3706" s="62">
        <v>2026</v>
      </c>
      <c r="I3706">
        <v>0</v>
      </c>
    </row>
    <row r="3707" spans="1:9">
      <c r="A3707" t="s">
        <v>104</v>
      </c>
      <c r="B3707" t="s">
        <v>105</v>
      </c>
      <c r="C3707" t="s">
        <v>80</v>
      </c>
      <c r="D3707" t="s">
        <v>100</v>
      </c>
      <c r="E3707" t="s">
        <v>112</v>
      </c>
      <c r="F3707" t="s">
        <v>7</v>
      </c>
      <c r="G3707" t="s">
        <v>109</v>
      </c>
      <c r="H3707" s="62">
        <v>2026</v>
      </c>
      <c r="I3707">
        <v>0</v>
      </c>
    </row>
    <row r="3708" spans="1:9">
      <c r="A3708" t="s">
        <v>104</v>
      </c>
      <c r="B3708" t="s">
        <v>105</v>
      </c>
      <c r="C3708" t="s">
        <v>80</v>
      </c>
      <c r="D3708" t="s">
        <v>83</v>
      </c>
      <c r="E3708" t="s">
        <v>84</v>
      </c>
      <c r="F3708" t="s">
        <v>7</v>
      </c>
      <c r="G3708" t="s">
        <v>109</v>
      </c>
      <c r="H3708" s="62">
        <v>2026</v>
      </c>
      <c r="I3708">
        <v>5.1055999999999999</v>
      </c>
    </row>
    <row r="3709" spans="1:9">
      <c r="A3709" t="s">
        <v>104</v>
      </c>
      <c r="B3709" t="s">
        <v>105</v>
      </c>
      <c r="C3709" t="s">
        <v>80</v>
      </c>
      <c r="D3709" t="s">
        <v>83</v>
      </c>
      <c r="E3709" t="s">
        <v>85</v>
      </c>
      <c r="F3709" t="s">
        <v>7</v>
      </c>
      <c r="G3709" t="s">
        <v>109</v>
      </c>
      <c r="H3709" s="62">
        <v>2026</v>
      </c>
      <c r="I3709">
        <v>4.4912000000000001</v>
      </c>
    </row>
    <row r="3710" spans="1:9">
      <c r="A3710" t="s">
        <v>104</v>
      </c>
      <c r="B3710" t="s">
        <v>105</v>
      </c>
      <c r="C3710" t="s">
        <v>80</v>
      </c>
      <c r="D3710" t="s">
        <v>86</v>
      </c>
      <c r="E3710" t="s">
        <v>106</v>
      </c>
      <c r="F3710" t="s">
        <v>7</v>
      </c>
      <c r="G3710" t="s">
        <v>109</v>
      </c>
      <c r="H3710" s="62">
        <v>2026</v>
      </c>
      <c r="I3710">
        <v>4.1208999999999998</v>
      </c>
    </row>
    <row r="3711" spans="1:9">
      <c r="A3711" t="s">
        <v>104</v>
      </c>
      <c r="B3711" t="s">
        <v>105</v>
      </c>
      <c r="C3711" t="s">
        <v>80</v>
      </c>
      <c r="D3711" t="s">
        <v>86</v>
      </c>
      <c r="E3711" t="s">
        <v>87</v>
      </c>
      <c r="F3711" t="s">
        <v>7</v>
      </c>
      <c r="G3711" t="s">
        <v>109</v>
      </c>
      <c r="H3711" s="62">
        <v>2026</v>
      </c>
      <c r="I3711">
        <v>3.4424999999999999</v>
      </c>
    </row>
    <row r="3712" spans="1:9">
      <c r="A3712" t="s">
        <v>104</v>
      </c>
      <c r="B3712" t="s">
        <v>105</v>
      </c>
      <c r="C3712" t="s">
        <v>80</v>
      </c>
      <c r="D3712" t="s">
        <v>103</v>
      </c>
      <c r="E3712" t="s">
        <v>92</v>
      </c>
      <c r="F3712" t="s">
        <v>7</v>
      </c>
      <c r="G3712" t="s">
        <v>109</v>
      </c>
      <c r="H3712" s="62">
        <v>2026</v>
      </c>
      <c r="I3712">
        <v>5.4250999999999996</v>
      </c>
    </row>
    <row r="3713" spans="1:9">
      <c r="A3713" t="s">
        <v>104</v>
      </c>
      <c r="B3713" t="s">
        <v>105</v>
      </c>
      <c r="C3713" t="s">
        <v>80</v>
      </c>
      <c r="D3713" t="s">
        <v>103</v>
      </c>
      <c r="E3713" t="s">
        <v>89</v>
      </c>
      <c r="F3713" t="s">
        <v>7</v>
      </c>
      <c r="G3713" t="s">
        <v>109</v>
      </c>
      <c r="H3713" s="62">
        <v>2026</v>
      </c>
      <c r="I3713">
        <v>24.5671</v>
      </c>
    </row>
    <row r="3714" spans="1:9">
      <c r="A3714" t="s">
        <v>104</v>
      </c>
      <c r="B3714" t="s">
        <v>105</v>
      </c>
      <c r="C3714" t="s">
        <v>107</v>
      </c>
      <c r="D3714" t="s">
        <v>107</v>
      </c>
      <c r="E3714" t="s">
        <v>107</v>
      </c>
      <c r="F3714" t="s">
        <v>7</v>
      </c>
      <c r="G3714" t="s">
        <v>109</v>
      </c>
      <c r="H3714" s="62">
        <v>2027</v>
      </c>
      <c r="I3714">
        <v>187.642</v>
      </c>
    </row>
    <row r="3715" spans="1:9">
      <c r="A3715" t="s">
        <v>104</v>
      </c>
      <c r="B3715" t="s">
        <v>105</v>
      </c>
      <c r="C3715" t="s">
        <v>107</v>
      </c>
      <c r="D3715" t="s">
        <v>108</v>
      </c>
      <c r="E3715" t="s">
        <v>108</v>
      </c>
      <c r="F3715" t="s">
        <v>7</v>
      </c>
      <c r="G3715" t="s">
        <v>109</v>
      </c>
      <c r="H3715" s="62">
        <v>2027</v>
      </c>
      <c r="I3715">
        <v>7.7939999999999996</v>
      </c>
    </row>
    <row r="3716" spans="1:9">
      <c r="A3716" t="s">
        <v>104</v>
      </c>
      <c r="B3716" t="s">
        <v>105</v>
      </c>
      <c r="C3716" t="s">
        <v>80</v>
      </c>
      <c r="D3716" t="s">
        <v>80</v>
      </c>
      <c r="E3716" t="s">
        <v>80</v>
      </c>
      <c r="F3716" t="s">
        <v>7</v>
      </c>
      <c r="G3716" t="s">
        <v>109</v>
      </c>
      <c r="H3716" s="62">
        <v>2027</v>
      </c>
      <c r="I3716">
        <v>179.84800000000001</v>
      </c>
    </row>
    <row r="3717" spans="1:9">
      <c r="A3717" t="s">
        <v>104</v>
      </c>
      <c r="B3717" t="s">
        <v>105</v>
      </c>
      <c r="C3717" t="s">
        <v>80</v>
      </c>
      <c r="D3717" t="s">
        <v>89</v>
      </c>
      <c r="E3717" t="s">
        <v>90</v>
      </c>
      <c r="F3717" t="s">
        <v>7</v>
      </c>
      <c r="G3717" t="s">
        <v>109</v>
      </c>
      <c r="H3717" s="62">
        <v>2027</v>
      </c>
      <c r="I3717">
        <v>30.191700000000001</v>
      </c>
    </row>
    <row r="3718" spans="1:9">
      <c r="A3718" t="s">
        <v>104</v>
      </c>
      <c r="B3718" t="s">
        <v>105</v>
      </c>
      <c r="C3718" t="s">
        <v>80</v>
      </c>
      <c r="D3718" t="s">
        <v>89</v>
      </c>
      <c r="E3718" t="s">
        <v>91</v>
      </c>
      <c r="F3718" t="s">
        <v>7</v>
      </c>
      <c r="G3718" t="s">
        <v>109</v>
      </c>
      <c r="H3718" s="62">
        <v>2027</v>
      </c>
      <c r="I3718">
        <v>-1.4519</v>
      </c>
    </row>
    <row r="3719" spans="1:9">
      <c r="A3719" t="s">
        <v>104</v>
      </c>
      <c r="B3719" t="s">
        <v>105</v>
      </c>
      <c r="C3719" t="s">
        <v>80</v>
      </c>
      <c r="D3719" t="s">
        <v>92</v>
      </c>
      <c r="E3719" t="s">
        <v>93</v>
      </c>
      <c r="F3719" t="s">
        <v>7</v>
      </c>
      <c r="G3719" t="s">
        <v>109</v>
      </c>
      <c r="H3719" s="62">
        <v>2027</v>
      </c>
      <c r="I3719">
        <v>-6.6224999999999996</v>
      </c>
    </row>
    <row r="3720" spans="1:9">
      <c r="A3720" t="s">
        <v>104</v>
      </c>
      <c r="B3720" t="s">
        <v>105</v>
      </c>
      <c r="C3720" t="s">
        <v>80</v>
      </c>
      <c r="D3720" t="s">
        <v>92</v>
      </c>
      <c r="E3720" t="s">
        <v>94</v>
      </c>
      <c r="F3720" t="s">
        <v>7</v>
      </c>
      <c r="G3720" t="s">
        <v>109</v>
      </c>
      <c r="H3720" s="62">
        <v>2027</v>
      </c>
      <c r="I3720">
        <v>80.827600000000004</v>
      </c>
    </row>
    <row r="3721" spans="1:9">
      <c r="A3721" t="s">
        <v>104</v>
      </c>
      <c r="B3721" t="s">
        <v>105</v>
      </c>
      <c r="C3721" t="s">
        <v>80</v>
      </c>
      <c r="D3721" t="s">
        <v>92</v>
      </c>
      <c r="E3721" t="s">
        <v>110</v>
      </c>
      <c r="F3721" t="s">
        <v>7</v>
      </c>
      <c r="G3721" t="s">
        <v>109</v>
      </c>
      <c r="H3721" s="62">
        <v>2027</v>
      </c>
      <c r="I3721">
        <v>6.5895000000000001</v>
      </c>
    </row>
    <row r="3722" spans="1:9">
      <c r="A3722" t="s">
        <v>104</v>
      </c>
      <c r="B3722" t="s">
        <v>105</v>
      </c>
      <c r="C3722" t="s">
        <v>80</v>
      </c>
      <c r="D3722" t="s">
        <v>92</v>
      </c>
      <c r="E3722" t="s">
        <v>95</v>
      </c>
      <c r="F3722" t="s">
        <v>7</v>
      </c>
      <c r="G3722" t="s">
        <v>109</v>
      </c>
      <c r="H3722" s="62">
        <v>2027</v>
      </c>
      <c r="I3722">
        <v>50.6678</v>
      </c>
    </row>
    <row r="3723" spans="1:9">
      <c r="A3723" t="s">
        <v>104</v>
      </c>
      <c r="B3723" t="s">
        <v>105</v>
      </c>
      <c r="C3723" t="s">
        <v>80</v>
      </c>
      <c r="D3723" t="s">
        <v>96</v>
      </c>
      <c r="E3723" t="s">
        <v>92</v>
      </c>
      <c r="F3723" t="s">
        <v>7</v>
      </c>
      <c r="G3723" t="s">
        <v>109</v>
      </c>
      <c r="H3723" s="62">
        <v>2027</v>
      </c>
      <c r="I3723">
        <v>6.1925999999999997</v>
      </c>
    </row>
    <row r="3724" spans="1:9">
      <c r="A3724" t="s">
        <v>104</v>
      </c>
      <c r="B3724" t="s">
        <v>105</v>
      </c>
      <c r="C3724" t="s">
        <v>80</v>
      </c>
      <c r="D3724" t="s">
        <v>96</v>
      </c>
      <c r="E3724" t="s">
        <v>89</v>
      </c>
      <c r="F3724" t="s">
        <v>7</v>
      </c>
      <c r="G3724" t="s">
        <v>109</v>
      </c>
      <c r="H3724" s="62">
        <v>2027</v>
      </c>
      <c r="I3724">
        <v>0.65190000000000003</v>
      </c>
    </row>
    <row r="3725" spans="1:9">
      <c r="A3725" t="s">
        <v>104</v>
      </c>
      <c r="B3725" t="s">
        <v>105</v>
      </c>
      <c r="C3725" t="s">
        <v>80</v>
      </c>
      <c r="D3725" t="s">
        <v>97</v>
      </c>
      <c r="E3725" t="s">
        <v>98</v>
      </c>
      <c r="F3725" t="s">
        <v>7</v>
      </c>
      <c r="G3725" t="s">
        <v>109</v>
      </c>
      <c r="H3725" s="62">
        <v>2027</v>
      </c>
      <c r="I3725">
        <v>1.9615</v>
      </c>
    </row>
    <row r="3726" spans="1:9">
      <c r="A3726" t="s">
        <v>104</v>
      </c>
      <c r="B3726" t="s">
        <v>105</v>
      </c>
      <c r="C3726" t="s">
        <v>80</v>
      </c>
      <c r="D3726" t="s">
        <v>97</v>
      </c>
      <c r="E3726" t="s">
        <v>99</v>
      </c>
      <c r="F3726" t="s">
        <v>7</v>
      </c>
      <c r="G3726" t="s">
        <v>109</v>
      </c>
      <c r="H3726" s="62">
        <v>2027</v>
      </c>
      <c r="I3726">
        <v>0</v>
      </c>
    </row>
    <row r="3727" spans="1:9">
      <c r="A3727" t="s">
        <v>104</v>
      </c>
      <c r="B3727" t="s">
        <v>105</v>
      </c>
      <c r="C3727" t="s">
        <v>80</v>
      </c>
      <c r="D3727" t="s">
        <v>100</v>
      </c>
      <c r="E3727" t="s">
        <v>101</v>
      </c>
      <c r="F3727" t="s">
        <v>7</v>
      </c>
      <c r="G3727" t="s">
        <v>109</v>
      </c>
      <c r="H3727" s="62">
        <v>2027</v>
      </c>
      <c r="I3727">
        <v>1.1117999999999999</v>
      </c>
    </row>
    <row r="3728" spans="1:9">
      <c r="A3728" t="s">
        <v>104</v>
      </c>
      <c r="B3728" t="s">
        <v>105</v>
      </c>
      <c r="C3728" t="s">
        <v>80</v>
      </c>
      <c r="D3728" t="s">
        <v>100</v>
      </c>
      <c r="E3728" t="s">
        <v>102</v>
      </c>
      <c r="F3728" t="s">
        <v>7</v>
      </c>
      <c r="G3728" t="s">
        <v>109</v>
      </c>
      <c r="H3728" s="62">
        <v>2027</v>
      </c>
      <c r="I3728">
        <v>0</v>
      </c>
    </row>
    <row r="3729" spans="1:9">
      <c r="A3729" t="s">
        <v>104</v>
      </c>
      <c r="B3729" t="s">
        <v>105</v>
      </c>
      <c r="C3729" t="s">
        <v>80</v>
      </c>
      <c r="D3729" t="s">
        <v>100</v>
      </c>
      <c r="E3729" t="s">
        <v>111</v>
      </c>
      <c r="F3729" t="s">
        <v>7</v>
      </c>
      <c r="G3729" t="s">
        <v>109</v>
      </c>
      <c r="H3729" s="62">
        <v>2027</v>
      </c>
      <c r="I3729">
        <v>0</v>
      </c>
    </row>
    <row r="3730" spans="1:9">
      <c r="A3730" t="s">
        <v>104</v>
      </c>
      <c r="B3730" t="s">
        <v>105</v>
      </c>
      <c r="C3730" t="s">
        <v>80</v>
      </c>
      <c r="D3730" t="s">
        <v>100</v>
      </c>
      <c r="E3730" t="s">
        <v>112</v>
      </c>
      <c r="F3730" t="s">
        <v>7</v>
      </c>
      <c r="G3730" t="s">
        <v>109</v>
      </c>
      <c r="H3730" s="62">
        <v>2027</v>
      </c>
      <c r="I3730">
        <v>0</v>
      </c>
    </row>
    <row r="3731" spans="1:9">
      <c r="A3731" t="s">
        <v>104</v>
      </c>
      <c r="B3731" t="s">
        <v>105</v>
      </c>
      <c r="C3731" t="s">
        <v>80</v>
      </c>
      <c r="D3731" t="s">
        <v>83</v>
      </c>
      <c r="E3731" t="s">
        <v>84</v>
      </c>
      <c r="F3731" t="s">
        <v>7</v>
      </c>
      <c r="G3731" t="s">
        <v>109</v>
      </c>
      <c r="H3731" s="62">
        <v>2027</v>
      </c>
      <c r="I3731">
        <v>5.1707000000000001</v>
      </c>
    </row>
    <row r="3732" spans="1:9">
      <c r="A3732" t="s">
        <v>104</v>
      </c>
      <c r="B3732" t="s">
        <v>105</v>
      </c>
      <c r="C3732" t="s">
        <v>80</v>
      </c>
      <c r="D3732" t="s">
        <v>83</v>
      </c>
      <c r="E3732" t="s">
        <v>85</v>
      </c>
      <c r="F3732" t="s">
        <v>7</v>
      </c>
      <c r="G3732" t="s">
        <v>109</v>
      </c>
      <c r="H3732" s="62">
        <v>2027</v>
      </c>
      <c r="I3732">
        <v>4.5574000000000003</v>
      </c>
    </row>
    <row r="3733" spans="1:9">
      <c r="A3733" t="s">
        <v>104</v>
      </c>
      <c r="B3733" t="s">
        <v>105</v>
      </c>
      <c r="C3733" t="s">
        <v>80</v>
      </c>
      <c r="D3733" t="s">
        <v>86</v>
      </c>
      <c r="E3733" t="s">
        <v>106</v>
      </c>
      <c r="F3733" t="s">
        <v>7</v>
      </c>
      <c r="G3733" t="s">
        <v>109</v>
      </c>
      <c r="H3733" s="62">
        <v>2027</v>
      </c>
      <c r="I3733">
        <v>4.1596000000000002</v>
      </c>
    </row>
    <row r="3734" spans="1:9">
      <c r="A3734" t="s">
        <v>104</v>
      </c>
      <c r="B3734" t="s">
        <v>105</v>
      </c>
      <c r="C3734" t="s">
        <v>80</v>
      </c>
      <c r="D3734" t="s">
        <v>86</v>
      </c>
      <c r="E3734" t="s">
        <v>87</v>
      </c>
      <c r="F3734" t="s">
        <v>7</v>
      </c>
      <c r="G3734" t="s">
        <v>109</v>
      </c>
      <c r="H3734" s="62">
        <v>2027</v>
      </c>
      <c r="I3734">
        <v>3.9146999999999998</v>
      </c>
    </row>
    <row r="3735" spans="1:9">
      <c r="A3735" t="s">
        <v>104</v>
      </c>
      <c r="B3735" t="s">
        <v>105</v>
      </c>
      <c r="C3735" t="s">
        <v>80</v>
      </c>
      <c r="D3735" t="s">
        <v>103</v>
      </c>
      <c r="E3735" t="s">
        <v>92</v>
      </c>
      <c r="F3735" t="s">
        <v>7</v>
      </c>
      <c r="G3735" t="s">
        <v>109</v>
      </c>
      <c r="H3735" s="62">
        <v>2027</v>
      </c>
      <c r="I3735">
        <v>5.8369</v>
      </c>
    </row>
    <row r="3736" spans="1:9">
      <c r="A3736" t="s">
        <v>104</v>
      </c>
      <c r="B3736" t="s">
        <v>105</v>
      </c>
      <c r="C3736" t="s">
        <v>80</v>
      </c>
      <c r="D3736" t="s">
        <v>103</v>
      </c>
      <c r="E3736" t="s">
        <v>89</v>
      </c>
      <c r="F3736" t="s">
        <v>7</v>
      </c>
      <c r="G3736" t="s">
        <v>109</v>
      </c>
      <c r="H3736" s="62">
        <v>2027</v>
      </c>
      <c r="I3736">
        <v>27.2195</v>
      </c>
    </row>
    <row r="3737" spans="1:9">
      <c r="A3737" t="s">
        <v>104</v>
      </c>
      <c r="B3737" t="s">
        <v>105</v>
      </c>
      <c r="C3737" t="s">
        <v>107</v>
      </c>
      <c r="D3737" t="s">
        <v>107</v>
      </c>
      <c r="E3737" t="s">
        <v>107</v>
      </c>
      <c r="F3737" t="s">
        <v>7</v>
      </c>
      <c r="G3737" t="s">
        <v>109</v>
      </c>
      <c r="H3737" s="62">
        <v>2028</v>
      </c>
      <c r="I3737">
        <v>188.00989999999999</v>
      </c>
    </row>
    <row r="3738" spans="1:9">
      <c r="A3738" t="s">
        <v>104</v>
      </c>
      <c r="B3738" t="s">
        <v>105</v>
      </c>
      <c r="C3738" t="s">
        <v>107</v>
      </c>
      <c r="D3738" t="s">
        <v>108</v>
      </c>
      <c r="E3738" t="s">
        <v>108</v>
      </c>
      <c r="F3738" t="s">
        <v>7</v>
      </c>
      <c r="G3738" t="s">
        <v>109</v>
      </c>
      <c r="H3738" s="62">
        <v>2028</v>
      </c>
      <c r="I3738">
        <v>6.3003</v>
      </c>
    </row>
    <row r="3739" spans="1:9">
      <c r="A3739" t="s">
        <v>104</v>
      </c>
      <c r="B3739" t="s">
        <v>105</v>
      </c>
      <c r="C3739" t="s">
        <v>80</v>
      </c>
      <c r="D3739" t="s">
        <v>80</v>
      </c>
      <c r="E3739" t="s">
        <v>80</v>
      </c>
      <c r="F3739" t="s">
        <v>7</v>
      </c>
      <c r="G3739" t="s">
        <v>109</v>
      </c>
      <c r="H3739" s="62">
        <v>2028</v>
      </c>
      <c r="I3739">
        <v>181.70959999999999</v>
      </c>
    </row>
    <row r="3740" spans="1:9">
      <c r="A3740" t="s">
        <v>104</v>
      </c>
      <c r="B3740" t="s">
        <v>105</v>
      </c>
      <c r="C3740" t="s">
        <v>80</v>
      </c>
      <c r="D3740" t="s">
        <v>89</v>
      </c>
      <c r="E3740" t="s">
        <v>90</v>
      </c>
      <c r="F3740" t="s">
        <v>7</v>
      </c>
      <c r="G3740" t="s">
        <v>109</v>
      </c>
      <c r="H3740" s="62">
        <v>2028</v>
      </c>
      <c r="I3740">
        <v>27.681000000000001</v>
      </c>
    </row>
    <row r="3741" spans="1:9">
      <c r="A3741" t="s">
        <v>104</v>
      </c>
      <c r="B3741" t="s">
        <v>105</v>
      </c>
      <c r="C3741" t="s">
        <v>80</v>
      </c>
      <c r="D3741" t="s">
        <v>89</v>
      </c>
      <c r="E3741" t="s">
        <v>91</v>
      </c>
      <c r="F3741" t="s">
        <v>7</v>
      </c>
      <c r="G3741" t="s">
        <v>109</v>
      </c>
      <c r="H3741" s="62">
        <v>2028</v>
      </c>
      <c r="I3741">
        <v>-1.4254</v>
      </c>
    </row>
    <row r="3742" spans="1:9">
      <c r="A3742" t="s">
        <v>104</v>
      </c>
      <c r="B3742" t="s">
        <v>105</v>
      </c>
      <c r="C3742" t="s">
        <v>80</v>
      </c>
      <c r="D3742" t="s">
        <v>92</v>
      </c>
      <c r="E3742" t="s">
        <v>93</v>
      </c>
      <c r="F3742" t="s">
        <v>7</v>
      </c>
      <c r="G3742" t="s">
        <v>109</v>
      </c>
      <c r="H3742" s="62">
        <v>2028</v>
      </c>
      <c r="I3742">
        <v>-7.1848999999999998</v>
      </c>
    </row>
    <row r="3743" spans="1:9">
      <c r="A3743" t="s">
        <v>104</v>
      </c>
      <c r="B3743" t="s">
        <v>105</v>
      </c>
      <c r="C3743" t="s">
        <v>80</v>
      </c>
      <c r="D3743" t="s">
        <v>92</v>
      </c>
      <c r="E3743" t="s">
        <v>94</v>
      </c>
      <c r="F3743" t="s">
        <v>7</v>
      </c>
      <c r="G3743" t="s">
        <v>109</v>
      </c>
      <c r="H3743" s="62">
        <v>2028</v>
      </c>
      <c r="I3743">
        <v>81.419899999999998</v>
      </c>
    </row>
    <row r="3744" spans="1:9">
      <c r="A3744" t="s">
        <v>104</v>
      </c>
      <c r="B3744" t="s">
        <v>105</v>
      </c>
      <c r="C3744" t="s">
        <v>80</v>
      </c>
      <c r="D3744" t="s">
        <v>92</v>
      </c>
      <c r="E3744" t="s">
        <v>110</v>
      </c>
      <c r="F3744" t="s">
        <v>7</v>
      </c>
      <c r="G3744" t="s">
        <v>109</v>
      </c>
      <c r="H3744" s="62">
        <v>2028</v>
      </c>
      <c r="I3744">
        <v>6.6192000000000002</v>
      </c>
    </row>
    <row r="3745" spans="1:9">
      <c r="A3745" t="s">
        <v>104</v>
      </c>
      <c r="B3745" t="s">
        <v>105</v>
      </c>
      <c r="C3745" t="s">
        <v>80</v>
      </c>
      <c r="D3745" t="s">
        <v>92</v>
      </c>
      <c r="E3745" t="s">
        <v>95</v>
      </c>
      <c r="F3745" t="s">
        <v>7</v>
      </c>
      <c r="G3745" t="s">
        <v>109</v>
      </c>
      <c r="H3745" s="62">
        <v>2028</v>
      </c>
      <c r="I3745">
        <v>51.144300000000001</v>
      </c>
    </row>
    <row r="3746" spans="1:9">
      <c r="A3746" t="s">
        <v>104</v>
      </c>
      <c r="B3746" t="s">
        <v>105</v>
      </c>
      <c r="C3746" t="s">
        <v>80</v>
      </c>
      <c r="D3746" t="s">
        <v>96</v>
      </c>
      <c r="E3746" t="s">
        <v>92</v>
      </c>
      <c r="F3746" t="s">
        <v>7</v>
      </c>
      <c r="G3746" t="s">
        <v>109</v>
      </c>
      <c r="H3746" s="62">
        <v>2028</v>
      </c>
      <c r="I3746">
        <v>8.0958000000000006</v>
      </c>
    </row>
    <row r="3747" spans="1:9">
      <c r="A3747" t="s">
        <v>104</v>
      </c>
      <c r="B3747" t="s">
        <v>105</v>
      </c>
      <c r="C3747" t="s">
        <v>80</v>
      </c>
      <c r="D3747" t="s">
        <v>96</v>
      </c>
      <c r="E3747" t="s">
        <v>89</v>
      </c>
      <c r="F3747" t="s">
        <v>7</v>
      </c>
      <c r="G3747" t="s">
        <v>109</v>
      </c>
      <c r="H3747" s="62">
        <v>2028</v>
      </c>
      <c r="I3747">
        <v>1.2412000000000001</v>
      </c>
    </row>
    <row r="3748" spans="1:9">
      <c r="A3748" t="s">
        <v>104</v>
      </c>
      <c r="B3748" t="s">
        <v>105</v>
      </c>
      <c r="C3748" t="s">
        <v>80</v>
      </c>
      <c r="D3748" t="s">
        <v>97</v>
      </c>
      <c r="E3748" t="s">
        <v>98</v>
      </c>
      <c r="F3748" t="s">
        <v>7</v>
      </c>
      <c r="G3748" t="s">
        <v>109</v>
      </c>
      <c r="H3748" s="62">
        <v>2028</v>
      </c>
      <c r="I3748">
        <v>2.8778000000000001</v>
      </c>
    </row>
    <row r="3749" spans="1:9">
      <c r="A3749" t="s">
        <v>104</v>
      </c>
      <c r="B3749" t="s">
        <v>105</v>
      </c>
      <c r="C3749" t="s">
        <v>80</v>
      </c>
      <c r="D3749" t="s">
        <v>97</v>
      </c>
      <c r="E3749" t="s">
        <v>99</v>
      </c>
      <c r="F3749" t="s">
        <v>7</v>
      </c>
      <c r="G3749" t="s">
        <v>109</v>
      </c>
      <c r="H3749" s="62">
        <v>2028</v>
      </c>
      <c r="I3749">
        <v>0</v>
      </c>
    </row>
    <row r="3750" spans="1:9">
      <c r="A3750" t="s">
        <v>104</v>
      </c>
      <c r="B3750" t="s">
        <v>105</v>
      </c>
      <c r="C3750" t="s">
        <v>80</v>
      </c>
      <c r="D3750" t="s">
        <v>100</v>
      </c>
      <c r="E3750" t="s">
        <v>101</v>
      </c>
      <c r="F3750" t="s">
        <v>7</v>
      </c>
      <c r="G3750" t="s">
        <v>109</v>
      </c>
      <c r="H3750" s="62">
        <v>2028</v>
      </c>
      <c r="I3750">
        <v>1.3952</v>
      </c>
    </row>
    <row r="3751" spans="1:9">
      <c r="A3751" t="s">
        <v>104</v>
      </c>
      <c r="B3751" t="s">
        <v>105</v>
      </c>
      <c r="C3751" t="s">
        <v>80</v>
      </c>
      <c r="D3751" t="s">
        <v>100</v>
      </c>
      <c r="E3751" t="s">
        <v>102</v>
      </c>
      <c r="F3751" t="s">
        <v>7</v>
      </c>
      <c r="G3751" t="s">
        <v>109</v>
      </c>
      <c r="H3751" s="62">
        <v>2028</v>
      </c>
      <c r="I3751">
        <v>0</v>
      </c>
    </row>
    <row r="3752" spans="1:9">
      <c r="A3752" t="s">
        <v>104</v>
      </c>
      <c r="B3752" t="s">
        <v>105</v>
      </c>
      <c r="C3752" t="s">
        <v>80</v>
      </c>
      <c r="D3752" t="s">
        <v>100</v>
      </c>
      <c r="E3752" t="s">
        <v>111</v>
      </c>
      <c r="F3752" t="s">
        <v>7</v>
      </c>
      <c r="G3752" t="s">
        <v>109</v>
      </c>
      <c r="H3752" s="62">
        <v>2028</v>
      </c>
      <c r="I3752">
        <v>0</v>
      </c>
    </row>
    <row r="3753" spans="1:9">
      <c r="A3753" t="s">
        <v>104</v>
      </c>
      <c r="B3753" t="s">
        <v>105</v>
      </c>
      <c r="C3753" t="s">
        <v>80</v>
      </c>
      <c r="D3753" t="s">
        <v>100</v>
      </c>
      <c r="E3753" t="s">
        <v>112</v>
      </c>
      <c r="F3753" t="s">
        <v>7</v>
      </c>
      <c r="G3753" t="s">
        <v>109</v>
      </c>
      <c r="H3753" s="62">
        <v>2028</v>
      </c>
      <c r="I3753">
        <v>0</v>
      </c>
    </row>
    <row r="3754" spans="1:9">
      <c r="A3754" t="s">
        <v>104</v>
      </c>
      <c r="B3754" t="s">
        <v>105</v>
      </c>
      <c r="C3754" t="s">
        <v>80</v>
      </c>
      <c r="D3754" t="s">
        <v>83</v>
      </c>
      <c r="E3754" t="s">
        <v>84</v>
      </c>
      <c r="F3754" t="s">
        <v>7</v>
      </c>
      <c r="G3754" t="s">
        <v>109</v>
      </c>
      <c r="H3754" s="62">
        <v>2028</v>
      </c>
      <c r="I3754">
        <v>5.2369000000000003</v>
      </c>
    </row>
    <row r="3755" spans="1:9">
      <c r="A3755" t="s">
        <v>104</v>
      </c>
      <c r="B3755" t="s">
        <v>105</v>
      </c>
      <c r="C3755" t="s">
        <v>80</v>
      </c>
      <c r="D3755" t="s">
        <v>83</v>
      </c>
      <c r="E3755" t="s">
        <v>85</v>
      </c>
      <c r="F3755" t="s">
        <v>7</v>
      </c>
      <c r="G3755" t="s">
        <v>109</v>
      </c>
      <c r="H3755" s="62">
        <v>2028</v>
      </c>
      <c r="I3755">
        <v>4.6085000000000003</v>
      </c>
    </row>
    <row r="3756" spans="1:9">
      <c r="A3756" t="s">
        <v>104</v>
      </c>
      <c r="B3756" t="s">
        <v>105</v>
      </c>
      <c r="C3756" t="s">
        <v>80</v>
      </c>
      <c r="D3756" t="s">
        <v>86</v>
      </c>
      <c r="E3756" t="s">
        <v>106</v>
      </c>
      <c r="F3756" t="s">
        <v>7</v>
      </c>
      <c r="G3756" t="s">
        <v>109</v>
      </c>
      <c r="H3756" s="62">
        <v>2028</v>
      </c>
      <c r="I3756">
        <v>4.2099000000000002</v>
      </c>
    </row>
    <row r="3757" spans="1:9">
      <c r="A3757" t="s">
        <v>104</v>
      </c>
      <c r="B3757" t="s">
        <v>105</v>
      </c>
      <c r="C3757" t="s">
        <v>80</v>
      </c>
      <c r="D3757" t="s">
        <v>86</v>
      </c>
      <c r="E3757" t="s">
        <v>87</v>
      </c>
      <c r="F3757" t="s">
        <v>7</v>
      </c>
      <c r="G3757" t="s">
        <v>109</v>
      </c>
      <c r="H3757" s="62">
        <v>2028</v>
      </c>
      <c r="I3757">
        <v>4.4004000000000003</v>
      </c>
    </row>
    <row r="3758" spans="1:9">
      <c r="A3758" t="s">
        <v>104</v>
      </c>
      <c r="B3758" t="s">
        <v>105</v>
      </c>
      <c r="C3758" t="s">
        <v>80</v>
      </c>
      <c r="D3758" t="s">
        <v>103</v>
      </c>
      <c r="E3758" t="s">
        <v>92</v>
      </c>
      <c r="F3758" t="s">
        <v>7</v>
      </c>
      <c r="G3758" t="s">
        <v>109</v>
      </c>
      <c r="H3758" s="62">
        <v>2028</v>
      </c>
      <c r="I3758">
        <v>6.2615999999999996</v>
      </c>
    </row>
    <row r="3759" spans="1:9">
      <c r="A3759" t="s">
        <v>104</v>
      </c>
      <c r="B3759" t="s">
        <v>105</v>
      </c>
      <c r="C3759" t="s">
        <v>80</v>
      </c>
      <c r="D3759" t="s">
        <v>103</v>
      </c>
      <c r="E3759" t="s">
        <v>89</v>
      </c>
      <c r="F3759" t="s">
        <v>7</v>
      </c>
      <c r="G3759" t="s">
        <v>109</v>
      </c>
      <c r="H3759" s="62">
        <v>2028</v>
      </c>
      <c r="I3759">
        <v>29.9298</v>
      </c>
    </row>
    <row r="3760" spans="1:9">
      <c r="A3760" t="s">
        <v>104</v>
      </c>
      <c r="B3760" t="s">
        <v>105</v>
      </c>
      <c r="C3760" t="s">
        <v>107</v>
      </c>
      <c r="D3760" t="s">
        <v>107</v>
      </c>
      <c r="E3760" t="s">
        <v>107</v>
      </c>
      <c r="F3760" t="s">
        <v>7</v>
      </c>
      <c r="G3760" t="s">
        <v>109</v>
      </c>
      <c r="H3760" s="62">
        <v>2029</v>
      </c>
      <c r="I3760">
        <v>188.79259999999999</v>
      </c>
    </row>
    <row r="3761" spans="1:9">
      <c r="A3761" t="s">
        <v>104</v>
      </c>
      <c r="B3761" t="s">
        <v>105</v>
      </c>
      <c r="C3761" t="s">
        <v>107</v>
      </c>
      <c r="D3761" t="s">
        <v>108</v>
      </c>
      <c r="E3761" t="s">
        <v>108</v>
      </c>
      <c r="F3761" t="s">
        <v>7</v>
      </c>
      <c r="G3761" t="s">
        <v>109</v>
      </c>
      <c r="H3761" s="62">
        <v>2029</v>
      </c>
      <c r="I3761">
        <v>5.2436999999999996</v>
      </c>
    </row>
    <row r="3762" spans="1:9">
      <c r="A3762" t="s">
        <v>104</v>
      </c>
      <c r="B3762" t="s">
        <v>105</v>
      </c>
      <c r="C3762" t="s">
        <v>80</v>
      </c>
      <c r="D3762" t="s">
        <v>80</v>
      </c>
      <c r="E3762" t="s">
        <v>80</v>
      </c>
      <c r="F3762" t="s">
        <v>7</v>
      </c>
      <c r="G3762" t="s">
        <v>109</v>
      </c>
      <c r="H3762" s="62">
        <v>2029</v>
      </c>
      <c r="I3762">
        <v>183.5489</v>
      </c>
    </row>
    <row r="3763" spans="1:9">
      <c r="A3763" t="s">
        <v>104</v>
      </c>
      <c r="B3763" t="s">
        <v>105</v>
      </c>
      <c r="C3763" t="s">
        <v>80</v>
      </c>
      <c r="D3763" t="s">
        <v>89</v>
      </c>
      <c r="E3763" t="s">
        <v>90</v>
      </c>
      <c r="F3763" t="s">
        <v>7</v>
      </c>
      <c r="G3763" t="s">
        <v>109</v>
      </c>
      <c r="H3763" s="62">
        <v>2029</v>
      </c>
      <c r="I3763">
        <v>25.550799999999999</v>
      </c>
    </row>
    <row r="3764" spans="1:9">
      <c r="A3764" t="s">
        <v>104</v>
      </c>
      <c r="B3764" t="s">
        <v>105</v>
      </c>
      <c r="C3764" t="s">
        <v>80</v>
      </c>
      <c r="D3764" t="s">
        <v>89</v>
      </c>
      <c r="E3764" t="s">
        <v>91</v>
      </c>
      <c r="F3764" t="s">
        <v>7</v>
      </c>
      <c r="G3764" t="s">
        <v>109</v>
      </c>
      <c r="H3764" s="62">
        <v>2029</v>
      </c>
      <c r="I3764">
        <v>-1.3972</v>
      </c>
    </row>
    <row r="3765" spans="1:9">
      <c r="A3765" t="s">
        <v>104</v>
      </c>
      <c r="B3765" t="s">
        <v>105</v>
      </c>
      <c r="C3765" t="s">
        <v>80</v>
      </c>
      <c r="D3765" t="s">
        <v>92</v>
      </c>
      <c r="E3765" t="s">
        <v>93</v>
      </c>
      <c r="F3765" t="s">
        <v>7</v>
      </c>
      <c r="G3765" t="s">
        <v>109</v>
      </c>
      <c r="H3765" s="62">
        <v>2029</v>
      </c>
      <c r="I3765">
        <v>-7.6680000000000001</v>
      </c>
    </row>
    <row r="3766" spans="1:9">
      <c r="A3766" t="s">
        <v>104</v>
      </c>
      <c r="B3766" t="s">
        <v>105</v>
      </c>
      <c r="C3766" t="s">
        <v>80</v>
      </c>
      <c r="D3766" t="s">
        <v>92</v>
      </c>
      <c r="E3766" t="s">
        <v>94</v>
      </c>
      <c r="F3766" t="s">
        <v>7</v>
      </c>
      <c r="G3766" t="s">
        <v>109</v>
      </c>
      <c r="H3766" s="62">
        <v>2029</v>
      </c>
      <c r="I3766">
        <v>81.057400000000001</v>
      </c>
    </row>
    <row r="3767" spans="1:9">
      <c r="A3767" t="s">
        <v>104</v>
      </c>
      <c r="B3767" t="s">
        <v>105</v>
      </c>
      <c r="C3767" t="s">
        <v>80</v>
      </c>
      <c r="D3767" t="s">
        <v>92</v>
      </c>
      <c r="E3767" t="s">
        <v>110</v>
      </c>
      <c r="F3767" t="s">
        <v>7</v>
      </c>
      <c r="G3767" t="s">
        <v>109</v>
      </c>
      <c r="H3767" s="62">
        <v>2029</v>
      </c>
      <c r="I3767">
        <v>6.6013000000000002</v>
      </c>
    </row>
    <row r="3768" spans="1:9">
      <c r="A3768" t="s">
        <v>104</v>
      </c>
      <c r="B3768" t="s">
        <v>105</v>
      </c>
      <c r="C3768" t="s">
        <v>80</v>
      </c>
      <c r="D3768" t="s">
        <v>92</v>
      </c>
      <c r="E3768" t="s">
        <v>95</v>
      </c>
      <c r="F3768" t="s">
        <v>7</v>
      </c>
      <c r="G3768" t="s">
        <v>109</v>
      </c>
      <c r="H3768" s="62">
        <v>2029</v>
      </c>
      <c r="I3768">
        <v>51.505000000000003</v>
      </c>
    </row>
    <row r="3769" spans="1:9">
      <c r="A3769" t="s">
        <v>104</v>
      </c>
      <c r="B3769" t="s">
        <v>105</v>
      </c>
      <c r="C3769" t="s">
        <v>80</v>
      </c>
      <c r="D3769" t="s">
        <v>96</v>
      </c>
      <c r="E3769" t="s">
        <v>92</v>
      </c>
      <c r="F3769" t="s">
        <v>7</v>
      </c>
      <c r="G3769" t="s">
        <v>109</v>
      </c>
      <c r="H3769" s="62">
        <v>2029</v>
      </c>
      <c r="I3769">
        <v>9.9951000000000008</v>
      </c>
    </row>
    <row r="3770" spans="1:9">
      <c r="A3770" t="s">
        <v>104</v>
      </c>
      <c r="B3770" t="s">
        <v>105</v>
      </c>
      <c r="C3770" t="s">
        <v>80</v>
      </c>
      <c r="D3770" t="s">
        <v>96</v>
      </c>
      <c r="E3770" t="s">
        <v>89</v>
      </c>
      <c r="F3770" t="s">
        <v>7</v>
      </c>
      <c r="G3770" t="s">
        <v>109</v>
      </c>
      <c r="H3770" s="62">
        <v>2029</v>
      </c>
      <c r="I3770">
        <v>2.0333999999999999</v>
      </c>
    </row>
    <row r="3771" spans="1:9">
      <c r="A3771" t="s">
        <v>104</v>
      </c>
      <c r="B3771" t="s">
        <v>105</v>
      </c>
      <c r="C3771" t="s">
        <v>80</v>
      </c>
      <c r="D3771" t="s">
        <v>97</v>
      </c>
      <c r="E3771" t="s">
        <v>98</v>
      </c>
      <c r="F3771" t="s">
        <v>7</v>
      </c>
      <c r="G3771" t="s">
        <v>109</v>
      </c>
      <c r="H3771" s="62">
        <v>2029</v>
      </c>
      <c r="I3771">
        <v>3.9279000000000002</v>
      </c>
    </row>
    <row r="3772" spans="1:9">
      <c r="A3772" t="s">
        <v>104</v>
      </c>
      <c r="B3772" t="s">
        <v>105</v>
      </c>
      <c r="C3772" t="s">
        <v>80</v>
      </c>
      <c r="D3772" t="s">
        <v>97</v>
      </c>
      <c r="E3772" t="s">
        <v>99</v>
      </c>
      <c r="F3772" t="s">
        <v>7</v>
      </c>
      <c r="G3772" t="s">
        <v>109</v>
      </c>
      <c r="H3772" s="62">
        <v>2029</v>
      </c>
      <c r="I3772">
        <v>0</v>
      </c>
    </row>
    <row r="3773" spans="1:9">
      <c r="A3773" t="s">
        <v>104</v>
      </c>
      <c r="B3773" t="s">
        <v>105</v>
      </c>
      <c r="C3773" t="s">
        <v>80</v>
      </c>
      <c r="D3773" t="s">
        <v>100</v>
      </c>
      <c r="E3773" t="s">
        <v>101</v>
      </c>
      <c r="F3773" t="s">
        <v>7</v>
      </c>
      <c r="G3773" t="s">
        <v>109</v>
      </c>
      <c r="H3773" s="62">
        <v>2029</v>
      </c>
      <c r="I3773">
        <v>2.0036999999999998</v>
      </c>
    </row>
    <row r="3774" spans="1:9">
      <c r="A3774" t="s">
        <v>104</v>
      </c>
      <c r="B3774" t="s">
        <v>105</v>
      </c>
      <c r="C3774" t="s">
        <v>80</v>
      </c>
      <c r="D3774" t="s">
        <v>100</v>
      </c>
      <c r="E3774" t="s">
        <v>102</v>
      </c>
      <c r="F3774" t="s">
        <v>7</v>
      </c>
      <c r="G3774" t="s">
        <v>109</v>
      </c>
      <c r="H3774" s="62">
        <v>2029</v>
      </c>
      <c r="I3774">
        <v>0</v>
      </c>
    </row>
    <row r="3775" spans="1:9">
      <c r="A3775" t="s">
        <v>104</v>
      </c>
      <c r="B3775" t="s">
        <v>105</v>
      </c>
      <c r="C3775" t="s">
        <v>80</v>
      </c>
      <c r="D3775" t="s">
        <v>100</v>
      </c>
      <c r="E3775" t="s">
        <v>111</v>
      </c>
      <c r="F3775" t="s">
        <v>7</v>
      </c>
      <c r="G3775" t="s">
        <v>109</v>
      </c>
      <c r="H3775" s="62">
        <v>2029</v>
      </c>
      <c r="I3775">
        <v>0</v>
      </c>
    </row>
    <row r="3776" spans="1:9">
      <c r="A3776" t="s">
        <v>104</v>
      </c>
      <c r="B3776" t="s">
        <v>105</v>
      </c>
      <c r="C3776" t="s">
        <v>80</v>
      </c>
      <c r="D3776" t="s">
        <v>100</v>
      </c>
      <c r="E3776" t="s">
        <v>112</v>
      </c>
      <c r="F3776" t="s">
        <v>7</v>
      </c>
      <c r="G3776" t="s">
        <v>109</v>
      </c>
      <c r="H3776" s="62">
        <v>2029</v>
      </c>
      <c r="I3776">
        <v>0</v>
      </c>
    </row>
    <row r="3777" spans="1:9">
      <c r="A3777" t="s">
        <v>104</v>
      </c>
      <c r="B3777" t="s">
        <v>105</v>
      </c>
      <c r="C3777" t="s">
        <v>80</v>
      </c>
      <c r="D3777" t="s">
        <v>83</v>
      </c>
      <c r="E3777" t="s">
        <v>84</v>
      </c>
      <c r="F3777" t="s">
        <v>7</v>
      </c>
      <c r="G3777" t="s">
        <v>109</v>
      </c>
      <c r="H3777" s="62">
        <v>2029</v>
      </c>
      <c r="I3777">
        <v>5.2919</v>
      </c>
    </row>
    <row r="3778" spans="1:9">
      <c r="A3778" t="s">
        <v>104</v>
      </c>
      <c r="B3778" t="s">
        <v>105</v>
      </c>
      <c r="C3778" t="s">
        <v>80</v>
      </c>
      <c r="D3778" t="s">
        <v>83</v>
      </c>
      <c r="E3778" t="s">
        <v>85</v>
      </c>
      <c r="F3778" t="s">
        <v>7</v>
      </c>
      <c r="G3778" t="s">
        <v>109</v>
      </c>
      <c r="H3778" s="62">
        <v>2029</v>
      </c>
      <c r="I3778">
        <v>4.6475999999999997</v>
      </c>
    </row>
    <row r="3779" spans="1:9">
      <c r="A3779" t="s">
        <v>104</v>
      </c>
      <c r="B3779" t="s">
        <v>105</v>
      </c>
      <c r="C3779" t="s">
        <v>80</v>
      </c>
      <c r="D3779" t="s">
        <v>86</v>
      </c>
      <c r="E3779" t="s">
        <v>106</v>
      </c>
      <c r="F3779" t="s">
        <v>7</v>
      </c>
      <c r="G3779" t="s">
        <v>109</v>
      </c>
      <c r="H3779" s="62">
        <v>2029</v>
      </c>
      <c r="I3779">
        <v>4.2058999999999997</v>
      </c>
    </row>
    <row r="3780" spans="1:9">
      <c r="A3780" t="s">
        <v>104</v>
      </c>
      <c r="B3780" t="s">
        <v>105</v>
      </c>
      <c r="C3780" t="s">
        <v>80</v>
      </c>
      <c r="D3780" t="s">
        <v>86</v>
      </c>
      <c r="E3780" t="s">
        <v>87</v>
      </c>
      <c r="F3780" t="s">
        <v>7</v>
      </c>
      <c r="G3780" t="s">
        <v>109</v>
      </c>
      <c r="H3780" s="62">
        <v>2029</v>
      </c>
      <c r="I3780">
        <v>4.8593000000000002</v>
      </c>
    </row>
    <row r="3781" spans="1:9">
      <c r="A3781" t="s">
        <v>104</v>
      </c>
      <c r="B3781" t="s">
        <v>105</v>
      </c>
      <c r="C3781" t="s">
        <v>80</v>
      </c>
      <c r="D3781" t="s">
        <v>103</v>
      </c>
      <c r="E3781" t="s">
        <v>92</v>
      </c>
      <c r="F3781" t="s">
        <v>7</v>
      </c>
      <c r="G3781" t="s">
        <v>109</v>
      </c>
      <c r="H3781" s="62">
        <v>2029</v>
      </c>
      <c r="I3781">
        <v>6.6707999999999998</v>
      </c>
    </row>
    <row r="3782" spans="1:9">
      <c r="A3782" t="s">
        <v>104</v>
      </c>
      <c r="B3782" t="s">
        <v>105</v>
      </c>
      <c r="C3782" t="s">
        <v>80</v>
      </c>
      <c r="D3782" t="s">
        <v>103</v>
      </c>
      <c r="E3782" t="s">
        <v>89</v>
      </c>
      <c r="F3782" t="s">
        <v>7</v>
      </c>
      <c r="G3782" t="s">
        <v>109</v>
      </c>
      <c r="H3782" s="62">
        <v>2029</v>
      </c>
      <c r="I3782">
        <v>32.2102</v>
      </c>
    </row>
    <row r="3783" spans="1:9">
      <c r="A3783" t="s">
        <v>104</v>
      </c>
      <c r="B3783" t="s">
        <v>105</v>
      </c>
      <c r="C3783" t="s">
        <v>107</v>
      </c>
      <c r="D3783" t="s">
        <v>107</v>
      </c>
      <c r="E3783" t="s">
        <v>107</v>
      </c>
      <c r="F3783" t="s">
        <v>7</v>
      </c>
      <c r="G3783" t="s">
        <v>109</v>
      </c>
      <c r="H3783" s="62">
        <v>2030</v>
      </c>
      <c r="I3783">
        <v>192.22819999999999</v>
      </c>
    </row>
    <row r="3784" spans="1:9">
      <c r="A3784" t="s">
        <v>104</v>
      </c>
      <c r="B3784" t="s">
        <v>105</v>
      </c>
      <c r="C3784" t="s">
        <v>107</v>
      </c>
      <c r="D3784" t="s">
        <v>108</v>
      </c>
      <c r="E3784" t="s">
        <v>108</v>
      </c>
      <c r="F3784" t="s">
        <v>7</v>
      </c>
      <c r="G3784" t="s">
        <v>109</v>
      </c>
      <c r="H3784" s="62">
        <v>2030</v>
      </c>
      <c r="I3784">
        <v>4.6848000000000001</v>
      </c>
    </row>
    <row r="3785" spans="1:9">
      <c r="A3785" t="s">
        <v>104</v>
      </c>
      <c r="B3785" t="s">
        <v>105</v>
      </c>
      <c r="C3785" t="s">
        <v>80</v>
      </c>
      <c r="D3785" t="s">
        <v>80</v>
      </c>
      <c r="E3785" t="s">
        <v>80</v>
      </c>
      <c r="F3785" t="s">
        <v>7</v>
      </c>
      <c r="G3785" t="s">
        <v>109</v>
      </c>
      <c r="H3785" s="62">
        <v>2030</v>
      </c>
      <c r="I3785">
        <v>187.54349999999999</v>
      </c>
    </row>
    <row r="3786" spans="1:9">
      <c r="A3786" t="s">
        <v>104</v>
      </c>
      <c r="B3786" t="s">
        <v>105</v>
      </c>
      <c r="C3786" t="s">
        <v>80</v>
      </c>
      <c r="D3786" t="s">
        <v>89</v>
      </c>
      <c r="E3786" t="s">
        <v>90</v>
      </c>
      <c r="F3786" t="s">
        <v>7</v>
      </c>
      <c r="G3786" t="s">
        <v>109</v>
      </c>
      <c r="H3786" s="62">
        <v>2030</v>
      </c>
      <c r="I3786">
        <v>23.941299999999998</v>
      </c>
    </row>
    <row r="3787" spans="1:9">
      <c r="A3787" t="s">
        <v>104</v>
      </c>
      <c r="B3787" t="s">
        <v>105</v>
      </c>
      <c r="C3787" t="s">
        <v>80</v>
      </c>
      <c r="D3787" t="s">
        <v>89</v>
      </c>
      <c r="E3787" t="s">
        <v>91</v>
      </c>
      <c r="F3787" t="s">
        <v>7</v>
      </c>
      <c r="G3787" t="s">
        <v>109</v>
      </c>
      <c r="H3787" s="62">
        <v>2030</v>
      </c>
      <c r="I3787">
        <v>-1.3907</v>
      </c>
    </row>
    <row r="3788" spans="1:9">
      <c r="A3788" t="s">
        <v>104</v>
      </c>
      <c r="B3788" t="s">
        <v>105</v>
      </c>
      <c r="C3788" t="s">
        <v>80</v>
      </c>
      <c r="D3788" t="s">
        <v>92</v>
      </c>
      <c r="E3788" t="s">
        <v>93</v>
      </c>
      <c r="F3788" t="s">
        <v>7</v>
      </c>
      <c r="G3788" t="s">
        <v>109</v>
      </c>
      <c r="H3788" s="62">
        <v>2030</v>
      </c>
      <c r="I3788">
        <v>-8.1813000000000002</v>
      </c>
    </row>
    <row r="3789" spans="1:9">
      <c r="A3789" t="s">
        <v>104</v>
      </c>
      <c r="B3789" t="s">
        <v>105</v>
      </c>
      <c r="C3789" t="s">
        <v>80</v>
      </c>
      <c r="D3789" t="s">
        <v>92</v>
      </c>
      <c r="E3789" t="s">
        <v>94</v>
      </c>
      <c r="F3789" t="s">
        <v>7</v>
      </c>
      <c r="G3789" t="s">
        <v>109</v>
      </c>
      <c r="H3789" s="62">
        <v>2030</v>
      </c>
      <c r="I3789">
        <v>80.830699999999993</v>
      </c>
    </row>
    <row r="3790" spans="1:9">
      <c r="A3790" t="s">
        <v>104</v>
      </c>
      <c r="B3790" t="s">
        <v>105</v>
      </c>
      <c r="C3790" t="s">
        <v>80</v>
      </c>
      <c r="D3790" t="s">
        <v>92</v>
      </c>
      <c r="E3790" t="s">
        <v>110</v>
      </c>
      <c r="F3790" t="s">
        <v>7</v>
      </c>
      <c r="G3790" t="s">
        <v>109</v>
      </c>
      <c r="H3790" s="62">
        <v>2030</v>
      </c>
      <c r="I3790">
        <v>6.5621999999999998</v>
      </c>
    </row>
    <row r="3791" spans="1:9">
      <c r="A3791" t="s">
        <v>104</v>
      </c>
      <c r="B3791" t="s">
        <v>105</v>
      </c>
      <c r="C3791" t="s">
        <v>80</v>
      </c>
      <c r="D3791" t="s">
        <v>92</v>
      </c>
      <c r="E3791" t="s">
        <v>95</v>
      </c>
      <c r="F3791" t="s">
        <v>7</v>
      </c>
      <c r="G3791" t="s">
        <v>109</v>
      </c>
      <c r="H3791" s="62">
        <v>2030</v>
      </c>
      <c r="I3791">
        <v>51.952399999999997</v>
      </c>
    </row>
    <row r="3792" spans="1:9">
      <c r="A3792" t="s">
        <v>104</v>
      </c>
      <c r="B3792" t="s">
        <v>105</v>
      </c>
      <c r="C3792" t="s">
        <v>80</v>
      </c>
      <c r="D3792" t="s">
        <v>96</v>
      </c>
      <c r="E3792" t="s">
        <v>92</v>
      </c>
      <c r="F3792" t="s">
        <v>7</v>
      </c>
      <c r="G3792" t="s">
        <v>109</v>
      </c>
      <c r="H3792" s="62">
        <v>2030</v>
      </c>
      <c r="I3792">
        <v>11.28</v>
      </c>
    </row>
    <row r="3793" spans="1:9">
      <c r="A3793" t="s">
        <v>104</v>
      </c>
      <c r="B3793" t="s">
        <v>105</v>
      </c>
      <c r="C3793" t="s">
        <v>80</v>
      </c>
      <c r="D3793" t="s">
        <v>96</v>
      </c>
      <c r="E3793" t="s">
        <v>89</v>
      </c>
      <c r="F3793" t="s">
        <v>7</v>
      </c>
      <c r="G3793" t="s">
        <v>109</v>
      </c>
      <c r="H3793" s="62">
        <v>2030</v>
      </c>
      <c r="I3793">
        <v>2.7490999999999999</v>
      </c>
    </row>
    <row r="3794" spans="1:9">
      <c r="A3794" t="s">
        <v>104</v>
      </c>
      <c r="B3794" t="s">
        <v>105</v>
      </c>
      <c r="C3794" t="s">
        <v>80</v>
      </c>
      <c r="D3794" t="s">
        <v>97</v>
      </c>
      <c r="E3794" t="s">
        <v>98</v>
      </c>
      <c r="F3794" t="s">
        <v>7</v>
      </c>
      <c r="G3794" t="s">
        <v>109</v>
      </c>
      <c r="H3794" s="62">
        <v>2030</v>
      </c>
      <c r="I3794">
        <v>5.1227999999999998</v>
      </c>
    </row>
    <row r="3795" spans="1:9">
      <c r="A3795" t="s">
        <v>104</v>
      </c>
      <c r="B3795" t="s">
        <v>105</v>
      </c>
      <c r="C3795" t="s">
        <v>80</v>
      </c>
      <c r="D3795" t="s">
        <v>97</v>
      </c>
      <c r="E3795" t="s">
        <v>99</v>
      </c>
      <c r="F3795" t="s">
        <v>7</v>
      </c>
      <c r="G3795" t="s">
        <v>109</v>
      </c>
      <c r="H3795" s="62">
        <v>2030</v>
      </c>
      <c r="I3795">
        <v>0</v>
      </c>
    </row>
    <row r="3796" spans="1:9">
      <c r="A3796" t="s">
        <v>104</v>
      </c>
      <c r="B3796" t="s">
        <v>105</v>
      </c>
      <c r="C3796" t="s">
        <v>80</v>
      </c>
      <c r="D3796" t="s">
        <v>100</v>
      </c>
      <c r="E3796" t="s">
        <v>101</v>
      </c>
      <c r="F3796" t="s">
        <v>7</v>
      </c>
      <c r="G3796" t="s">
        <v>109</v>
      </c>
      <c r="H3796" s="62">
        <v>2030</v>
      </c>
      <c r="I3796">
        <v>3.7118000000000002</v>
      </c>
    </row>
    <row r="3797" spans="1:9">
      <c r="A3797" t="s">
        <v>104</v>
      </c>
      <c r="B3797" t="s">
        <v>105</v>
      </c>
      <c r="C3797" t="s">
        <v>80</v>
      </c>
      <c r="D3797" t="s">
        <v>100</v>
      </c>
      <c r="E3797" t="s">
        <v>102</v>
      </c>
      <c r="F3797" t="s">
        <v>7</v>
      </c>
      <c r="G3797" t="s">
        <v>109</v>
      </c>
      <c r="H3797" s="62">
        <v>2030</v>
      </c>
      <c r="I3797">
        <v>0.92310000000000003</v>
      </c>
    </row>
    <row r="3798" spans="1:9">
      <c r="A3798" t="s">
        <v>104</v>
      </c>
      <c r="B3798" t="s">
        <v>105</v>
      </c>
      <c r="C3798" t="s">
        <v>80</v>
      </c>
      <c r="D3798" t="s">
        <v>100</v>
      </c>
      <c r="E3798" t="s">
        <v>111</v>
      </c>
      <c r="F3798" t="s">
        <v>7</v>
      </c>
      <c r="G3798" t="s">
        <v>109</v>
      </c>
      <c r="H3798" s="62">
        <v>2030</v>
      </c>
      <c r="I3798">
        <v>0</v>
      </c>
    </row>
    <row r="3799" spans="1:9">
      <c r="A3799" t="s">
        <v>104</v>
      </c>
      <c r="B3799" t="s">
        <v>105</v>
      </c>
      <c r="C3799" t="s">
        <v>80</v>
      </c>
      <c r="D3799" t="s">
        <v>100</v>
      </c>
      <c r="E3799" t="s">
        <v>112</v>
      </c>
      <c r="F3799" t="s">
        <v>7</v>
      </c>
      <c r="G3799" t="s">
        <v>109</v>
      </c>
      <c r="H3799" s="62">
        <v>2030</v>
      </c>
      <c r="I3799">
        <v>0</v>
      </c>
    </row>
    <row r="3800" spans="1:9">
      <c r="A3800" t="s">
        <v>104</v>
      </c>
      <c r="B3800" t="s">
        <v>105</v>
      </c>
      <c r="C3800" t="s">
        <v>80</v>
      </c>
      <c r="D3800" t="s">
        <v>83</v>
      </c>
      <c r="E3800" t="s">
        <v>84</v>
      </c>
      <c r="F3800" t="s">
        <v>7</v>
      </c>
      <c r="G3800" t="s">
        <v>109</v>
      </c>
      <c r="H3800" s="62">
        <v>2030</v>
      </c>
      <c r="I3800">
        <v>5.3517000000000001</v>
      </c>
    </row>
    <row r="3801" spans="1:9">
      <c r="A3801" t="s">
        <v>104</v>
      </c>
      <c r="B3801" t="s">
        <v>105</v>
      </c>
      <c r="C3801" t="s">
        <v>80</v>
      </c>
      <c r="D3801" t="s">
        <v>83</v>
      </c>
      <c r="E3801" t="s">
        <v>85</v>
      </c>
      <c r="F3801" t="s">
        <v>7</v>
      </c>
      <c r="G3801" t="s">
        <v>109</v>
      </c>
      <c r="H3801" s="62">
        <v>2030</v>
      </c>
      <c r="I3801">
        <v>4.6902999999999997</v>
      </c>
    </row>
    <row r="3802" spans="1:9">
      <c r="A3802" t="s">
        <v>104</v>
      </c>
      <c r="B3802" t="s">
        <v>105</v>
      </c>
      <c r="C3802" t="s">
        <v>80</v>
      </c>
      <c r="D3802" t="s">
        <v>86</v>
      </c>
      <c r="E3802" t="s">
        <v>106</v>
      </c>
      <c r="F3802" t="s">
        <v>7</v>
      </c>
      <c r="G3802" t="s">
        <v>109</v>
      </c>
      <c r="H3802" s="62">
        <v>2030</v>
      </c>
      <c r="I3802">
        <v>4.2375999999999996</v>
      </c>
    </row>
    <row r="3803" spans="1:9">
      <c r="A3803" t="s">
        <v>104</v>
      </c>
      <c r="B3803" t="s">
        <v>105</v>
      </c>
      <c r="C3803" t="s">
        <v>80</v>
      </c>
      <c r="D3803" t="s">
        <v>86</v>
      </c>
      <c r="E3803" t="s">
        <v>87</v>
      </c>
      <c r="F3803" t="s">
        <v>7</v>
      </c>
      <c r="G3803" t="s">
        <v>109</v>
      </c>
      <c r="H3803" s="62">
        <v>2030</v>
      </c>
      <c r="I3803">
        <v>5.3342999999999998</v>
      </c>
    </row>
    <row r="3804" spans="1:9">
      <c r="A3804" t="s">
        <v>104</v>
      </c>
      <c r="B3804" t="s">
        <v>105</v>
      </c>
      <c r="C3804" t="s">
        <v>80</v>
      </c>
      <c r="D3804" t="s">
        <v>103</v>
      </c>
      <c r="E3804" t="s">
        <v>92</v>
      </c>
      <c r="F3804" t="s">
        <v>7</v>
      </c>
      <c r="G3804" t="s">
        <v>109</v>
      </c>
      <c r="H3804" s="62">
        <v>2030</v>
      </c>
      <c r="I3804">
        <v>7.0533000000000001</v>
      </c>
    </row>
    <row r="3805" spans="1:9">
      <c r="A3805" t="s">
        <v>104</v>
      </c>
      <c r="B3805" t="s">
        <v>105</v>
      </c>
      <c r="C3805" t="s">
        <v>80</v>
      </c>
      <c r="D3805" t="s">
        <v>103</v>
      </c>
      <c r="E3805" t="s">
        <v>89</v>
      </c>
      <c r="F3805" t="s">
        <v>7</v>
      </c>
      <c r="G3805" t="s">
        <v>109</v>
      </c>
      <c r="H3805" s="62">
        <v>2030</v>
      </c>
      <c r="I3805">
        <v>34.172400000000003</v>
      </c>
    </row>
    <row r="3806" spans="1:9">
      <c r="A3806" t="s">
        <v>104</v>
      </c>
      <c r="B3806" t="s">
        <v>105</v>
      </c>
      <c r="C3806" t="s">
        <v>107</v>
      </c>
      <c r="D3806" t="s">
        <v>107</v>
      </c>
      <c r="E3806" t="s">
        <v>107</v>
      </c>
      <c r="F3806" t="s">
        <v>7</v>
      </c>
      <c r="G3806" t="s">
        <v>109</v>
      </c>
      <c r="H3806" s="62">
        <v>2031</v>
      </c>
      <c r="I3806">
        <v>196.41829999999999</v>
      </c>
    </row>
    <row r="3807" spans="1:9">
      <c r="A3807" t="s">
        <v>104</v>
      </c>
      <c r="B3807" t="s">
        <v>105</v>
      </c>
      <c r="C3807" t="s">
        <v>107</v>
      </c>
      <c r="D3807" t="s">
        <v>108</v>
      </c>
      <c r="E3807" t="s">
        <v>108</v>
      </c>
      <c r="F3807" t="s">
        <v>7</v>
      </c>
      <c r="G3807" t="s">
        <v>109</v>
      </c>
      <c r="H3807" s="62">
        <v>2031</v>
      </c>
      <c r="I3807">
        <v>3.9338000000000002</v>
      </c>
    </row>
    <row r="3808" spans="1:9">
      <c r="A3808" t="s">
        <v>104</v>
      </c>
      <c r="B3808" t="s">
        <v>105</v>
      </c>
      <c r="C3808" t="s">
        <v>80</v>
      </c>
      <c r="D3808" t="s">
        <v>80</v>
      </c>
      <c r="E3808" t="s">
        <v>80</v>
      </c>
      <c r="F3808" t="s">
        <v>7</v>
      </c>
      <c r="G3808" t="s">
        <v>109</v>
      </c>
      <c r="H3808" s="62">
        <v>2031</v>
      </c>
      <c r="I3808">
        <v>192.4845</v>
      </c>
    </row>
    <row r="3809" spans="1:9">
      <c r="A3809" t="s">
        <v>104</v>
      </c>
      <c r="B3809" t="s">
        <v>105</v>
      </c>
      <c r="C3809" t="s">
        <v>80</v>
      </c>
      <c r="D3809" t="s">
        <v>89</v>
      </c>
      <c r="E3809" t="s">
        <v>90</v>
      </c>
      <c r="F3809" t="s">
        <v>7</v>
      </c>
      <c r="G3809" t="s">
        <v>109</v>
      </c>
      <c r="H3809" s="62">
        <v>2031</v>
      </c>
      <c r="I3809">
        <v>22.082100000000001</v>
      </c>
    </row>
    <row r="3810" spans="1:9">
      <c r="A3810" t="s">
        <v>104</v>
      </c>
      <c r="B3810" t="s">
        <v>105</v>
      </c>
      <c r="C3810" t="s">
        <v>80</v>
      </c>
      <c r="D3810" t="s">
        <v>89</v>
      </c>
      <c r="E3810" t="s">
        <v>91</v>
      </c>
      <c r="F3810" t="s">
        <v>7</v>
      </c>
      <c r="G3810" t="s">
        <v>109</v>
      </c>
      <c r="H3810" s="62">
        <v>2031</v>
      </c>
      <c r="I3810">
        <v>-1.3745000000000001</v>
      </c>
    </row>
    <row r="3811" spans="1:9">
      <c r="A3811" t="s">
        <v>104</v>
      </c>
      <c r="B3811" t="s">
        <v>105</v>
      </c>
      <c r="C3811" t="s">
        <v>80</v>
      </c>
      <c r="D3811" t="s">
        <v>92</v>
      </c>
      <c r="E3811" t="s">
        <v>93</v>
      </c>
      <c r="F3811" t="s">
        <v>7</v>
      </c>
      <c r="G3811" t="s">
        <v>109</v>
      </c>
      <c r="H3811" s="62">
        <v>2031</v>
      </c>
      <c r="I3811">
        <v>-8.8435000000000006</v>
      </c>
    </row>
    <row r="3812" spans="1:9">
      <c r="A3812" t="s">
        <v>104</v>
      </c>
      <c r="B3812" t="s">
        <v>105</v>
      </c>
      <c r="C3812" t="s">
        <v>80</v>
      </c>
      <c r="D3812" t="s">
        <v>92</v>
      </c>
      <c r="E3812" t="s">
        <v>94</v>
      </c>
      <c r="F3812" t="s">
        <v>7</v>
      </c>
      <c r="G3812" t="s">
        <v>109</v>
      </c>
      <c r="H3812" s="62">
        <v>2031</v>
      </c>
      <c r="I3812">
        <v>81.319100000000006</v>
      </c>
    </row>
    <row r="3813" spans="1:9">
      <c r="A3813" t="s">
        <v>104</v>
      </c>
      <c r="B3813" t="s">
        <v>105</v>
      </c>
      <c r="C3813" t="s">
        <v>80</v>
      </c>
      <c r="D3813" t="s">
        <v>92</v>
      </c>
      <c r="E3813" t="s">
        <v>110</v>
      </c>
      <c r="F3813" t="s">
        <v>7</v>
      </c>
      <c r="G3813" t="s">
        <v>109</v>
      </c>
      <c r="H3813" s="62">
        <v>2031</v>
      </c>
      <c r="I3813">
        <v>6.5331000000000001</v>
      </c>
    </row>
    <row r="3814" spans="1:9">
      <c r="A3814" t="s">
        <v>104</v>
      </c>
      <c r="B3814" t="s">
        <v>105</v>
      </c>
      <c r="C3814" t="s">
        <v>80</v>
      </c>
      <c r="D3814" t="s">
        <v>92</v>
      </c>
      <c r="E3814" t="s">
        <v>95</v>
      </c>
      <c r="F3814" t="s">
        <v>7</v>
      </c>
      <c r="G3814" t="s">
        <v>109</v>
      </c>
      <c r="H3814" s="62">
        <v>2031</v>
      </c>
      <c r="I3814">
        <v>52.174799999999998</v>
      </c>
    </row>
    <row r="3815" spans="1:9">
      <c r="A3815" t="s">
        <v>104</v>
      </c>
      <c r="B3815" t="s">
        <v>105</v>
      </c>
      <c r="C3815" t="s">
        <v>80</v>
      </c>
      <c r="D3815" t="s">
        <v>96</v>
      </c>
      <c r="E3815" t="s">
        <v>92</v>
      </c>
      <c r="F3815" t="s">
        <v>7</v>
      </c>
      <c r="G3815" t="s">
        <v>109</v>
      </c>
      <c r="H3815" s="62">
        <v>2031</v>
      </c>
      <c r="I3815">
        <v>12.5022</v>
      </c>
    </row>
    <row r="3816" spans="1:9">
      <c r="A3816" t="s">
        <v>104</v>
      </c>
      <c r="B3816" t="s">
        <v>105</v>
      </c>
      <c r="C3816" t="s">
        <v>80</v>
      </c>
      <c r="D3816" t="s">
        <v>96</v>
      </c>
      <c r="E3816" t="s">
        <v>89</v>
      </c>
      <c r="F3816" t="s">
        <v>7</v>
      </c>
      <c r="G3816" t="s">
        <v>109</v>
      </c>
      <c r="H3816" s="62">
        <v>2031</v>
      </c>
      <c r="I3816">
        <v>3.266</v>
      </c>
    </row>
    <row r="3817" spans="1:9">
      <c r="A3817" t="s">
        <v>104</v>
      </c>
      <c r="B3817" t="s">
        <v>105</v>
      </c>
      <c r="C3817" t="s">
        <v>80</v>
      </c>
      <c r="D3817" t="s">
        <v>97</v>
      </c>
      <c r="E3817" t="s">
        <v>98</v>
      </c>
      <c r="F3817" t="s">
        <v>7</v>
      </c>
      <c r="G3817" t="s">
        <v>109</v>
      </c>
      <c r="H3817" s="62">
        <v>2031</v>
      </c>
      <c r="I3817">
        <v>6.4497</v>
      </c>
    </row>
    <row r="3818" spans="1:9">
      <c r="A3818" t="s">
        <v>104</v>
      </c>
      <c r="B3818" t="s">
        <v>105</v>
      </c>
      <c r="C3818" t="s">
        <v>80</v>
      </c>
      <c r="D3818" t="s">
        <v>97</v>
      </c>
      <c r="E3818" t="s">
        <v>99</v>
      </c>
      <c r="F3818" t="s">
        <v>7</v>
      </c>
      <c r="G3818" t="s">
        <v>109</v>
      </c>
      <c r="H3818" s="62">
        <v>2031</v>
      </c>
      <c r="I3818">
        <v>7.7000000000000002E-3</v>
      </c>
    </row>
    <row r="3819" spans="1:9">
      <c r="A3819" t="s">
        <v>104</v>
      </c>
      <c r="B3819" t="s">
        <v>105</v>
      </c>
      <c r="C3819" t="s">
        <v>80</v>
      </c>
      <c r="D3819" t="s">
        <v>100</v>
      </c>
      <c r="E3819" t="s">
        <v>101</v>
      </c>
      <c r="F3819" t="s">
        <v>7</v>
      </c>
      <c r="G3819" t="s">
        <v>109</v>
      </c>
      <c r="H3819" s="62">
        <v>2031</v>
      </c>
      <c r="I3819">
        <v>6.1368</v>
      </c>
    </row>
    <row r="3820" spans="1:9">
      <c r="A3820" t="s">
        <v>104</v>
      </c>
      <c r="B3820" t="s">
        <v>105</v>
      </c>
      <c r="C3820" t="s">
        <v>80</v>
      </c>
      <c r="D3820" t="s">
        <v>100</v>
      </c>
      <c r="E3820" t="s">
        <v>102</v>
      </c>
      <c r="F3820" t="s">
        <v>7</v>
      </c>
      <c r="G3820" t="s">
        <v>109</v>
      </c>
      <c r="H3820" s="62">
        <v>2031</v>
      </c>
      <c r="I3820">
        <v>2.0663</v>
      </c>
    </row>
    <row r="3821" spans="1:9">
      <c r="A3821" t="s">
        <v>104</v>
      </c>
      <c r="B3821" t="s">
        <v>105</v>
      </c>
      <c r="C3821" t="s">
        <v>80</v>
      </c>
      <c r="D3821" t="s">
        <v>100</v>
      </c>
      <c r="E3821" t="s">
        <v>111</v>
      </c>
      <c r="F3821" t="s">
        <v>7</v>
      </c>
      <c r="G3821" t="s">
        <v>109</v>
      </c>
      <c r="H3821" s="62">
        <v>2031</v>
      </c>
      <c r="I3821">
        <v>0</v>
      </c>
    </row>
    <row r="3822" spans="1:9">
      <c r="A3822" t="s">
        <v>104</v>
      </c>
      <c r="B3822" t="s">
        <v>105</v>
      </c>
      <c r="C3822" t="s">
        <v>80</v>
      </c>
      <c r="D3822" t="s">
        <v>100</v>
      </c>
      <c r="E3822" t="s">
        <v>112</v>
      </c>
      <c r="F3822" t="s">
        <v>7</v>
      </c>
      <c r="G3822" t="s">
        <v>109</v>
      </c>
      <c r="H3822" s="62">
        <v>2031</v>
      </c>
      <c r="I3822">
        <v>0</v>
      </c>
    </row>
    <row r="3823" spans="1:9">
      <c r="A3823" t="s">
        <v>104</v>
      </c>
      <c r="B3823" t="s">
        <v>105</v>
      </c>
      <c r="C3823" t="s">
        <v>80</v>
      </c>
      <c r="D3823" t="s">
        <v>83</v>
      </c>
      <c r="E3823" t="s">
        <v>84</v>
      </c>
      <c r="F3823" t="s">
        <v>7</v>
      </c>
      <c r="G3823" t="s">
        <v>109</v>
      </c>
      <c r="H3823" s="62">
        <v>2031</v>
      </c>
      <c r="I3823">
        <v>5.4256000000000002</v>
      </c>
    </row>
    <row r="3824" spans="1:9">
      <c r="A3824" t="s">
        <v>104</v>
      </c>
      <c r="B3824" t="s">
        <v>105</v>
      </c>
      <c r="C3824" t="s">
        <v>80</v>
      </c>
      <c r="D3824" t="s">
        <v>83</v>
      </c>
      <c r="E3824" t="s">
        <v>85</v>
      </c>
      <c r="F3824" t="s">
        <v>7</v>
      </c>
      <c r="G3824" t="s">
        <v>109</v>
      </c>
      <c r="H3824" s="62">
        <v>2031</v>
      </c>
      <c r="I3824">
        <v>4.7390999999999996</v>
      </c>
    </row>
    <row r="3825" spans="1:9">
      <c r="A3825" t="s">
        <v>104</v>
      </c>
      <c r="B3825" t="s">
        <v>105</v>
      </c>
      <c r="C3825" t="s">
        <v>80</v>
      </c>
      <c r="D3825" t="s">
        <v>86</v>
      </c>
      <c r="E3825" t="s">
        <v>106</v>
      </c>
      <c r="F3825" t="s">
        <v>7</v>
      </c>
      <c r="G3825" t="s">
        <v>109</v>
      </c>
      <c r="H3825" s="62">
        <v>2031</v>
      </c>
      <c r="I3825">
        <v>4.2763999999999998</v>
      </c>
    </row>
    <row r="3826" spans="1:9">
      <c r="A3826" t="s">
        <v>104</v>
      </c>
      <c r="B3826" t="s">
        <v>105</v>
      </c>
      <c r="C3826" t="s">
        <v>80</v>
      </c>
      <c r="D3826" t="s">
        <v>86</v>
      </c>
      <c r="E3826" t="s">
        <v>87</v>
      </c>
      <c r="F3826" t="s">
        <v>7</v>
      </c>
      <c r="G3826" t="s">
        <v>109</v>
      </c>
      <c r="H3826" s="62">
        <v>2031</v>
      </c>
      <c r="I3826">
        <v>5.9414999999999996</v>
      </c>
    </row>
    <row r="3827" spans="1:9">
      <c r="A3827" t="s">
        <v>104</v>
      </c>
      <c r="B3827" t="s">
        <v>105</v>
      </c>
      <c r="C3827" t="s">
        <v>80</v>
      </c>
      <c r="D3827" t="s">
        <v>103</v>
      </c>
      <c r="E3827" t="s">
        <v>92</v>
      </c>
      <c r="F3827" t="s">
        <v>7</v>
      </c>
      <c r="G3827" t="s">
        <v>109</v>
      </c>
      <c r="H3827" s="62">
        <v>2031</v>
      </c>
      <c r="I3827">
        <v>7.4527000000000001</v>
      </c>
    </row>
    <row r="3828" spans="1:9">
      <c r="A3828" t="s">
        <v>104</v>
      </c>
      <c r="B3828" t="s">
        <v>105</v>
      </c>
      <c r="C3828" t="s">
        <v>80</v>
      </c>
      <c r="D3828" t="s">
        <v>103</v>
      </c>
      <c r="E3828" t="s">
        <v>89</v>
      </c>
      <c r="F3828" t="s">
        <v>7</v>
      </c>
      <c r="G3828" t="s">
        <v>109</v>
      </c>
      <c r="H3828" s="62">
        <v>2031</v>
      </c>
      <c r="I3828">
        <v>36.291600000000003</v>
      </c>
    </row>
    <row r="3829" spans="1:9">
      <c r="A3829" t="s">
        <v>104</v>
      </c>
      <c r="B3829" t="s">
        <v>105</v>
      </c>
      <c r="C3829" t="s">
        <v>107</v>
      </c>
      <c r="D3829" t="s">
        <v>107</v>
      </c>
      <c r="E3829" t="s">
        <v>107</v>
      </c>
      <c r="F3829" t="s">
        <v>7</v>
      </c>
      <c r="G3829" t="s">
        <v>109</v>
      </c>
      <c r="H3829" s="62">
        <v>2032</v>
      </c>
      <c r="I3829">
        <v>201.45060000000001</v>
      </c>
    </row>
    <row r="3830" spans="1:9">
      <c r="A3830" t="s">
        <v>104</v>
      </c>
      <c r="B3830" t="s">
        <v>105</v>
      </c>
      <c r="C3830" t="s">
        <v>107</v>
      </c>
      <c r="D3830" t="s">
        <v>108</v>
      </c>
      <c r="E3830" t="s">
        <v>108</v>
      </c>
      <c r="F3830" t="s">
        <v>7</v>
      </c>
      <c r="G3830" t="s">
        <v>109</v>
      </c>
      <c r="H3830" s="62">
        <v>2032</v>
      </c>
      <c r="I3830">
        <v>3.3999000000000001</v>
      </c>
    </row>
    <row r="3831" spans="1:9">
      <c r="A3831" t="s">
        <v>104</v>
      </c>
      <c r="B3831" t="s">
        <v>105</v>
      </c>
      <c r="C3831" t="s">
        <v>80</v>
      </c>
      <c r="D3831" t="s">
        <v>80</v>
      </c>
      <c r="E3831" t="s">
        <v>80</v>
      </c>
      <c r="F3831" t="s">
        <v>7</v>
      </c>
      <c r="G3831" t="s">
        <v>109</v>
      </c>
      <c r="H3831" s="62">
        <v>2032</v>
      </c>
      <c r="I3831">
        <v>198.0506</v>
      </c>
    </row>
    <row r="3832" spans="1:9">
      <c r="A3832" t="s">
        <v>104</v>
      </c>
      <c r="B3832" t="s">
        <v>105</v>
      </c>
      <c r="C3832" t="s">
        <v>80</v>
      </c>
      <c r="D3832" t="s">
        <v>89</v>
      </c>
      <c r="E3832" t="s">
        <v>90</v>
      </c>
      <c r="F3832" t="s">
        <v>7</v>
      </c>
      <c r="G3832" t="s">
        <v>109</v>
      </c>
      <c r="H3832" s="62">
        <v>2032</v>
      </c>
      <c r="I3832">
        <v>20.0566</v>
      </c>
    </row>
    <row r="3833" spans="1:9">
      <c r="A3833" t="s">
        <v>104</v>
      </c>
      <c r="B3833" t="s">
        <v>105</v>
      </c>
      <c r="C3833" t="s">
        <v>80</v>
      </c>
      <c r="D3833" t="s">
        <v>89</v>
      </c>
      <c r="E3833" t="s">
        <v>91</v>
      </c>
      <c r="F3833" t="s">
        <v>7</v>
      </c>
      <c r="G3833" t="s">
        <v>109</v>
      </c>
      <c r="H3833" s="62">
        <v>2032</v>
      </c>
      <c r="I3833">
        <v>-1.3290999999999999</v>
      </c>
    </row>
    <row r="3834" spans="1:9">
      <c r="A3834" t="s">
        <v>104</v>
      </c>
      <c r="B3834" t="s">
        <v>105</v>
      </c>
      <c r="C3834" t="s">
        <v>80</v>
      </c>
      <c r="D3834" t="s">
        <v>92</v>
      </c>
      <c r="E3834" t="s">
        <v>93</v>
      </c>
      <c r="F3834" t="s">
        <v>7</v>
      </c>
      <c r="G3834" t="s">
        <v>109</v>
      </c>
      <c r="H3834" s="62">
        <v>2032</v>
      </c>
      <c r="I3834">
        <v>-9.5703999999999994</v>
      </c>
    </row>
    <row r="3835" spans="1:9">
      <c r="A3835" t="s">
        <v>104</v>
      </c>
      <c r="B3835" t="s">
        <v>105</v>
      </c>
      <c r="C3835" t="s">
        <v>80</v>
      </c>
      <c r="D3835" t="s">
        <v>92</v>
      </c>
      <c r="E3835" t="s">
        <v>94</v>
      </c>
      <c r="F3835" t="s">
        <v>7</v>
      </c>
      <c r="G3835" t="s">
        <v>109</v>
      </c>
      <c r="H3835" s="62">
        <v>2032</v>
      </c>
      <c r="I3835">
        <v>82.402799999999999</v>
      </c>
    </row>
    <row r="3836" spans="1:9">
      <c r="A3836" t="s">
        <v>104</v>
      </c>
      <c r="B3836" t="s">
        <v>105</v>
      </c>
      <c r="C3836" t="s">
        <v>80</v>
      </c>
      <c r="D3836" t="s">
        <v>92</v>
      </c>
      <c r="E3836" t="s">
        <v>110</v>
      </c>
      <c r="F3836" t="s">
        <v>7</v>
      </c>
      <c r="G3836" t="s">
        <v>109</v>
      </c>
      <c r="H3836" s="62">
        <v>2032</v>
      </c>
      <c r="I3836">
        <v>6.5357000000000003</v>
      </c>
    </row>
    <row r="3837" spans="1:9">
      <c r="A3837" t="s">
        <v>104</v>
      </c>
      <c r="B3837" t="s">
        <v>105</v>
      </c>
      <c r="C3837" t="s">
        <v>80</v>
      </c>
      <c r="D3837" t="s">
        <v>92</v>
      </c>
      <c r="E3837" t="s">
        <v>95</v>
      </c>
      <c r="F3837" t="s">
        <v>7</v>
      </c>
      <c r="G3837" t="s">
        <v>109</v>
      </c>
      <c r="H3837" s="62">
        <v>2032</v>
      </c>
      <c r="I3837">
        <v>52.352600000000002</v>
      </c>
    </row>
    <row r="3838" spans="1:9">
      <c r="A3838" t="s">
        <v>104</v>
      </c>
      <c r="B3838" t="s">
        <v>105</v>
      </c>
      <c r="C3838" t="s">
        <v>80</v>
      </c>
      <c r="D3838" t="s">
        <v>96</v>
      </c>
      <c r="E3838" t="s">
        <v>92</v>
      </c>
      <c r="F3838" t="s">
        <v>7</v>
      </c>
      <c r="G3838" t="s">
        <v>109</v>
      </c>
      <c r="H3838" s="62">
        <v>2032</v>
      </c>
      <c r="I3838">
        <v>13.5428</v>
      </c>
    </row>
    <row r="3839" spans="1:9">
      <c r="A3839" t="s">
        <v>104</v>
      </c>
      <c r="B3839" t="s">
        <v>105</v>
      </c>
      <c r="C3839" t="s">
        <v>80</v>
      </c>
      <c r="D3839" t="s">
        <v>96</v>
      </c>
      <c r="E3839" t="s">
        <v>89</v>
      </c>
      <c r="F3839" t="s">
        <v>7</v>
      </c>
      <c r="G3839" t="s">
        <v>109</v>
      </c>
      <c r="H3839" s="62">
        <v>2032</v>
      </c>
      <c r="I3839">
        <v>3.806</v>
      </c>
    </row>
    <row r="3840" spans="1:9">
      <c r="A3840" t="s">
        <v>104</v>
      </c>
      <c r="B3840" t="s">
        <v>105</v>
      </c>
      <c r="C3840" t="s">
        <v>80</v>
      </c>
      <c r="D3840" t="s">
        <v>97</v>
      </c>
      <c r="E3840" t="s">
        <v>98</v>
      </c>
      <c r="F3840" t="s">
        <v>7</v>
      </c>
      <c r="G3840" t="s">
        <v>109</v>
      </c>
      <c r="H3840" s="62">
        <v>2032</v>
      </c>
      <c r="I3840">
        <v>7.9002999999999997</v>
      </c>
    </row>
    <row r="3841" spans="1:9">
      <c r="A3841" t="s">
        <v>104</v>
      </c>
      <c r="B3841" t="s">
        <v>105</v>
      </c>
      <c r="C3841" t="s">
        <v>80</v>
      </c>
      <c r="D3841" t="s">
        <v>97</v>
      </c>
      <c r="E3841" t="s">
        <v>99</v>
      </c>
      <c r="F3841" t="s">
        <v>7</v>
      </c>
      <c r="G3841" t="s">
        <v>109</v>
      </c>
      <c r="H3841" s="62">
        <v>2032</v>
      </c>
      <c r="I3841">
        <v>1.83E-2</v>
      </c>
    </row>
    <row r="3842" spans="1:9">
      <c r="A3842" t="s">
        <v>104</v>
      </c>
      <c r="B3842" t="s">
        <v>105</v>
      </c>
      <c r="C3842" t="s">
        <v>80</v>
      </c>
      <c r="D3842" t="s">
        <v>100</v>
      </c>
      <c r="E3842" t="s">
        <v>101</v>
      </c>
      <c r="F3842" t="s">
        <v>7</v>
      </c>
      <c r="G3842" t="s">
        <v>109</v>
      </c>
      <c r="H3842" s="62">
        <v>2032</v>
      </c>
      <c r="I3842">
        <v>8.9929000000000006</v>
      </c>
    </row>
    <row r="3843" spans="1:9">
      <c r="A3843" t="s">
        <v>104</v>
      </c>
      <c r="B3843" t="s">
        <v>105</v>
      </c>
      <c r="C3843" t="s">
        <v>80</v>
      </c>
      <c r="D3843" t="s">
        <v>100</v>
      </c>
      <c r="E3843" t="s">
        <v>102</v>
      </c>
      <c r="F3843" t="s">
        <v>7</v>
      </c>
      <c r="G3843" t="s">
        <v>109</v>
      </c>
      <c r="H3843" s="62">
        <v>2032</v>
      </c>
      <c r="I3843">
        <v>3.0350000000000001</v>
      </c>
    </row>
    <row r="3844" spans="1:9">
      <c r="A3844" t="s">
        <v>104</v>
      </c>
      <c r="B3844" t="s">
        <v>105</v>
      </c>
      <c r="C3844" t="s">
        <v>80</v>
      </c>
      <c r="D3844" t="s">
        <v>100</v>
      </c>
      <c r="E3844" t="s">
        <v>111</v>
      </c>
      <c r="F3844" t="s">
        <v>7</v>
      </c>
      <c r="G3844" t="s">
        <v>109</v>
      </c>
      <c r="H3844" s="62">
        <v>2032</v>
      </c>
      <c r="I3844">
        <v>0</v>
      </c>
    </row>
    <row r="3845" spans="1:9">
      <c r="A3845" t="s">
        <v>104</v>
      </c>
      <c r="B3845" t="s">
        <v>105</v>
      </c>
      <c r="C3845" t="s">
        <v>80</v>
      </c>
      <c r="D3845" t="s">
        <v>100</v>
      </c>
      <c r="E3845" t="s">
        <v>112</v>
      </c>
      <c r="F3845" t="s">
        <v>7</v>
      </c>
      <c r="G3845" t="s">
        <v>109</v>
      </c>
      <c r="H3845" s="62">
        <v>2032</v>
      </c>
      <c r="I3845">
        <v>0</v>
      </c>
    </row>
    <row r="3846" spans="1:9">
      <c r="A3846" t="s">
        <v>104</v>
      </c>
      <c r="B3846" t="s">
        <v>105</v>
      </c>
      <c r="C3846" t="s">
        <v>80</v>
      </c>
      <c r="D3846" t="s">
        <v>83</v>
      </c>
      <c r="E3846" t="s">
        <v>84</v>
      </c>
      <c r="F3846" t="s">
        <v>7</v>
      </c>
      <c r="G3846" t="s">
        <v>109</v>
      </c>
      <c r="H3846" s="62">
        <v>2032</v>
      </c>
      <c r="I3846">
        <v>5.5129999999999999</v>
      </c>
    </row>
    <row r="3847" spans="1:9">
      <c r="A3847" t="s">
        <v>104</v>
      </c>
      <c r="B3847" t="s">
        <v>105</v>
      </c>
      <c r="C3847" t="s">
        <v>80</v>
      </c>
      <c r="D3847" t="s">
        <v>83</v>
      </c>
      <c r="E3847" t="s">
        <v>85</v>
      </c>
      <c r="F3847" t="s">
        <v>7</v>
      </c>
      <c r="G3847" t="s">
        <v>109</v>
      </c>
      <c r="H3847" s="62">
        <v>2032</v>
      </c>
      <c r="I3847">
        <v>4.7942</v>
      </c>
    </row>
    <row r="3848" spans="1:9">
      <c r="A3848" t="s">
        <v>104</v>
      </c>
      <c r="B3848" t="s">
        <v>105</v>
      </c>
      <c r="C3848" t="s">
        <v>80</v>
      </c>
      <c r="D3848" t="s">
        <v>86</v>
      </c>
      <c r="E3848" t="s">
        <v>106</v>
      </c>
      <c r="F3848" t="s">
        <v>7</v>
      </c>
      <c r="G3848" t="s">
        <v>109</v>
      </c>
      <c r="H3848" s="62">
        <v>2032</v>
      </c>
      <c r="I3848">
        <v>4.2695999999999996</v>
      </c>
    </row>
    <row r="3849" spans="1:9">
      <c r="A3849" t="s">
        <v>104</v>
      </c>
      <c r="B3849" t="s">
        <v>105</v>
      </c>
      <c r="C3849" t="s">
        <v>80</v>
      </c>
      <c r="D3849" t="s">
        <v>86</v>
      </c>
      <c r="E3849" t="s">
        <v>87</v>
      </c>
      <c r="F3849" t="s">
        <v>7</v>
      </c>
      <c r="G3849" t="s">
        <v>109</v>
      </c>
      <c r="H3849" s="62">
        <v>2032</v>
      </c>
      <c r="I3849">
        <v>6.6299000000000001</v>
      </c>
    </row>
    <row r="3850" spans="1:9">
      <c r="A3850" t="s">
        <v>104</v>
      </c>
      <c r="B3850" t="s">
        <v>105</v>
      </c>
      <c r="C3850" t="s">
        <v>80</v>
      </c>
      <c r="D3850" t="s">
        <v>103</v>
      </c>
      <c r="E3850" t="s">
        <v>92</v>
      </c>
      <c r="F3850" t="s">
        <v>7</v>
      </c>
      <c r="G3850" t="s">
        <v>109</v>
      </c>
      <c r="H3850" s="62">
        <v>2032</v>
      </c>
      <c r="I3850">
        <v>7.8857999999999997</v>
      </c>
    </row>
    <row r="3851" spans="1:9">
      <c r="A3851" t="s">
        <v>104</v>
      </c>
      <c r="B3851" t="s">
        <v>105</v>
      </c>
      <c r="C3851" t="s">
        <v>80</v>
      </c>
      <c r="D3851" t="s">
        <v>103</v>
      </c>
      <c r="E3851" t="s">
        <v>89</v>
      </c>
      <c r="F3851" t="s">
        <v>7</v>
      </c>
      <c r="G3851" t="s">
        <v>109</v>
      </c>
      <c r="H3851" s="62">
        <v>2032</v>
      </c>
      <c r="I3851">
        <v>38.621400000000001</v>
      </c>
    </row>
    <row r="3852" spans="1:9">
      <c r="A3852" t="s">
        <v>104</v>
      </c>
      <c r="B3852" t="s">
        <v>105</v>
      </c>
      <c r="C3852" t="s">
        <v>107</v>
      </c>
      <c r="D3852" t="s">
        <v>107</v>
      </c>
      <c r="E3852" t="s">
        <v>107</v>
      </c>
      <c r="F3852" t="s">
        <v>7</v>
      </c>
      <c r="G3852" t="s">
        <v>109</v>
      </c>
      <c r="H3852" s="62">
        <v>2033</v>
      </c>
      <c r="I3852">
        <v>208.08840000000001</v>
      </c>
    </row>
    <row r="3853" spans="1:9">
      <c r="A3853" t="s">
        <v>104</v>
      </c>
      <c r="B3853" t="s">
        <v>105</v>
      </c>
      <c r="C3853" t="s">
        <v>107</v>
      </c>
      <c r="D3853" t="s">
        <v>108</v>
      </c>
      <c r="E3853" t="s">
        <v>108</v>
      </c>
      <c r="F3853" t="s">
        <v>7</v>
      </c>
      <c r="G3853" t="s">
        <v>109</v>
      </c>
      <c r="H3853" s="62">
        <v>2033</v>
      </c>
      <c r="I3853">
        <v>3.1248999999999998</v>
      </c>
    </row>
    <row r="3854" spans="1:9">
      <c r="A3854" t="s">
        <v>104</v>
      </c>
      <c r="B3854" t="s">
        <v>105</v>
      </c>
      <c r="C3854" t="s">
        <v>80</v>
      </c>
      <c r="D3854" t="s">
        <v>80</v>
      </c>
      <c r="E3854" t="s">
        <v>80</v>
      </c>
      <c r="F3854" t="s">
        <v>7</v>
      </c>
      <c r="G3854" t="s">
        <v>109</v>
      </c>
      <c r="H3854" s="62">
        <v>2033</v>
      </c>
      <c r="I3854">
        <v>204.96350000000001</v>
      </c>
    </row>
    <row r="3855" spans="1:9">
      <c r="A3855" t="s">
        <v>104</v>
      </c>
      <c r="B3855" t="s">
        <v>105</v>
      </c>
      <c r="C3855" t="s">
        <v>80</v>
      </c>
      <c r="D3855" t="s">
        <v>89</v>
      </c>
      <c r="E3855" t="s">
        <v>90</v>
      </c>
      <c r="F3855" t="s">
        <v>7</v>
      </c>
      <c r="G3855" t="s">
        <v>109</v>
      </c>
      <c r="H3855" s="62">
        <v>2033</v>
      </c>
      <c r="I3855">
        <v>17.947299999999998</v>
      </c>
    </row>
    <row r="3856" spans="1:9">
      <c r="A3856" t="s">
        <v>104</v>
      </c>
      <c r="B3856" t="s">
        <v>105</v>
      </c>
      <c r="C3856" t="s">
        <v>80</v>
      </c>
      <c r="D3856" t="s">
        <v>89</v>
      </c>
      <c r="E3856" t="s">
        <v>91</v>
      </c>
      <c r="F3856" t="s">
        <v>7</v>
      </c>
      <c r="G3856" t="s">
        <v>109</v>
      </c>
      <c r="H3856" s="62">
        <v>2033</v>
      </c>
      <c r="I3856">
        <v>-1.2744</v>
      </c>
    </row>
    <row r="3857" spans="1:9">
      <c r="A3857" t="s">
        <v>104</v>
      </c>
      <c r="B3857" t="s">
        <v>105</v>
      </c>
      <c r="C3857" t="s">
        <v>80</v>
      </c>
      <c r="D3857" t="s">
        <v>92</v>
      </c>
      <c r="E3857" t="s">
        <v>93</v>
      </c>
      <c r="F3857" t="s">
        <v>7</v>
      </c>
      <c r="G3857" t="s">
        <v>109</v>
      </c>
      <c r="H3857" s="62">
        <v>2033</v>
      </c>
      <c r="I3857">
        <v>-10.403600000000001</v>
      </c>
    </row>
    <row r="3858" spans="1:9">
      <c r="A3858" t="s">
        <v>104</v>
      </c>
      <c r="B3858" t="s">
        <v>105</v>
      </c>
      <c r="C3858" t="s">
        <v>80</v>
      </c>
      <c r="D3858" t="s">
        <v>92</v>
      </c>
      <c r="E3858" t="s">
        <v>94</v>
      </c>
      <c r="F3858" t="s">
        <v>7</v>
      </c>
      <c r="G3858" t="s">
        <v>109</v>
      </c>
      <c r="H3858" s="62">
        <v>2033</v>
      </c>
      <c r="I3858">
        <v>83.132900000000006</v>
      </c>
    </row>
    <row r="3859" spans="1:9">
      <c r="A3859" t="s">
        <v>104</v>
      </c>
      <c r="B3859" t="s">
        <v>105</v>
      </c>
      <c r="C3859" t="s">
        <v>80</v>
      </c>
      <c r="D3859" t="s">
        <v>92</v>
      </c>
      <c r="E3859" t="s">
        <v>110</v>
      </c>
      <c r="F3859" t="s">
        <v>7</v>
      </c>
      <c r="G3859" t="s">
        <v>109</v>
      </c>
      <c r="H3859" s="62">
        <v>2033</v>
      </c>
      <c r="I3859">
        <v>6.5589000000000004</v>
      </c>
    </row>
    <row r="3860" spans="1:9">
      <c r="A3860" t="s">
        <v>104</v>
      </c>
      <c r="B3860" t="s">
        <v>105</v>
      </c>
      <c r="C3860" t="s">
        <v>80</v>
      </c>
      <c r="D3860" t="s">
        <v>92</v>
      </c>
      <c r="E3860" t="s">
        <v>95</v>
      </c>
      <c r="F3860" t="s">
        <v>7</v>
      </c>
      <c r="G3860" t="s">
        <v>109</v>
      </c>
      <c r="H3860" s="62">
        <v>2033</v>
      </c>
      <c r="I3860">
        <v>52.487200000000001</v>
      </c>
    </row>
    <row r="3861" spans="1:9">
      <c r="A3861" t="s">
        <v>104</v>
      </c>
      <c r="B3861" t="s">
        <v>105</v>
      </c>
      <c r="C3861" t="s">
        <v>80</v>
      </c>
      <c r="D3861" t="s">
        <v>96</v>
      </c>
      <c r="E3861" t="s">
        <v>92</v>
      </c>
      <c r="F3861" t="s">
        <v>7</v>
      </c>
      <c r="G3861" t="s">
        <v>109</v>
      </c>
      <c r="H3861" s="62">
        <v>2033</v>
      </c>
      <c r="I3861">
        <v>14.428900000000001</v>
      </c>
    </row>
    <row r="3862" spans="1:9">
      <c r="A3862" t="s">
        <v>104</v>
      </c>
      <c r="B3862" t="s">
        <v>105</v>
      </c>
      <c r="C3862" t="s">
        <v>80</v>
      </c>
      <c r="D3862" t="s">
        <v>96</v>
      </c>
      <c r="E3862" t="s">
        <v>89</v>
      </c>
      <c r="F3862" t="s">
        <v>7</v>
      </c>
      <c r="G3862" t="s">
        <v>109</v>
      </c>
      <c r="H3862" s="62">
        <v>2033</v>
      </c>
      <c r="I3862">
        <v>4.3441000000000001</v>
      </c>
    </row>
    <row r="3863" spans="1:9">
      <c r="A3863" t="s">
        <v>104</v>
      </c>
      <c r="B3863" t="s">
        <v>105</v>
      </c>
      <c r="C3863" t="s">
        <v>80</v>
      </c>
      <c r="D3863" t="s">
        <v>97</v>
      </c>
      <c r="E3863" t="s">
        <v>98</v>
      </c>
      <c r="F3863" t="s">
        <v>7</v>
      </c>
      <c r="G3863" t="s">
        <v>109</v>
      </c>
      <c r="H3863" s="62">
        <v>2033</v>
      </c>
      <c r="I3863">
        <v>9.4039999999999999</v>
      </c>
    </row>
    <row r="3864" spans="1:9">
      <c r="A3864" t="s">
        <v>104</v>
      </c>
      <c r="B3864" t="s">
        <v>105</v>
      </c>
      <c r="C3864" t="s">
        <v>80</v>
      </c>
      <c r="D3864" t="s">
        <v>97</v>
      </c>
      <c r="E3864" t="s">
        <v>99</v>
      </c>
      <c r="F3864" t="s">
        <v>7</v>
      </c>
      <c r="G3864" t="s">
        <v>109</v>
      </c>
      <c r="H3864" s="62">
        <v>2033</v>
      </c>
      <c r="I3864">
        <v>3.1899999999999998E-2</v>
      </c>
    </row>
    <row r="3865" spans="1:9">
      <c r="A3865" t="s">
        <v>104</v>
      </c>
      <c r="B3865" t="s">
        <v>105</v>
      </c>
      <c r="C3865" t="s">
        <v>80</v>
      </c>
      <c r="D3865" t="s">
        <v>100</v>
      </c>
      <c r="E3865" t="s">
        <v>101</v>
      </c>
      <c r="F3865" t="s">
        <v>7</v>
      </c>
      <c r="G3865" t="s">
        <v>109</v>
      </c>
      <c r="H3865" s="62">
        <v>2033</v>
      </c>
      <c r="I3865">
        <v>13.4375</v>
      </c>
    </row>
    <row r="3866" spans="1:9">
      <c r="A3866" t="s">
        <v>104</v>
      </c>
      <c r="B3866" t="s">
        <v>105</v>
      </c>
      <c r="C3866" t="s">
        <v>80</v>
      </c>
      <c r="D3866" t="s">
        <v>100</v>
      </c>
      <c r="E3866" t="s">
        <v>102</v>
      </c>
      <c r="F3866" t="s">
        <v>7</v>
      </c>
      <c r="G3866" t="s">
        <v>109</v>
      </c>
      <c r="H3866" s="62">
        <v>2033</v>
      </c>
      <c r="I3866">
        <v>4.4574999999999996</v>
      </c>
    </row>
    <row r="3867" spans="1:9">
      <c r="A3867" t="s">
        <v>104</v>
      </c>
      <c r="B3867" t="s">
        <v>105</v>
      </c>
      <c r="C3867" t="s">
        <v>80</v>
      </c>
      <c r="D3867" t="s">
        <v>100</v>
      </c>
      <c r="E3867" t="s">
        <v>111</v>
      </c>
      <c r="F3867" t="s">
        <v>7</v>
      </c>
      <c r="G3867" t="s">
        <v>109</v>
      </c>
      <c r="H3867" s="62">
        <v>2033</v>
      </c>
      <c r="I3867">
        <v>0</v>
      </c>
    </row>
    <row r="3868" spans="1:9">
      <c r="A3868" t="s">
        <v>104</v>
      </c>
      <c r="B3868" t="s">
        <v>105</v>
      </c>
      <c r="C3868" t="s">
        <v>80</v>
      </c>
      <c r="D3868" t="s">
        <v>100</v>
      </c>
      <c r="E3868" t="s">
        <v>112</v>
      </c>
      <c r="F3868" t="s">
        <v>7</v>
      </c>
      <c r="G3868" t="s">
        <v>109</v>
      </c>
      <c r="H3868" s="62">
        <v>2033</v>
      </c>
      <c r="I3868">
        <v>0</v>
      </c>
    </row>
    <row r="3869" spans="1:9">
      <c r="A3869" t="s">
        <v>104</v>
      </c>
      <c r="B3869" t="s">
        <v>105</v>
      </c>
      <c r="C3869" t="s">
        <v>80</v>
      </c>
      <c r="D3869" t="s">
        <v>83</v>
      </c>
      <c r="E3869" t="s">
        <v>84</v>
      </c>
      <c r="F3869" t="s">
        <v>7</v>
      </c>
      <c r="G3869" t="s">
        <v>109</v>
      </c>
      <c r="H3869" s="62">
        <v>2033</v>
      </c>
      <c r="I3869">
        <v>5.5776000000000003</v>
      </c>
    </row>
    <row r="3870" spans="1:9">
      <c r="A3870" t="s">
        <v>104</v>
      </c>
      <c r="B3870" t="s">
        <v>105</v>
      </c>
      <c r="C3870" t="s">
        <v>80</v>
      </c>
      <c r="D3870" t="s">
        <v>83</v>
      </c>
      <c r="E3870" t="s">
        <v>85</v>
      </c>
      <c r="F3870" t="s">
        <v>7</v>
      </c>
      <c r="G3870" t="s">
        <v>109</v>
      </c>
      <c r="H3870" s="62">
        <v>2033</v>
      </c>
      <c r="I3870">
        <v>4.8335999999999997</v>
      </c>
    </row>
    <row r="3871" spans="1:9">
      <c r="A3871" t="s">
        <v>104</v>
      </c>
      <c r="B3871" t="s">
        <v>105</v>
      </c>
      <c r="C3871" t="s">
        <v>80</v>
      </c>
      <c r="D3871" t="s">
        <v>86</v>
      </c>
      <c r="E3871" t="s">
        <v>106</v>
      </c>
      <c r="F3871" t="s">
        <v>7</v>
      </c>
      <c r="G3871" t="s">
        <v>109</v>
      </c>
      <c r="H3871" s="62">
        <v>2033</v>
      </c>
      <c r="I3871">
        <v>4.2967000000000004</v>
      </c>
    </row>
    <row r="3872" spans="1:9">
      <c r="A3872" t="s">
        <v>104</v>
      </c>
      <c r="B3872" t="s">
        <v>105</v>
      </c>
      <c r="C3872" t="s">
        <v>80</v>
      </c>
      <c r="D3872" t="s">
        <v>86</v>
      </c>
      <c r="E3872" t="s">
        <v>87</v>
      </c>
      <c r="F3872" t="s">
        <v>7</v>
      </c>
      <c r="G3872" t="s">
        <v>109</v>
      </c>
      <c r="H3872" s="62">
        <v>2033</v>
      </c>
      <c r="I3872">
        <v>7.3813000000000004</v>
      </c>
    </row>
    <row r="3873" spans="1:9">
      <c r="A3873" t="s">
        <v>104</v>
      </c>
      <c r="B3873" t="s">
        <v>105</v>
      </c>
      <c r="C3873" t="s">
        <v>80</v>
      </c>
      <c r="D3873" t="s">
        <v>103</v>
      </c>
      <c r="E3873" t="s">
        <v>92</v>
      </c>
      <c r="F3873" t="s">
        <v>7</v>
      </c>
      <c r="G3873" t="s">
        <v>109</v>
      </c>
      <c r="H3873" s="62">
        <v>2033</v>
      </c>
      <c r="I3873">
        <v>8.3153000000000006</v>
      </c>
    </row>
    <row r="3874" spans="1:9">
      <c r="A3874" t="s">
        <v>104</v>
      </c>
      <c r="B3874" t="s">
        <v>105</v>
      </c>
      <c r="C3874" t="s">
        <v>80</v>
      </c>
      <c r="D3874" t="s">
        <v>103</v>
      </c>
      <c r="E3874" t="s">
        <v>89</v>
      </c>
      <c r="F3874" t="s">
        <v>7</v>
      </c>
      <c r="G3874" t="s">
        <v>109</v>
      </c>
      <c r="H3874" s="62">
        <v>2033</v>
      </c>
      <c r="I3874">
        <v>40.944099999999999</v>
      </c>
    </row>
    <row r="3875" spans="1:9">
      <c r="A3875" t="s">
        <v>104</v>
      </c>
      <c r="B3875" t="s">
        <v>105</v>
      </c>
      <c r="C3875" t="s">
        <v>107</v>
      </c>
      <c r="D3875" t="s">
        <v>107</v>
      </c>
      <c r="E3875" t="s">
        <v>107</v>
      </c>
      <c r="F3875" t="s">
        <v>7</v>
      </c>
      <c r="G3875" t="s">
        <v>109</v>
      </c>
      <c r="H3875" s="62">
        <v>2034</v>
      </c>
      <c r="I3875">
        <v>212.8811</v>
      </c>
    </row>
    <row r="3876" spans="1:9">
      <c r="A3876" t="s">
        <v>104</v>
      </c>
      <c r="B3876" t="s">
        <v>105</v>
      </c>
      <c r="C3876" t="s">
        <v>107</v>
      </c>
      <c r="D3876" t="s">
        <v>108</v>
      </c>
      <c r="E3876" t="s">
        <v>108</v>
      </c>
      <c r="F3876" t="s">
        <v>7</v>
      </c>
      <c r="G3876" t="s">
        <v>109</v>
      </c>
      <c r="H3876" s="62">
        <v>2034</v>
      </c>
      <c r="I3876">
        <v>1.7457</v>
      </c>
    </row>
    <row r="3877" spans="1:9">
      <c r="A3877" t="s">
        <v>104</v>
      </c>
      <c r="B3877" t="s">
        <v>105</v>
      </c>
      <c r="C3877" t="s">
        <v>80</v>
      </c>
      <c r="D3877" t="s">
        <v>80</v>
      </c>
      <c r="E3877" t="s">
        <v>80</v>
      </c>
      <c r="F3877" t="s">
        <v>7</v>
      </c>
      <c r="G3877" t="s">
        <v>109</v>
      </c>
      <c r="H3877" s="62">
        <v>2034</v>
      </c>
      <c r="I3877">
        <v>211.1354</v>
      </c>
    </row>
    <row r="3878" spans="1:9">
      <c r="A3878" t="s">
        <v>104</v>
      </c>
      <c r="B3878" t="s">
        <v>105</v>
      </c>
      <c r="C3878" t="s">
        <v>80</v>
      </c>
      <c r="D3878" t="s">
        <v>89</v>
      </c>
      <c r="E3878" t="s">
        <v>90</v>
      </c>
      <c r="F3878" t="s">
        <v>7</v>
      </c>
      <c r="G3878" t="s">
        <v>109</v>
      </c>
      <c r="H3878" s="62">
        <v>2034</v>
      </c>
      <c r="I3878">
        <v>15.650399999999999</v>
      </c>
    </row>
    <row r="3879" spans="1:9">
      <c r="A3879" t="s">
        <v>104</v>
      </c>
      <c r="B3879" t="s">
        <v>105</v>
      </c>
      <c r="C3879" t="s">
        <v>80</v>
      </c>
      <c r="D3879" t="s">
        <v>89</v>
      </c>
      <c r="E3879" t="s">
        <v>91</v>
      </c>
      <c r="F3879" t="s">
        <v>7</v>
      </c>
      <c r="G3879" t="s">
        <v>109</v>
      </c>
      <c r="H3879" s="62">
        <v>2034</v>
      </c>
      <c r="I3879">
        <v>-1.1936</v>
      </c>
    </row>
    <row r="3880" spans="1:9">
      <c r="A3880" t="s">
        <v>104</v>
      </c>
      <c r="B3880" t="s">
        <v>105</v>
      </c>
      <c r="C3880" t="s">
        <v>80</v>
      </c>
      <c r="D3880" t="s">
        <v>92</v>
      </c>
      <c r="E3880" t="s">
        <v>93</v>
      </c>
      <c r="F3880" t="s">
        <v>7</v>
      </c>
      <c r="G3880" t="s">
        <v>109</v>
      </c>
      <c r="H3880" s="62">
        <v>2034</v>
      </c>
      <c r="I3880">
        <v>-11.286099999999999</v>
      </c>
    </row>
    <row r="3881" spans="1:9">
      <c r="A3881" t="s">
        <v>104</v>
      </c>
      <c r="B3881" t="s">
        <v>105</v>
      </c>
      <c r="C3881" t="s">
        <v>80</v>
      </c>
      <c r="D3881" t="s">
        <v>92</v>
      </c>
      <c r="E3881" t="s">
        <v>94</v>
      </c>
      <c r="F3881" t="s">
        <v>7</v>
      </c>
      <c r="G3881" t="s">
        <v>109</v>
      </c>
      <c r="H3881" s="62">
        <v>2034</v>
      </c>
      <c r="I3881">
        <v>82.432900000000004</v>
      </c>
    </row>
    <row r="3882" spans="1:9">
      <c r="A3882" t="s">
        <v>104</v>
      </c>
      <c r="B3882" t="s">
        <v>105</v>
      </c>
      <c r="C3882" t="s">
        <v>80</v>
      </c>
      <c r="D3882" t="s">
        <v>92</v>
      </c>
      <c r="E3882" t="s">
        <v>110</v>
      </c>
      <c r="F3882" t="s">
        <v>7</v>
      </c>
      <c r="G3882" t="s">
        <v>109</v>
      </c>
      <c r="H3882" s="62">
        <v>2034</v>
      </c>
      <c r="I3882">
        <v>6.4912000000000001</v>
      </c>
    </row>
    <row r="3883" spans="1:9">
      <c r="A3883" t="s">
        <v>104</v>
      </c>
      <c r="B3883" t="s">
        <v>105</v>
      </c>
      <c r="C3883" t="s">
        <v>80</v>
      </c>
      <c r="D3883" t="s">
        <v>92</v>
      </c>
      <c r="E3883" t="s">
        <v>95</v>
      </c>
      <c r="F3883" t="s">
        <v>7</v>
      </c>
      <c r="G3883" t="s">
        <v>109</v>
      </c>
      <c r="H3883" s="62">
        <v>2034</v>
      </c>
      <c r="I3883">
        <v>52.798400000000001</v>
      </c>
    </row>
    <row r="3884" spans="1:9">
      <c r="A3884" t="s">
        <v>104</v>
      </c>
      <c r="B3884" t="s">
        <v>105</v>
      </c>
      <c r="C3884" t="s">
        <v>80</v>
      </c>
      <c r="D3884" t="s">
        <v>96</v>
      </c>
      <c r="E3884" t="s">
        <v>92</v>
      </c>
      <c r="F3884" t="s">
        <v>7</v>
      </c>
      <c r="G3884" t="s">
        <v>109</v>
      </c>
      <c r="H3884" s="62">
        <v>2034</v>
      </c>
      <c r="I3884">
        <v>15.4171</v>
      </c>
    </row>
    <row r="3885" spans="1:9">
      <c r="A3885" t="s">
        <v>104</v>
      </c>
      <c r="B3885" t="s">
        <v>105</v>
      </c>
      <c r="C3885" t="s">
        <v>80</v>
      </c>
      <c r="D3885" t="s">
        <v>96</v>
      </c>
      <c r="E3885" t="s">
        <v>89</v>
      </c>
      <c r="F3885" t="s">
        <v>7</v>
      </c>
      <c r="G3885" t="s">
        <v>109</v>
      </c>
      <c r="H3885" s="62">
        <v>2034</v>
      </c>
      <c r="I3885">
        <v>4.8788999999999998</v>
      </c>
    </row>
    <row r="3886" spans="1:9">
      <c r="A3886" t="s">
        <v>104</v>
      </c>
      <c r="B3886" t="s">
        <v>105</v>
      </c>
      <c r="C3886" t="s">
        <v>80</v>
      </c>
      <c r="D3886" t="s">
        <v>97</v>
      </c>
      <c r="E3886" t="s">
        <v>98</v>
      </c>
      <c r="F3886" t="s">
        <v>7</v>
      </c>
      <c r="G3886" t="s">
        <v>109</v>
      </c>
      <c r="H3886" s="62">
        <v>2034</v>
      </c>
      <c r="I3886">
        <v>11.0212</v>
      </c>
    </row>
    <row r="3887" spans="1:9">
      <c r="A3887" t="s">
        <v>104</v>
      </c>
      <c r="B3887" t="s">
        <v>105</v>
      </c>
      <c r="C3887" t="s">
        <v>80</v>
      </c>
      <c r="D3887" t="s">
        <v>97</v>
      </c>
      <c r="E3887" t="s">
        <v>99</v>
      </c>
      <c r="F3887" t="s">
        <v>7</v>
      </c>
      <c r="G3887" t="s">
        <v>109</v>
      </c>
      <c r="H3887" s="62">
        <v>2034</v>
      </c>
      <c r="I3887">
        <v>4.8800000000000003E-2</v>
      </c>
    </row>
    <row r="3888" spans="1:9">
      <c r="A3888" t="s">
        <v>104</v>
      </c>
      <c r="B3888" t="s">
        <v>105</v>
      </c>
      <c r="C3888" t="s">
        <v>80</v>
      </c>
      <c r="D3888" t="s">
        <v>100</v>
      </c>
      <c r="E3888" t="s">
        <v>101</v>
      </c>
      <c r="F3888" t="s">
        <v>7</v>
      </c>
      <c r="G3888" t="s">
        <v>109</v>
      </c>
      <c r="H3888" s="62">
        <v>2034</v>
      </c>
      <c r="I3888">
        <v>18.3873</v>
      </c>
    </row>
    <row r="3889" spans="1:9">
      <c r="A3889" t="s">
        <v>104</v>
      </c>
      <c r="B3889" t="s">
        <v>105</v>
      </c>
      <c r="C3889" t="s">
        <v>80</v>
      </c>
      <c r="D3889" t="s">
        <v>100</v>
      </c>
      <c r="E3889" t="s">
        <v>102</v>
      </c>
      <c r="F3889" t="s">
        <v>7</v>
      </c>
      <c r="G3889" t="s">
        <v>109</v>
      </c>
      <c r="H3889" s="62">
        <v>2034</v>
      </c>
      <c r="I3889">
        <v>6.0641999999999996</v>
      </c>
    </row>
    <row r="3890" spans="1:9">
      <c r="A3890" t="s">
        <v>104</v>
      </c>
      <c r="B3890" t="s">
        <v>105</v>
      </c>
      <c r="C3890" t="s">
        <v>80</v>
      </c>
      <c r="D3890" t="s">
        <v>100</v>
      </c>
      <c r="E3890" t="s">
        <v>111</v>
      </c>
      <c r="F3890" t="s">
        <v>7</v>
      </c>
      <c r="G3890" t="s">
        <v>109</v>
      </c>
      <c r="H3890" s="62">
        <v>2034</v>
      </c>
      <c r="I3890">
        <v>0</v>
      </c>
    </row>
    <row r="3891" spans="1:9">
      <c r="A3891" t="s">
        <v>104</v>
      </c>
      <c r="B3891" t="s">
        <v>105</v>
      </c>
      <c r="C3891" t="s">
        <v>80</v>
      </c>
      <c r="D3891" t="s">
        <v>100</v>
      </c>
      <c r="E3891" t="s">
        <v>112</v>
      </c>
      <c r="F3891" t="s">
        <v>7</v>
      </c>
      <c r="G3891" t="s">
        <v>109</v>
      </c>
      <c r="H3891" s="62">
        <v>2034</v>
      </c>
      <c r="I3891">
        <v>0</v>
      </c>
    </row>
    <row r="3892" spans="1:9">
      <c r="A3892" t="s">
        <v>104</v>
      </c>
      <c r="B3892" t="s">
        <v>105</v>
      </c>
      <c r="C3892" t="s">
        <v>80</v>
      </c>
      <c r="D3892" t="s">
        <v>83</v>
      </c>
      <c r="E3892" t="s">
        <v>84</v>
      </c>
      <c r="F3892" t="s">
        <v>7</v>
      </c>
      <c r="G3892" t="s">
        <v>109</v>
      </c>
      <c r="H3892" s="62">
        <v>2034</v>
      </c>
      <c r="I3892">
        <v>5.5837000000000003</v>
      </c>
    </row>
    <row r="3893" spans="1:9">
      <c r="A3893" t="s">
        <v>104</v>
      </c>
      <c r="B3893" t="s">
        <v>105</v>
      </c>
      <c r="C3893" t="s">
        <v>80</v>
      </c>
      <c r="D3893" t="s">
        <v>83</v>
      </c>
      <c r="E3893" t="s">
        <v>85</v>
      </c>
      <c r="F3893" t="s">
        <v>7</v>
      </c>
      <c r="G3893" t="s">
        <v>109</v>
      </c>
      <c r="H3893" s="62">
        <v>2034</v>
      </c>
      <c r="I3893">
        <v>4.8411</v>
      </c>
    </row>
    <row r="3894" spans="1:9">
      <c r="A3894" t="s">
        <v>104</v>
      </c>
      <c r="B3894" t="s">
        <v>105</v>
      </c>
      <c r="C3894" t="s">
        <v>80</v>
      </c>
      <c r="D3894" t="s">
        <v>86</v>
      </c>
      <c r="E3894" t="s">
        <v>106</v>
      </c>
      <c r="F3894" t="s">
        <v>7</v>
      </c>
      <c r="G3894" t="s">
        <v>109</v>
      </c>
      <c r="H3894" s="62">
        <v>2034</v>
      </c>
      <c r="I3894">
        <v>4.3354999999999997</v>
      </c>
    </row>
    <row r="3895" spans="1:9">
      <c r="A3895" t="s">
        <v>104</v>
      </c>
      <c r="B3895" t="s">
        <v>105</v>
      </c>
      <c r="C3895" t="s">
        <v>80</v>
      </c>
      <c r="D3895" t="s">
        <v>86</v>
      </c>
      <c r="E3895" t="s">
        <v>87</v>
      </c>
      <c r="F3895" t="s">
        <v>7</v>
      </c>
      <c r="G3895" t="s">
        <v>109</v>
      </c>
      <c r="H3895" s="62">
        <v>2034</v>
      </c>
      <c r="I3895">
        <v>8.1441999999999997</v>
      </c>
    </row>
    <row r="3896" spans="1:9">
      <c r="A3896" t="s">
        <v>104</v>
      </c>
      <c r="B3896" t="s">
        <v>105</v>
      </c>
      <c r="C3896" t="s">
        <v>80</v>
      </c>
      <c r="D3896" t="s">
        <v>103</v>
      </c>
      <c r="E3896" t="s">
        <v>92</v>
      </c>
      <c r="F3896" t="s">
        <v>7</v>
      </c>
      <c r="G3896" t="s">
        <v>109</v>
      </c>
      <c r="H3896" s="62">
        <v>2034</v>
      </c>
      <c r="I3896">
        <v>8.7469000000000001</v>
      </c>
    </row>
    <row r="3897" spans="1:9">
      <c r="A3897" t="s">
        <v>104</v>
      </c>
      <c r="B3897" t="s">
        <v>105</v>
      </c>
      <c r="C3897" t="s">
        <v>80</v>
      </c>
      <c r="D3897" t="s">
        <v>103</v>
      </c>
      <c r="E3897" t="s">
        <v>89</v>
      </c>
      <c r="F3897" t="s">
        <v>7</v>
      </c>
      <c r="G3897" t="s">
        <v>109</v>
      </c>
      <c r="H3897" s="62">
        <v>2034</v>
      </c>
      <c r="I3897">
        <v>43.241100000000003</v>
      </c>
    </row>
    <row r="3898" spans="1:9">
      <c r="A3898" t="s">
        <v>104</v>
      </c>
      <c r="B3898" t="s">
        <v>105</v>
      </c>
      <c r="C3898" t="s">
        <v>107</v>
      </c>
      <c r="D3898" t="s">
        <v>107</v>
      </c>
      <c r="E3898" t="s">
        <v>107</v>
      </c>
      <c r="F3898" t="s">
        <v>7</v>
      </c>
      <c r="G3898" t="s">
        <v>109</v>
      </c>
      <c r="H3898" s="62">
        <v>2035</v>
      </c>
      <c r="I3898">
        <v>215.19880000000001</v>
      </c>
    </row>
    <row r="3899" spans="1:9">
      <c r="A3899" t="s">
        <v>104</v>
      </c>
      <c r="B3899" t="s">
        <v>105</v>
      </c>
      <c r="C3899" t="s">
        <v>107</v>
      </c>
      <c r="D3899" t="s">
        <v>108</v>
      </c>
      <c r="E3899" t="s">
        <v>108</v>
      </c>
      <c r="F3899" t="s">
        <v>7</v>
      </c>
      <c r="G3899" t="s">
        <v>109</v>
      </c>
      <c r="H3899" s="62">
        <v>2035</v>
      </c>
      <c r="I3899">
        <v>1.1472</v>
      </c>
    </row>
    <row r="3900" spans="1:9">
      <c r="A3900" t="s">
        <v>104</v>
      </c>
      <c r="B3900" t="s">
        <v>105</v>
      </c>
      <c r="C3900" t="s">
        <v>80</v>
      </c>
      <c r="D3900" t="s">
        <v>80</v>
      </c>
      <c r="E3900" t="s">
        <v>80</v>
      </c>
      <c r="F3900" t="s">
        <v>7</v>
      </c>
      <c r="G3900" t="s">
        <v>109</v>
      </c>
      <c r="H3900" s="62">
        <v>2035</v>
      </c>
      <c r="I3900">
        <v>214.0515</v>
      </c>
    </row>
    <row r="3901" spans="1:9">
      <c r="A3901" t="s">
        <v>104</v>
      </c>
      <c r="B3901" t="s">
        <v>105</v>
      </c>
      <c r="C3901" t="s">
        <v>80</v>
      </c>
      <c r="D3901" t="s">
        <v>89</v>
      </c>
      <c r="E3901" t="s">
        <v>90</v>
      </c>
      <c r="F3901" t="s">
        <v>7</v>
      </c>
      <c r="G3901" t="s">
        <v>109</v>
      </c>
      <c r="H3901" s="62">
        <v>2035</v>
      </c>
      <c r="I3901">
        <v>13.431699999999999</v>
      </c>
    </row>
    <row r="3902" spans="1:9">
      <c r="A3902" t="s">
        <v>104</v>
      </c>
      <c r="B3902" t="s">
        <v>105</v>
      </c>
      <c r="C3902" t="s">
        <v>80</v>
      </c>
      <c r="D3902" t="s">
        <v>89</v>
      </c>
      <c r="E3902" t="s">
        <v>91</v>
      </c>
      <c r="F3902" t="s">
        <v>7</v>
      </c>
      <c r="G3902" t="s">
        <v>109</v>
      </c>
      <c r="H3902" s="62">
        <v>2035</v>
      </c>
      <c r="I3902">
        <v>-1.081</v>
      </c>
    </row>
    <row r="3903" spans="1:9">
      <c r="A3903" t="s">
        <v>104</v>
      </c>
      <c r="B3903" t="s">
        <v>105</v>
      </c>
      <c r="C3903" t="s">
        <v>80</v>
      </c>
      <c r="D3903" t="s">
        <v>92</v>
      </c>
      <c r="E3903" t="s">
        <v>93</v>
      </c>
      <c r="F3903" t="s">
        <v>7</v>
      </c>
      <c r="G3903" t="s">
        <v>109</v>
      </c>
      <c r="H3903" s="62">
        <v>2035</v>
      </c>
      <c r="I3903">
        <v>-12.115</v>
      </c>
    </row>
    <row r="3904" spans="1:9">
      <c r="A3904" t="s">
        <v>104</v>
      </c>
      <c r="B3904" t="s">
        <v>105</v>
      </c>
      <c r="C3904" t="s">
        <v>80</v>
      </c>
      <c r="D3904" t="s">
        <v>92</v>
      </c>
      <c r="E3904" t="s">
        <v>94</v>
      </c>
      <c r="F3904" t="s">
        <v>7</v>
      </c>
      <c r="G3904" t="s">
        <v>109</v>
      </c>
      <c r="H3904" s="62">
        <v>2035</v>
      </c>
      <c r="I3904">
        <v>82.152199999999993</v>
      </c>
    </row>
    <row r="3905" spans="1:9">
      <c r="A3905" t="s">
        <v>104</v>
      </c>
      <c r="B3905" t="s">
        <v>105</v>
      </c>
      <c r="C3905" t="s">
        <v>80</v>
      </c>
      <c r="D3905" t="s">
        <v>92</v>
      </c>
      <c r="E3905" t="s">
        <v>110</v>
      </c>
      <c r="F3905" t="s">
        <v>7</v>
      </c>
      <c r="G3905" t="s">
        <v>109</v>
      </c>
      <c r="H3905" s="62">
        <v>2035</v>
      </c>
      <c r="I3905">
        <v>6.3708</v>
      </c>
    </row>
    <row r="3906" spans="1:9">
      <c r="A3906" t="s">
        <v>104</v>
      </c>
      <c r="B3906" t="s">
        <v>105</v>
      </c>
      <c r="C3906" t="s">
        <v>80</v>
      </c>
      <c r="D3906" t="s">
        <v>92</v>
      </c>
      <c r="E3906" t="s">
        <v>95</v>
      </c>
      <c r="F3906" t="s">
        <v>7</v>
      </c>
      <c r="G3906" t="s">
        <v>109</v>
      </c>
      <c r="H3906" s="62">
        <v>2035</v>
      </c>
      <c r="I3906">
        <v>53.238</v>
      </c>
    </row>
    <row r="3907" spans="1:9">
      <c r="A3907" t="s">
        <v>104</v>
      </c>
      <c r="B3907" t="s">
        <v>105</v>
      </c>
      <c r="C3907" t="s">
        <v>80</v>
      </c>
      <c r="D3907" t="s">
        <v>96</v>
      </c>
      <c r="E3907" t="s">
        <v>92</v>
      </c>
      <c r="F3907" t="s">
        <v>7</v>
      </c>
      <c r="G3907" t="s">
        <v>109</v>
      </c>
      <c r="H3907" s="62">
        <v>2035</v>
      </c>
      <c r="I3907">
        <v>16.038499999999999</v>
      </c>
    </row>
    <row r="3908" spans="1:9">
      <c r="A3908" t="s">
        <v>104</v>
      </c>
      <c r="B3908" t="s">
        <v>105</v>
      </c>
      <c r="C3908" t="s">
        <v>80</v>
      </c>
      <c r="D3908" t="s">
        <v>96</v>
      </c>
      <c r="E3908" t="s">
        <v>89</v>
      </c>
      <c r="F3908" t="s">
        <v>7</v>
      </c>
      <c r="G3908" t="s">
        <v>109</v>
      </c>
      <c r="H3908" s="62">
        <v>2035</v>
      </c>
      <c r="I3908">
        <v>5.4116</v>
      </c>
    </row>
    <row r="3909" spans="1:9">
      <c r="A3909" t="s">
        <v>104</v>
      </c>
      <c r="B3909" t="s">
        <v>105</v>
      </c>
      <c r="C3909" t="s">
        <v>80</v>
      </c>
      <c r="D3909" t="s">
        <v>97</v>
      </c>
      <c r="E3909" t="s">
        <v>98</v>
      </c>
      <c r="F3909" t="s">
        <v>7</v>
      </c>
      <c r="G3909" t="s">
        <v>109</v>
      </c>
      <c r="H3909" s="62">
        <v>2035</v>
      </c>
      <c r="I3909">
        <v>12.7433</v>
      </c>
    </row>
    <row r="3910" spans="1:9">
      <c r="A3910" t="s">
        <v>104</v>
      </c>
      <c r="B3910" t="s">
        <v>105</v>
      </c>
      <c r="C3910" t="s">
        <v>80</v>
      </c>
      <c r="D3910" t="s">
        <v>97</v>
      </c>
      <c r="E3910" t="s">
        <v>99</v>
      </c>
      <c r="F3910" t="s">
        <v>7</v>
      </c>
      <c r="G3910" t="s">
        <v>109</v>
      </c>
      <c r="H3910" s="62">
        <v>2035</v>
      </c>
      <c r="I3910">
        <v>6.9099999999999995E-2</v>
      </c>
    </row>
    <row r="3911" spans="1:9">
      <c r="A3911" t="s">
        <v>104</v>
      </c>
      <c r="B3911" t="s">
        <v>105</v>
      </c>
      <c r="C3911" t="s">
        <v>80</v>
      </c>
      <c r="D3911" t="s">
        <v>100</v>
      </c>
      <c r="E3911" t="s">
        <v>101</v>
      </c>
      <c r="F3911" t="s">
        <v>7</v>
      </c>
      <c r="G3911" t="s">
        <v>109</v>
      </c>
      <c r="H3911" s="62">
        <v>2035</v>
      </c>
      <c r="I3911">
        <v>21.389900000000001</v>
      </c>
    </row>
    <row r="3912" spans="1:9">
      <c r="A3912" t="s">
        <v>104</v>
      </c>
      <c r="B3912" t="s">
        <v>105</v>
      </c>
      <c r="C3912" t="s">
        <v>80</v>
      </c>
      <c r="D3912" t="s">
        <v>100</v>
      </c>
      <c r="E3912" t="s">
        <v>102</v>
      </c>
      <c r="F3912" t="s">
        <v>7</v>
      </c>
      <c r="G3912" t="s">
        <v>109</v>
      </c>
      <c r="H3912" s="62">
        <v>2035</v>
      </c>
      <c r="I3912">
        <v>5.9390000000000001</v>
      </c>
    </row>
    <row r="3913" spans="1:9">
      <c r="A3913" t="s">
        <v>104</v>
      </c>
      <c r="B3913" t="s">
        <v>105</v>
      </c>
      <c r="C3913" t="s">
        <v>80</v>
      </c>
      <c r="D3913" t="s">
        <v>100</v>
      </c>
      <c r="E3913" t="s">
        <v>111</v>
      </c>
      <c r="F3913" t="s">
        <v>7</v>
      </c>
      <c r="G3913" t="s">
        <v>109</v>
      </c>
      <c r="H3913" s="62">
        <v>2035</v>
      </c>
      <c r="I3913">
        <v>0</v>
      </c>
    </row>
    <row r="3914" spans="1:9">
      <c r="A3914" t="s">
        <v>104</v>
      </c>
      <c r="B3914" t="s">
        <v>105</v>
      </c>
      <c r="C3914" t="s">
        <v>80</v>
      </c>
      <c r="D3914" t="s">
        <v>100</v>
      </c>
      <c r="E3914" t="s">
        <v>112</v>
      </c>
      <c r="F3914" t="s">
        <v>7</v>
      </c>
      <c r="G3914" t="s">
        <v>109</v>
      </c>
      <c r="H3914" s="62">
        <v>2035</v>
      </c>
      <c r="I3914">
        <v>0</v>
      </c>
    </row>
    <row r="3915" spans="1:9">
      <c r="A3915" t="s">
        <v>104</v>
      </c>
      <c r="B3915" t="s">
        <v>105</v>
      </c>
      <c r="C3915" t="s">
        <v>80</v>
      </c>
      <c r="D3915" t="s">
        <v>83</v>
      </c>
      <c r="E3915" t="s">
        <v>84</v>
      </c>
      <c r="F3915" t="s">
        <v>7</v>
      </c>
      <c r="G3915" t="s">
        <v>109</v>
      </c>
      <c r="H3915" s="62">
        <v>2035</v>
      </c>
      <c r="I3915">
        <v>5.6050000000000004</v>
      </c>
    </row>
    <row r="3916" spans="1:9">
      <c r="A3916" t="s">
        <v>104</v>
      </c>
      <c r="B3916" t="s">
        <v>105</v>
      </c>
      <c r="C3916" t="s">
        <v>80</v>
      </c>
      <c r="D3916" t="s">
        <v>83</v>
      </c>
      <c r="E3916" t="s">
        <v>85</v>
      </c>
      <c r="F3916" t="s">
        <v>7</v>
      </c>
      <c r="G3916" t="s">
        <v>109</v>
      </c>
      <c r="H3916" s="62">
        <v>2035</v>
      </c>
      <c r="I3916">
        <v>4.8583999999999996</v>
      </c>
    </row>
    <row r="3917" spans="1:9">
      <c r="A3917" t="s">
        <v>104</v>
      </c>
      <c r="B3917" t="s">
        <v>105</v>
      </c>
      <c r="C3917" t="s">
        <v>80</v>
      </c>
      <c r="D3917" t="s">
        <v>86</v>
      </c>
      <c r="E3917" t="s">
        <v>106</v>
      </c>
      <c r="F3917" t="s">
        <v>7</v>
      </c>
      <c r="G3917" t="s">
        <v>109</v>
      </c>
      <c r="H3917" s="62">
        <v>2035</v>
      </c>
      <c r="I3917">
        <v>4.3672000000000004</v>
      </c>
    </row>
    <row r="3918" spans="1:9">
      <c r="A3918" t="s">
        <v>104</v>
      </c>
      <c r="B3918" t="s">
        <v>105</v>
      </c>
      <c r="C3918" t="s">
        <v>80</v>
      </c>
      <c r="D3918" t="s">
        <v>86</v>
      </c>
      <c r="E3918" t="s">
        <v>87</v>
      </c>
      <c r="F3918" t="s">
        <v>7</v>
      </c>
      <c r="G3918" t="s">
        <v>109</v>
      </c>
      <c r="H3918" s="62">
        <v>2035</v>
      </c>
      <c r="I3918">
        <v>8.8287999999999993</v>
      </c>
    </row>
    <row r="3919" spans="1:9">
      <c r="A3919" t="s">
        <v>104</v>
      </c>
      <c r="B3919" t="s">
        <v>105</v>
      </c>
      <c r="C3919" t="s">
        <v>80</v>
      </c>
      <c r="D3919" t="s">
        <v>103</v>
      </c>
      <c r="E3919" t="s">
        <v>92</v>
      </c>
      <c r="F3919" t="s">
        <v>7</v>
      </c>
      <c r="G3919" t="s">
        <v>109</v>
      </c>
      <c r="H3919" s="62">
        <v>2035</v>
      </c>
      <c r="I3919">
        <v>9.1873000000000005</v>
      </c>
    </row>
    <row r="3920" spans="1:9">
      <c r="A3920" t="s">
        <v>104</v>
      </c>
      <c r="B3920" t="s">
        <v>105</v>
      </c>
      <c r="C3920" t="s">
        <v>80</v>
      </c>
      <c r="D3920" t="s">
        <v>103</v>
      </c>
      <c r="E3920" t="s">
        <v>89</v>
      </c>
      <c r="F3920" t="s">
        <v>7</v>
      </c>
      <c r="G3920" t="s">
        <v>109</v>
      </c>
      <c r="H3920" s="62">
        <v>2035</v>
      </c>
      <c r="I3920">
        <v>45.481200000000001</v>
      </c>
    </row>
    <row r="3921" spans="1:9">
      <c r="A3921" t="s">
        <v>104</v>
      </c>
      <c r="B3921" t="s">
        <v>105</v>
      </c>
      <c r="C3921" t="s">
        <v>107</v>
      </c>
      <c r="D3921" t="s">
        <v>107</v>
      </c>
      <c r="E3921" t="s">
        <v>107</v>
      </c>
      <c r="F3921" t="s">
        <v>7</v>
      </c>
      <c r="G3921" t="s">
        <v>109</v>
      </c>
      <c r="H3921" s="62">
        <v>2036</v>
      </c>
      <c r="I3921">
        <v>220.4813</v>
      </c>
    </row>
    <row r="3922" spans="1:9">
      <c r="A3922" t="s">
        <v>104</v>
      </c>
      <c r="B3922" t="s">
        <v>105</v>
      </c>
      <c r="C3922" t="s">
        <v>107</v>
      </c>
      <c r="D3922" t="s">
        <v>108</v>
      </c>
      <c r="E3922" t="s">
        <v>108</v>
      </c>
      <c r="F3922" t="s">
        <v>7</v>
      </c>
      <c r="G3922" t="s">
        <v>109</v>
      </c>
      <c r="H3922" s="62">
        <v>2036</v>
      </c>
      <c r="I3922">
        <v>1.0657000000000001</v>
      </c>
    </row>
    <row r="3923" spans="1:9">
      <c r="A3923" t="s">
        <v>104</v>
      </c>
      <c r="B3923" t="s">
        <v>105</v>
      </c>
      <c r="C3923" t="s">
        <v>80</v>
      </c>
      <c r="D3923" t="s">
        <v>80</v>
      </c>
      <c r="E3923" t="s">
        <v>80</v>
      </c>
      <c r="F3923" t="s">
        <v>7</v>
      </c>
      <c r="G3923" t="s">
        <v>109</v>
      </c>
      <c r="H3923" s="62">
        <v>2036</v>
      </c>
      <c r="I3923">
        <v>219.41550000000001</v>
      </c>
    </row>
    <row r="3924" spans="1:9">
      <c r="A3924" t="s">
        <v>104</v>
      </c>
      <c r="B3924" t="s">
        <v>105</v>
      </c>
      <c r="C3924" t="s">
        <v>80</v>
      </c>
      <c r="D3924" t="s">
        <v>89</v>
      </c>
      <c r="E3924" t="s">
        <v>90</v>
      </c>
      <c r="F3924" t="s">
        <v>7</v>
      </c>
      <c r="G3924" t="s">
        <v>109</v>
      </c>
      <c r="H3924" s="62">
        <v>2036</v>
      </c>
      <c r="I3924">
        <v>11.386799999999999</v>
      </c>
    </row>
    <row r="3925" spans="1:9">
      <c r="A3925" t="s">
        <v>104</v>
      </c>
      <c r="B3925" t="s">
        <v>105</v>
      </c>
      <c r="C3925" t="s">
        <v>80</v>
      </c>
      <c r="D3925" t="s">
        <v>89</v>
      </c>
      <c r="E3925" t="s">
        <v>91</v>
      </c>
      <c r="F3925" t="s">
        <v>7</v>
      </c>
      <c r="G3925" t="s">
        <v>109</v>
      </c>
      <c r="H3925" s="62">
        <v>2036</v>
      </c>
      <c r="I3925">
        <v>-0.94240000000000002</v>
      </c>
    </row>
    <row r="3926" spans="1:9">
      <c r="A3926" t="s">
        <v>104</v>
      </c>
      <c r="B3926" t="s">
        <v>105</v>
      </c>
      <c r="C3926" t="s">
        <v>80</v>
      </c>
      <c r="D3926" t="s">
        <v>92</v>
      </c>
      <c r="E3926" t="s">
        <v>93</v>
      </c>
      <c r="F3926" t="s">
        <v>7</v>
      </c>
      <c r="G3926" t="s">
        <v>109</v>
      </c>
      <c r="H3926" s="62">
        <v>2036</v>
      </c>
      <c r="I3926">
        <v>-12.6897</v>
      </c>
    </row>
    <row r="3927" spans="1:9">
      <c r="A3927" t="s">
        <v>104</v>
      </c>
      <c r="B3927" t="s">
        <v>105</v>
      </c>
      <c r="C3927" t="s">
        <v>80</v>
      </c>
      <c r="D3927" t="s">
        <v>92</v>
      </c>
      <c r="E3927" t="s">
        <v>94</v>
      </c>
      <c r="F3927" t="s">
        <v>7</v>
      </c>
      <c r="G3927" t="s">
        <v>109</v>
      </c>
      <c r="H3927" s="62">
        <v>2036</v>
      </c>
      <c r="I3927">
        <v>82.405600000000007</v>
      </c>
    </row>
    <row r="3928" spans="1:9">
      <c r="A3928" t="s">
        <v>104</v>
      </c>
      <c r="B3928" t="s">
        <v>105</v>
      </c>
      <c r="C3928" t="s">
        <v>80</v>
      </c>
      <c r="D3928" t="s">
        <v>92</v>
      </c>
      <c r="E3928" t="s">
        <v>110</v>
      </c>
      <c r="F3928" t="s">
        <v>7</v>
      </c>
      <c r="G3928" t="s">
        <v>109</v>
      </c>
      <c r="H3928" s="62">
        <v>2036</v>
      </c>
      <c r="I3928">
        <v>6.3304999999999998</v>
      </c>
    </row>
    <row r="3929" spans="1:9">
      <c r="A3929" t="s">
        <v>104</v>
      </c>
      <c r="B3929" t="s">
        <v>105</v>
      </c>
      <c r="C3929" t="s">
        <v>80</v>
      </c>
      <c r="D3929" t="s">
        <v>92</v>
      </c>
      <c r="E3929" t="s">
        <v>95</v>
      </c>
      <c r="F3929" t="s">
        <v>7</v>
      </c>
      <c r="G3929" t="s">
        <v>109</v>
      </c>
      <c r="H3929" s="62">
        <v>2036</v>
      </c>
      <c r="I3929">
        <v>53.779800000000002</v>
      </c>
    </row>
    <row r="3930" spans="1:9">
      <c r="A3930" t="s">
        <v>104</v>
      </c>
      <c r="B3930" t="s">
        <v>105</v>
      </c>
      <c r="C3930" t="s">
        <v>80</v>
      </c>
      <c r="D3930" t="s">
        <v>96</v>
      </c>
      <c r="E3930" t="s">
        <v>92</v>
      </c>
      <c r="F3930" t="s">
        <v>7</v>
      </c>
      <c r="G3930" t="s">
        <v>109</v>
      </c>
      <c r="H3930" s="62">
        <v>2036</v>
      </c>
      <c r="I3930">
        <v>17.7149</v>
      </c>
    </row>
    <row r="3931" spans="1:9">
      <c r="A3931" t="s">
        <v>104</v>
      </c>
      <c r="B3931" t="s">
        <v>105</v>
      </c>
      <c r="C3931" t="s">
        <v>80</v>
      </c>
      <c r="D3931" t="s">
        <v>96</v>
      </c>
      <c r="E3931" t="s">
        <v>89</v>
      </c>
      <c r="F3931" t="s">
        <v>7</v>
      </c>
      <c r="G3931" t="s">
        <v>109</v>
      </c>
      <c r="H3931" s="62">
        <v>2036</v>
      </c>
      <c r="I3931">
        <v>5.9555999999999996</v>
      </c>
    </row>
    <row r="3932" spans="1:9">
      <c r="A3932" t="s">
        <v>104</v>
      </c>
      <c r="B3932" t="s">
        <v>105</v>
      </c>
      <c r="C3932" t="s">
        <v>80</v>
      </c>
      <c r="D3932" t="s">
        <v>97</v>
      </c>
      <c r="E3932" t="s">
        <v>98</v>
      </c>
      <c r="F3932" t="s">
        <v>7</v>
      </c>
      <c r="G3932" t="s">
        <v>109</v>
      </c>
      <c r="H3932" s="62">
        <v>2036</v>
      </c>
      <c r="I3932">
        <v>15.395300000000001</v>
      </c>
    </row>
    <row r="3933" spans="1:9">
      <c r="A3933" t="s">
        <v>104</v>
      </c>
      <c r="B3933" t="s">
        <v>105</v>
      </c>
      <c r="C3933" t="s">
        <v>80</v>
      </c>
      <c r="D3933" t="s">
        <v>97</v>
      </c>
      <c r="E3933" t="s">
        <v>99</v>
      </c>
      <c r="F3933" t="s">
        <v>7</v>
      </c>
      <c r="G3933" t="s">
        <v>109</v>
      </c>
      <c r="H3933" s="62">
        <v>2036</v>
      </c>
      <c r="I3933">
        <v>9.4600000000000004E-2</v>
      </c>
    </row>
    <row r="3934" spans="1:9">
      <c r="A3934" t="s">
        <v>104</v>
      </c>
      <c r="B3934" t="s">
        <v>105</v>
      </c>
      <c r="C3934" t="s">
        <v>80</v>
      </c>
      <c r="D3934" t="s">
        <v>100</v>
      </c>
      <c r="E3934" t="s">
        <v>101</v>
      </c>
      <c r="F3934" t="s">
        <v>7</v>
      </c>
      <c r="G3934" t="s">
        <v>109</v>
      </c>
      <c r="H3934" s="62">
        <v>2036</v>
      </c>
      <c r="I3934">
        <v>22.8932</v>
      </c>
    </row>
    <row r="3935" spans="1:9">
      <c r="A3935" t="s">
        <v>104</v>
      </c>
      <c r="B3935" t="s">
        <v>105</v>
      </c>
      <c r="C3935" t="s">
        <v>80</v>
      </c>
      <c r="D3935" t="s">
        <v>100</v>
      </c>
      <c r="E3935" t="s">
        <v>102</v>
      </c>
      <c r="F3935" t="s">
        <v>7</v>
      </c>
      <c r="G3935" t="s">
        <v>109</v>
      </c>
      <c r="H3935" s="62">
        <v>2036</v>
      </c>
      <c r="I3935">
        <v>6.3986000000000001</v>
      </c>
    </row>
    <row r="3936" spans="1:9">
      <c r="A3936" t="s">
        <v>104</v>
      </c>
      <c r="B3936" t="s">
        <v>105</v>
      </c>
      <c r="C3936" t="s">
        <v>80</v>
      </c>
      <c r="D3936" t="s">
        <v>100</v>
      </c>
      <c r="E3936" t="s">
        <v>111</v>
      </c>
      <c r="F3936" t="s">
        <v>7</v>
      </c>
      <c r="G3936" t="s">
        <v>109</v>
      </c>
      <c r="H3936" s="62">
        <v>2036</v>
      </c>
      <c r="I3936">
        <v>0</v>
      </c>
    </row>
    <row r="3937" spans="1:9">
      <c r="A3937" t="s">
        <v>104</v>
      </c>
      <c r="B3937" t="s">
        <v>105</v>
      </c>
      <c r="C3937" t="s">
        <v>80</v>
      </c>
      <c r="D3937" t="s">
        <v>100</v>
      </c>
      <c r="E3937" t="s">
        <v>112</v>
      </c>
      <c r="F3937" t="s">
        <v>7</v>
      </c>
      <c r="G3937" t="s">
        <v>109</v>
      </c>
      <c r="H3937" s="62">
        <v>2036</v>
      </c>
      <c r="I3937">
        <v>0</v>
      </c>
    </row>
    <row r="3938" spans="1:9">
      <c r="A3938" t="s">
        <v>104</v>
      </c>
      <c r="B3938" t="s">
        <v>105</v>
      </c>
      <c r="C3938" t="s">
        <v>80</v>
      </c>
      <c r="D3938" t="s">
        <v>83</v>
      </c>
      <c r="E3938" t="s">
        <v>84</v>
      </c>
      <c r="F3938" t="s">
        <v>7</v>
      </c>
      <c r="G3938" t="s">
        <v>109</v>
      </c>
      <c r="H3938" s="62">
        <v>2036</v>
      </c>
      <c r="I3938">
        <v>5.7435</v>
      </c>
    </row>
    <row r="3939" spans="1:9">
      <c r="A3939" t="s">
        <v>104</v>
      </c>
      <c r="B3939" t="s">
        <v>105</v>
      </c>
      <c r="C3939" t="s">
        <v>80</v>
      </c>
      <c r="D3939" t="s">
        <v>83</v>
      </c>
      <c r="E3939" t="s">
        <v>85</v>
      </c>
      <c r="F3939" t="s">
        <v>7</v>
      </c>
      <c r="G3939" t="s">
        <v>109</v>
      </c>
      <c r="H3939" s="62">
        <v>2036</v>
      </c>
      <c r="I3939">
        <v>4.9492000000000003</v>
      </c>
    </row>
    <row r="3940" spans="1:9">
      <c r="A3940" t="s">
        <v>104</v>
      </c>
      <c r="B3940" t="s">
        <v>105</v>
      </c>
      <c r="C3940" t="s">
        <v>80</v>
      </c>
      <c r="D3940" t="s">
        <v>86</v>
      </c>
      <c r="E3940" t="s">
        <v>106</v>
      </c>
      <c r="F3940" t="s">
        <v>7</v>
      </c>
      <c r="G3940" t="s">
        <v>109</v>
      </c>
      <c r="H3940" s="62">
        <v>2036</v>
      </c>
      <c r="I3940">
        <v>4.0646000000000004</v>
      </c>
    </row>
    <row r="3941" spans="1:9">
      <c r="A3941" t="s">
        <v>104</v>
      </c>
      <c r="B3941" t="s">
        <v>105</v>
      </c>
      <c r="C3941" t="s">
        <v>80</v>
      </c>
      <c r="D3941" t="s">
        <v>86</v>
      </c>
      <c r="E3941" t="s">
        <v>87</v>
      </c>
      <c r="F3941" t="s">
        <v>7</v>
      </c>
      <c r="G3941" t="s">
        <v>109</v>
      </c>
      <c r="H3941" s="62">
        <v>2036</v>
      </c>
      <c r="I3941">
        <v>9.5675000000000008</v>
      </c>
    </row>
    <row r="3942" spans="1:9">
      <c r="A3942" t="s">
        <v>104</v>
      </c>
      <c r="B3942" t="s">
        <v>105</v>
      </c>
      <c r="C3942" t="s">
        <v>80</v>
      </c>
      <c r="D3942" t="s">
        <v>103</v>
      </c>
      <c r="E3942" t="s">
        <v>92</v>
      </c>
      <c r="F3942" t="s">
        <v>7</v>
      </c>
      <c r="G3942" t="s">
        <v>109</v>
      </c>
      <c r="H3942" s="62">
        <v>2036</v>
      </c>
      <c r="I3942">
        <v>9.6453000000000007</v>
      </c>
    </row>
    <row r="3943" spans="1:9">
      <c r="A3943" t="s">
        <v>104</v>
      </c>
      <c r="B3943" t="s">
        <v>105</v>
      </c>
      <c r="C3943" t="s">
        <v>80</v>
      </c>
      <c r="D3943" t="s">
        <v>103</v>
      </c>
      <c r="E3943" t="s">
        <v>89</v>
      </c>
      <c r="F3943" t="s">
        <v>7</v>
      </c>
      <c r="G3943" t="s">
        <v>109</v>
      </c>
      <c r="H3943" s="62">
        <v>2036</v>
      </c>
      <c r="I3943">
        <v>47.776699999999998</v>
      </c>
    </row>
    <row r="3944" spans="1:9">
      <c r="A3944" t="s">
        <v>104</v>
      </c>
      <c r="B3944" t="s">
        <v>105</v>
      </c>
      <c r="C3944" t="s">
        <v>107</v>
      </c>
      <c r="D3944" t="s">
        <v>107</v>
      </c>
      <c r="E3944" t="s">
        <v>107</v>
      </c>
      <c r="F3944" t="s">
        <v>7</v>
      </c>
      <c r="G3944" t="s">
        <v>109</v>
      </c>
      <c r="H3944" s="62">
        <v>2037</v>
      </c>
      <c r="I3944">
        <v>226.43199999999999</v>
      </c>
    </row>
    <row r="3945" spans="1:9">
      <c r="A3945" t="s">
        <v>104</v>
      </c>
      <c r="B3945" t="s">
        <v>105</v>
      </c>
      <c r="C3945" t="s">
        <v>107</v>
      </c>
      <c r="D3945" t="s">
        <v>108</v>
      </c>
      <c r="E3945" t="s">
        <v>108</v>
      </c>
      <c r="F3945" t="s">
        <v>7</v>
      </c>
      <c r="G3945" t="s">
        <v>109</v>
      </c>
      <c r="H3945" s="62">
        <v>2037</v>
      </c>
      <c r="I3945">
        <v>0.87849999999999995</v>
      </c>
    </row>
    <row r="3946" spans="1:9">
      <c r="A3946" t="s">
        <v>104</v>
      </c>
      <c r="B3946" t="s">
        <v>105</v>
      </c>
      <c r="C3946" t="s">
        <v>80</v>
      </c>
      <c r="D3946" t="s">
        <v>80</v>
      </c>
      <c r="E3946" t="s">
        <v>80</v>
      </c>
      <c r="F3946" t="s">
        <v>7</v>
      </c>
      <c r="G3946" t="s">
        <v>109</v>
      </c>
      <c r="H3946" s="62">
        <v>2037</v>
      </c>
      <c r="I3946">
        <v>225.55350000000001</v>
      </c>
    </row>
    <row r="3947" spans="1:9">
      <c r="A3947" t="s">
        <v>104</v>
      </c>
      <c r="B3947" t="s">
        <v>105</v>
      </c>
      <c r="C3947" t="s">
        <v>80</v>
      </c>
      <c r="D3947" t="s">
        <v>89</v>
      </c>
      <c r="E3947" t="s">
        <v>90</v>
      </c>
      <c r="F3947" t="s">
        <v>7</v>
      </c>
      <c r="G3947" t="s">
        <v>109</v>
      </c>
      <c r="H3947" s="62">
        <v>2037</v>
      </c>
      <c r="I3947">
        <v>9.3450000000000006</v>
      </c>
    </row>
    <row r="3948" spans="1:9">
      <c r="A3948" t="s">
        <v>104</v>
      </c>
      <c r="B3948" t="s">
        <v>105</v>
      </c>
      <c r="C3948" t="s">
        <v>80</v>
      </c>
      <c r="D3948" t="s">
        <v>89</v>
      </c>
      <c r="E3948" t="s">
        <v>91</v>
      </c>
      <c r="F3948" t="s">
        <v>7</v>
      </c>
      <c r="G3948" t="s">
        <v>109</v>
      </c>
      <c r="H3948" s="62">
        <v>2037</v>
      </c>
      <c r="I3948">
        <v>-0.80569999999999997</v>
      </c>
    </row>
    <row r="3949" spans="1:9">
      <c r="A3949" t="s">
        <v>104</v>
      </c>
      <c r="B3949" t="s">
        <v>105</v>
      </c>
      <c r="C3949" t="s">
        <v>80</v>
      </c>
      <c r="D3949" t="s">
        <v>92</v>
      </c>
      <c r="E3949" t="s">
        <v>93</v>
      </c>
      <c r="F3949" t="s">
        <v>7</v>
      </c>
      <c r="G3949" t="s">
        <v>109</v>
      </c>
      <c r="H3949" s="62">
        <v>2037</v>
      </c>
      <c r="I3949">
        <v>-13.6919</v>
      </c>
    </row>
    <row r="3950" spans="1:9">
      <c r="A3950" t="s">
        <v>104</v>
      </c>
      <c r="B3950" t="s">
        <v>105</v>
      </c>
      <c r="C3950" t="s">
        <v>80</v>
      </c>
      <c r="D3950" t="s">
        <v>92</v>
      </c>
      <c r="E3950" t="s">
        <v>94</v>
      </c>
      <c r="F3950" t="s">
        <v>7</v>
      </c>
      <c r="G3950" t="s">
        <v>109</v>
      </c>
      <c r="H3950" s="62">
        <v>2037</v>
      </c>
      <c r="I3950">
        <v>83.226200000000006</v>
      </c>
    </row>
    <row r="3951" spans="1:9">
      <c r="A3951" t="s">
        <v>104</v>
      </c>
      <c r="B3951" t="s">
        <v>105</v>
      </c>
      <c r="C3951" t="s">
        <v>80</v>
      </c>
      <c r="D3951" t="s">
        <v>92</v>
      </c>
      <c r="E3951" t="s">
        <v>110</v>
      </c>
      <c r="F3951" t="s">
        <v>7</v>
      </c>
      <c r="G3951" t="s">
        <v>109</v>
      </c>
      <c r="H3951" s="62">
        <v>2037</v>
      </c>
      <c r="I3951">
        <v>6.2271999999999998</v>
      </c>
    </row>
    <row r="3952" spans="1:9">
      <c r="A3952" t="s">
        <v>104</v>
      </c>
      <c r="B3952" t="s">
        <v>105</v>
      </c>
      <c r="C3952" t="s">
        <v>80</v>
      </c>
      <c r="D3952" t="s">
        <v>92</v>
      </c>
      <c r="E3952" t="s">
        <v>95</v>
      </c>
      <c r="F3952" t="s">
        <v>7</v>
      </c>
      <c r="G3952" t="s">
        <v>109</v>
      </c>
      <c r="H3952" s="62">
        <v>2037</v>
      </c>
      <c r="I3952">
        <v>54.393099999999997</v>
      </c>
    </row>
    <row r="3953" spans="1:9">
      <c r="A3953" t="s">
        <v>104</v>
      </c>
      <c r="B3953" t="s">
        <v>105</v>
      </c>
      <c r="C3953" t="s">
        <v>80</v>
      </c>
      <c r="D3953" t="s">
        <v>96</v>
      </c>
      <c r="E3953" t="s">
        <v>92</v>
      </c>
      <c r="F3953" t="s">
        <v>7</v>
      </c>
      <c r="G3953" t="s">
        <v>109</v>
      </c>
      <c r="H3953" s="62">
        <v>2037</v>
      </c>
      <c r="I3953">
        <v>19.1996</v>
      </c>
    </row>
    <row r="3954" spans="1:9">
      <c r="A3954" t="s">
        <v>104</v>
      </c>
      <c r="B3954" t="s">
        <v>105</v>
      </c>
      <c r="C3954" t="s">
        <v>80</v>
      </c>
      <c r="D3954" t="s">
        <v>96</v>
      </c>
      <c r="E3954" t="s">
        <v>89</v>
      </c>
      <c r="F3954" t="s">
        <v>7</v>
      </c>
      <c r="G3954" t="s">
        <v>109</v>
      </c>
      <c r="H3954" s="62">
        <v>2037</v>
      </c>
      <c r="I3954">
        <v>6.5111999999999997</v>
      </c>
    </row>
    <row r="3955" spans="1:9">
      <c r="A3955" t="s">
        <v>104</v>
      </c>
      <c r="B3955" t="s">
        <v>105</v>
      </c>
      <c r="C3955" t="s">
        <v>80</v>
      </c>
      <c r="D3955" t="s">
        <v>97</v>
      </c>
      <c r="E3955" t="s">
        <v>98</v>
      </c>
      <c r="F3955" t="s">
        <v>7</v>
      </c>
      <c r="G3955" t="s">
        <v>109</v>
      </c>
      <c r="H3955" s="62">
        <v>2037</v>
      </c>
      <c r="I3955">
        <v>18.6754</v>
      </c>
    </row>
    <row r="3956" spans="1:9">
      <c r="A3956" t="s">
        <v>104</v>
      </c>
      <c r="B3956" t="s">
        <v>105</v>
      </c>
      <c r="C3956" t="s">
        <v>80</v>
      </c>
      <c r="D3956" t="s">
        <v>97</v>
      </c>
      <c r="E3956" t="s">
        <v>99</v>
      </c>
      <c r="F3956" t="s">
        <v>7</v>
      </c>
      <c r="G3956" t="s">
        <v>109</v>
      </c>
      <c r="H3956" s="62">
        <v>2037</v>
      </c>
      <c r="I3956">
        <v>0.12520000000000001</v>
      </c>
    </row>
    <row r="3957" spans="1:9">
      <c r="A3957" t="s">
        <v>104</v>
      </c>
      <c r="B3957" t="s">
        <v>105</v>
      </c>
      <c r="C3957" t="s">
        <v>80</v>
      </c>
      <c r="D3957" t="s">
        <v>100</v>
      </c>
      <c r="E3957" t="s">
        <v>101</v>
      </c>
      <c r="F3957" t="s">
        <v>7</v>
      </c>
      <c r="G3957" t="s">
        <v>109</v>
      </c>
      <c r="H3957" s="62">
        <v>2037</v>
      </c>
      <c r="I3957">
        <v>24.517800000000001</v>
      </c>
    </row>
    <row r="3958" spans="1:9">
      <c r="A3958" t="s">
        <v>104</v>
      </c>
      <c r="B3958" t="s">
        <v>105</v>
      </c>
      <c r="C3958" t="s">
        <v>80</v>
      </c>
      <c r="D3958" t="s">
        <v>100</v>
      </c>
      <c r="E3958" t="s">
        <v>102</v>
      </c>
      <c r="F3958" t="s">
        <v>7</v>
      </c>
      <c r="G3958" t="s">
        <v>109</v>
      </c>
      <c r="H3958" s="62">
        <v>2037</v>
      </c>
      <c r="I3958">
        <v>6.8365</v>
      </c>
    </row>
    <row r="3959" spans="1:9">
      <c r="A3959" t="s">
        <v>104</v>
      </c>
      <c r="B3959" t="s">
        <v>105</v>
      </c>
      <c r="C3959" t="s">
        <v>80</v>
      </c>
      <c r="D3959" t="s">
        <v>100</v>
      </c>
      <c r="E3959" t="s">
        <v>111</v>
      </c>
      <c r="F3959" t="s">
        <v>7</v>
      </c>
      <c r="G3959" t="s">
        <v>109</v>
      </c>
      <c r="H3959" s="62">
        <v>2037</v>
      </c>
      <c r="I3959">
        <v>0</v>
      </c>
    </row>
    <row r="3960" spans="1:9">
      <c r="A3960" t="s">
        <v>104</v>
      </c>
      <c r="B3960" t="s">
        <v>105</v>
      </c>
      <c r="C3960" t="s">
        <v>80</v>
      </c>
      <c r="D3960" t="s">
        <v>100</v>
      </c>
      <c r="E3960" t="s">
        <v>112</v>
      </c>
      <c r="F3960" t="s">
        <v>7</v>
      </c>
      <c r="G3960" t="s">
        <v>109</v>
      </c>
      <c r="H3960" s="62">
        <v>2037</v>
      </c>
      <c r="I3960">
        <v>0</v>
      </c>
    </row>
    <row r="3961" spans="1:9">
      <c r="A3961" t="s">
        <v>104</v>
      </c>
      <c r="B3961" t="s">
        <v>105</v>
      </c>
      <c r="C3961" t="s">
        <v>80</v>
      </c>
      <c r="D3961" t="s">
        <v>83</v>
      </c>
      <c r="E3961" t="s">
        <v>84</v>
      </c>
      <c r="F3961" t="s">
        <v>7</v>
      </c>
      <c r="G3961" t="s">
        <v>109</v>
      </c>
      <c r="H3961" s="62">
        <v>2037</v>
      </c>
      <c r="I3961">
        <v>5.9272</v>
      </c>
    </row>
    <row r="3962" spans="1:9">
      <c r="A3962" t="s">
        <v>104</v>
      </c>
      <c r="B3962" t="s">
        <v>105</v>
      </c>
      <c r="C3962" t="s">
        <v>80</v>
      </c>
      <c r="D3962" t="s">
        <v>83</v>
      </c>
      <c r="E3962" t="s">
        <v>85</v>
      </c>
      <c r="F3962" t="s">
        <v>7</v>
      </c>
      <c r="G3962" t="s">
        <v>109</v>
      </c>
      <c r="H3962" s="62">
        <v>2037</v>
      </c>
      <c r="I3962">
        <v>5.0669000000000004</v>
      </c>
    </row>
    <row r="3963" spans="1:9">
      <c r="A3963" t="s">
        <v>104</v>
      </c>
      <c r="B3963" t="s">
        <v>105</v>
      </c>
      <c r="C3963" t="s">
        <v>80</v>
      </c>
      <c r="D3963" t="s">
        <v>86</v>
      </c>
      <c r="E3963" t="s">
        <v>106</v>
      </c>
      <c r="F3963" t="s">
        <v>7</v>
      </c>
      <c r="G3963" t="s">
        <v>109</v>
      </c>
      <c r="H3963" s="62">
        <v>2037</v>
      </c>
      <c r="I3963">
        <v>4.0797999999999996</v>
      </c>
    </row>
    <row r="3964" spans="1:9">
      <c r="A3964" t="s">
        <v>104</v>
      </c>
      <c r="B3964" t="s">
        <v>105</v>
      </c>
      <c r="C3964" t="s">
        <v>80</v>
      </c>
      <c r="D3964" t="s">
        <v>86</v>
      </c>
      <c r="E3964" t="s">
        <v>87</v>
      </c>
      <c r="F3964" t="s">
        <v>7</v>
      </c>
      <c r="G3964" t="s">
        <v>109</v>
      </c>
      <c r="H3964" s="62">
        <v>2037</v>
      </c>
      <c r="I3964">
        <v>10.4178</v>
      </c>
    </row>
    <row r="3965" spans="1:9">
      <c r="A3965" t="s">
        <v>104</v>
      </c>
      <c r="B3965" t="s">
        <v>105</v>
      </c>
      <c r="C3965" t="s">
        <v>80</v>
      </c>
      <c r="D3965" t="s">
        <v>103</v>
      </c>
      <c r="E3965" t="s">
        <v>92</v>
      </c>
      <c r="F3965" t="s">
        <v>7</v>
      </c>
      <c r="G3965" t="s">
        <v>109</v>
      </c>
      <c r="H3965" s="62">
        <v>2037</v>
      </c>
      <c r="I3965">
        <v>10.111800000000001</v>
      </c>
    </row>
    <row r="3966" spans="1:9">
      <c r="A3966" t="s">
        <v>104</v>
      </c>
      <c r="B3966" t="s">
        <v>105</v>
      </c>
      <c r="C3966" t="s">
        <v>80</v>
      </c>
      <c r="D3966" t="s">
        <v>103</v>
      </c>
      <c r="E3966" t="s">
        <v>89</v>
      </c>
      <c r="F3966" t="s">
        <v>7</v>
      </c>
      <c r="G3966" t="s">
        <v>109</v>
      </c>
      <c r="H3966" s="62">
        <v>2037</v>
      </c>
      <c r="I3966">
        <v>50.058500000000002</v>
      </c>
    </row>
    <row r="3967" spans="1:9">
      <c r="A3967" t="s">
        <v>104</v>
      </c>
      <c r="B3967" t="s">
        <v>105</v>
      </c>
      <c r="C3967" t="s">
        <v>107</v>
      </c>
      <c r="D3967" t="s">
        <v>107</v>
      </c>
      <c r="E3967" t="s">
        <v>107</v>
      </c>
      <c r="F3967" t="s">
        <v>7</v>
      </c>
      <c r="G3967" t="s">
        <v>109</v>
      </c>
      <c r="H3967" s="62">
        <v>2038</v>
      </c>
      <c r="I3967">
        <v>232.63059999999999</v>
      </c>
    </row>
    <row r="3968" spans="1:9">
      <c r="A3968" t="s">
        <v>104</v>
      </c>
      <c r="B3968" t="s">
        <v>105</v>
      </c>
      <c r="C3968" t="s">
        <v>107</v>
      </c>
      <c r="D3968" t="s">
        <v>108</v>
      </c>
      <c r="E3968" t="s">
        <v>108</v>
      </c>
      <c r="F3968" t="s">
        <v>7</v>
      </c>
      <c r="G3968" t="s">
        <v>109</v>
      </c>
      <c r="H3968" s="62">
        <v>2038</v>
      </c>
      <c r="I3968">
        <v>0.70130000000000003</v>
      </c>
    </row>
    <row r="3969" spans="1:9">
      <c r="A3969" t="s">
        <v>104</v>
      </c>
      <c r="B3969" t="s">
        <v>105</v>
      </c>
      <c r="C3969" t="s">
        <v>80</v>
      </c>
      <c r="D3969" t="s">
        <v>80</v>
      </c>
      <c r="E3969" t="s">
        <v>80</v>
      </c>
      <c r="F3969" t="s">
        <v>7</v>
      </c>
      <c r="G3969" t="s">
        <v>109</v>
      </c>
      <c r="H3969" s="62">
        <v>2038</v>
      </c>
      <c r="I3969">
        <v>231.92930000000001</v>
      </c>
    </row>
    <row r="3970" spans="1:9">
      <c r="A3970" t="s">
        <v>104</v>
      </c>
      <c r="B3970" t="s">
        <v>105</v>
      </c>
      <c r="C3970" t="s">
        <v>80</v>
      </c>
      <c r="D3970" t="s">
        <v>89</v>
      </c>
      <c r="E3970" t="s">
        <v>90</v>
      </c>
      <c r="F3970" t="s">
        <v>7</v>
      </c>
      <c r="G3970" t="s">
        <v>109</v>
      </c>
      <c r="H3970" s="62">
        <v>2038</v>
      </c>
      <c r="I3970">
        <v>7.2595000000000001</v>
      </c>
    </row>
    <row r="3971" spans="1:9">
      <c r="A3971" t="s">
        <v>104</v>
      </c>
      <c r="B3971" t="s">
        <v>105</v>
      </c>
      <c r="C3971" t="s">
        <v>80</v>
      </c>
      <c r="D3971" t="s">
        <v>89</v>
      </c>
      <c r="E3971" t="s">
        <v>91</v>
      </c>
      <c r="F3971" t="s">
        <v>7</v>
      </c>
      <c r="G3971" t="s">
        <v>109</v>
      </c>
      <c r="H3971" s="62">
        <v>2038</v>
      </c>
      <c r="I3971">
        <v>-0.62970000000000004</v>
      </c>
    </row>
    <row r="3972" spans="1:9">
      <c r="A3972" t="s">
        <v>104</v>
      </c>
      <c r="B3972" t="s">
        <v>105</v>
      </c>
      <c r="C3972" t="s">
        <v>80</v>
      </c>
      <c r="D3972" t="s">
        <v>92</v>
      </c>
      <c r="E3972" t="s">
        <v>93</v>
      </c>
      <c r="F3972" t="s">
        <v>7</v>
      </c>
      <c r="G3972" t="s">
        <v>109</v>
      </c>
      <c r="H3972" s="62">
        <v>2038</v>
      </c>
      <c r="I3972">
        <v>-14.4229</v>
      </c>
    </row>
    <row r="3973" spans="1:9">
      <c r="A3973" t="s">
        <v>104</v>
      </c>
      <c r="B3973" t="s">
        <v>105</v>
      </c>
      <c r="C3973" t="s">
        <v>80</v>
      </c>
      <c r="D3973" t="s">
        <v>92</v>
      </c>
      <c r="E3973" t="s">
        <v>94</v>
      </c>
      <c r="F3973" t="s">
        <v>7</v>
      </c>
      <c r="G3973" t="s">
        <v>109</v>
      </c>
      <c r="H3973" s="62">
        <v>2038</v>
      </c>
      <c r="I3973">
        <v>83.897800000000004</v>
      </c>
    </row>
    <row r="3974" spans="1:9">
      <c r="A3974" t="s">
        <v>104</v>
      </c>
      <c r="B3974" t="s">
        <v>105</v>
      </c>
      <c r="C3974" t="s">
        <v>80</v>
      </c>
      <c r="D3974" t="s">
        <v>92</v>
      </c>
      <c r="E3974" t="s">
        <v>110</v>
      </c>
      <c r="F3974" t="s">
        <v>7</v>
      </c>
      <c r="G3974" t="s">
        <v>109</v>
      </c>
      <c r="H3974" s="62">
        <v>2038</v>
      </c>
      <c r="I3974">
        <v>5.9889000000000001</v>
      </c>
    </row>
    <row r="3975" spans="1:9">
      <c r="A3975" t="s">
        <v>104</v>
      </c>
      <c r="B3975" t="s">
        <v>105</v>
      </c>
      <c r="C3975" t="s">
        <v>80</v>
      </c>
      <c r="D3975" t="s">
        <v>92</v>
      </c>
      <c r="E3975" t="s">
        <v>95</v>
      </c>
      <c r="F3975" t="s">
        <v>7</v>
      </c>
      <c r="G3975" t="s">
        <v>109</v>
      </c>
      <c r="H3975" s="62">
        <v>2038</v>
      </c>
      <c r="I3975">
        <v>55.224200000000003</v>
      </c>
    </row>
    <row r="3976" spans="1:9">
      <c r="A3976" t="s">
        <v>104</v>
      </c>
      <c r="B3976" t="s">
        <v>105</v>
      </c>
      <c r="C3976" t="s">
        <v>80</v>
      </c>
      <c r="D3976" t="s">
        <v>96</v>
      </c>
      <c r="E3976" t="s">
        <v>92</v>
      </c>
      <c r="F3976" t="s">
        <v>7</v>
      </c>
      <c r="G3976" t="s">
        <v>109</v>
      </c>
      <c r="H3976" s="62">
        <v>2038</v>
      </c>
      <c r="I3976">
        <v>20.506599999999999</v>
      </c>
    </row>
    <row r="3977" spans="1:9">
      <c r="A3977" t="s">
        <v>104</v>
      </c>
      <c r="B3977" t="s">
        <v>105</v>
      </c>
      <c r="C3977" t="s">
        <v>80</v>
      </c>
      <c r="D3977" t="s">
        <v>96</v>
      </c>
      <c r="E3977" t="s">
        <v>89</v>
      </c>
      <c r="F3977" t="s">
        <v>7</v>
      </c>
      <c r="G3977" t="s">
        <v>109</v>
      </c>
      <c r="H3977" s="62">
        <v>2038</v>
      </c>
      <c r="I3977">
        <v>7.0685000000000002</v>
      </c>
    </row>
    <row r="3978" spans="1:9">
      <c r="A3978" t="s">
        <v>104</v>
      </c>
      <c r="B3978" t="s">
        <v>105</v>
      </c>
      <c r="C3978" t="s">
        <v>80</v>
      </c>
      <c r="D3978" t="s">
        <v>97</v>
      </c>
      <c r="E3978" t="s">
        <v>98</v>
      </c>
      <c r="F3978" t="s">
        <v>7</v>
      </c>
      <c r="G3978" t="s">
        <v>109</v>
      </c>
      <c r="H3978" s="62">
        <v>2038</v>
      </c>
      <c r="I3978">
        <v>22.000599999999999</v>
      </c>
    </row>
    <row r="3979" spans="1:9">
      <c r="A3979" t="s">
        <v>104</v>
      </c>
      <c r="B3979" t="s">
        <v>105</v>
      </c>
      <c r="C3979" t="s">
        <v>80</v>
      </c>
      <c r="D3979" t="s">
        <v>97</v>
      </c>
      <c r="E3979" t="s">
        <v>99</v>
      </c>
      <c r="F3979" t="s">
        <v>7</v>
      </c>
      <c r="G3979" t="s">
        <v>109</v>
      </c>
      <c r="H3979" s="62">
        <v>2038</v>
      </c>
      <c r="I3979">
        <v>0.1603</v>
      </c>
    </row>
    <row r="3980" spans="1:9">
      <c r="A3980" t="s">
        <v>104</v>
      </c>
      <c r="B3980" t="s">
        <v>105</v>
      </c>
      <c r="C3980" t="s">
        <v>80</v>
      </c>
      <c r="D3980" t="s">
        <v>100</v>
      </c>
      <c r="E3980" t="s">
        <v>101</v>
      </c>
      <c r="F3980" t="s">
        <v>7</v>
      </c>
      <c r="G3980" t="s">
        <v>109</v>
      </c>
      <c r="H3980" s="62">
        <v>2038</v>
      </c>
      <c r="I3980">
        <v>26.3507</v>
      </c>
    </row>
    <row r="3981" spans="1:9">
      <c r="A3981" t="s">
        <v>104</v>
      </c>
      <c r="B3981" t="s">
        <v>105</v>
      </c>
      <c r="C3981" t="s">
        <v>80</v>
      </c>
      <c r="D3981" t="s">
        <v>100</v>
      </c>
      <c r="E3981" t="s">
        <v>102</v>
      </c>
      <c r="F3981" t="s">
        <v>7</v>
      </c>
      <c r="G3981" t="s">
        <v>109</v>
      </c>
      <c r="H3981" s="62">
        <v>2038</v>
      </c>
      <c r="I3981">
        <v>7.2530999999999999</v>
      </c>
    </row>
    <row r="3982" spans="1:9">
      <c r="A3982" t="s">
        <v>104</v>
      </c>
      <c r="B3982" t="s">
        <v>105</v>
      </c>
      <c r="C3982" t="s">
        <v>80</v>
      </c>
      <c r="D3982" t="s">
        <v>100</v>
      </c>
      <c r="E3982" t="s">
        <v>111</v>
      </c>
      <c r="F3982" t="s">
        <v>7</v>
      </c>
      <c r="G3982" t="s">
        <v>109</v>
      </c>
      <c r="H3982" s="62">
        <v>2038</v>
      </c>
      <c r="I3982">
        <v>0</v>
      </c>
    </row>
    <row r="3983" spans="1:9">
      <c r="A3983" t="s">
        <v>104</v>
      </c>
      <c r="B3983" t="s">
        <v>105</v>
      </c>
      <c r="C3983" t="s">
        <v>80</v>
      </c>
      <c r="D3983" t="s">
        <v>100</v>
      </c>
      <c r="E3983" t="s">
        <v>112</v>
      </c>
      <c r="F3983" t="s">
        <v>7</v>
      </c>
      <c r="G3983" t="s">
        <v>109</v>
      </c>
      <c r="H3983" s="62">
        <v>2038</v>
      </c>
      <c r="I3983">
        <v>0</v>
      </c>
    </row>
    <row r="3984" spans="1:9">
      <c r="A3984" t="s">
        <v>104</v>
      </c>
      <c r="B3984" t="s">
        <v>105</v>
      </c>
      <c r="C3984" t="s">
        <v>80</v>
      </c>
      <c r="D3984" t="s">
        <v>83</v>
      </c>
      <c r="E3984" t="s">
        <v>84</v>
      </c>
      <c r="F3984" t="s">
        <v>7</v>
      </c>
      <c r="G3984" t="s">
        <v>109</v>
      </c>
      <c r="H3984" s="62">
        <v>2038</v>
      </c>
      <c r="I3984">
        <v>6.0942999999999996</v>
      </c>
    </row>
    <row r="3985" spans="1:9">
      <c r="A3985" t="s">
        <v>104</v>
      </c>
      <c r="B3985" t="s">
        <v>105</v>
      </c>
      <c r="C3985" t="s">
        <v>80</v>
      </c>
      <c r="D3985" t="s">
        <v>83</v>
      </c>
      <c r="E3985" t="s">
        <v>85</v>
      </c>
      <c r="F3985" t="s">
        <v>7</v>
      </c>
      <c r="G3985" t="s">
        <v>109</v>
      </c>
      <c r="H3985" s="62">
        <v>2038</v>
      </c>
      <c r="I3985">
        <v>5.1773999999999996</v>
      </c>
    </row>
    <row r="3986" spans="1:9">
      <c r="A3986" t="s">
        <v>104</v>
      </c>
      <c r="B3986" t="s">
        <v>105</v>
      </c>
      <c r="C3986" t="s">
        <v>80</v>
      </c>
      <c r="D3986" t="s">
        <v>86</v>
      </c>
      <c r="E3986" t="s">
        <v>106</v>
      </c>
      <c r="F3986" t="s">
        <v>7</v>
      </c>
      <c r="G3986" t="s">
        <v>109</v>
      </c>
      <c r="H3986" s="62">
        <v>2038</v>
      </c>
      <c r="I3986">
        <v>3.6446999999999998</v>
      </c>
    </row>
    <row r="3987" spans="1:9">
      <c r="A3987" t="s">
        <v>104</v>
      </c>
      <c r="B3987" t="s">
        <v>105</v>
      </c>
      <c r="C3987" t="s">
        <v>80</v>
      </c>
      <c r="D3987" t="s">
        <v>86</v>
      </c>
      <c r="E3987" t="s">
        <v>87</v>
      </c>
      <c r="F3987" t="s">
        <v>7</v>
      </c>
      <c r="G3987" t="s">
        <v>109</v>
      </c>
      <c r="H3987" s="62">
        <v>2038</v>
      </c>
      <c r="I3987">
        <v>11.4079</v>
      </c>
    </row>
    <row r="3988" spans="1:9">
      <c r="A3988" t="s">
        <v>104</v>
      </c>
      <c r="B3988" t="s">
        <v>105</v>
      </c>
      <c r="C3988" t="s">
        <v>80</v>
      </c>
      <c r="D3988" t="s">
        <v>103</v>
      </c>
      <c r="E3988" t="s">
        <v>92</v>
      </c>
      <c r="F3988" t="s">
        <v>7</v>
      </c>
      <c r="G3988" t="s">
        <v>109</v>
      </c>
      <c r="H3988" s="62">
        <v>2038</v>
      </c>
      <c r="I3988">
        <v>10.6296</v>
      </c>
    </row>
    <row r="3989" spans="1:9">
      <c r="A3989" t="s">
        <v>104</v>
      </c>
      <c r="B3989" t="s">
        <v>105</v>
      </c>
      <c r="C3989" t="s">
        <v>80</v>
      </c>
      <c r="D3989" t="s">
        <v>103</v>
      </c>
      <c r="E3989" t="s">
        <v>89</v>
      </c>
      <c r="F3989" t="s">
        <v>7</v>
      </c>
      <c r="G3989" t="s">
        <v>109</v>
      </c>
      <c r="H3989" s="62">
        <v>2038</v>
      </c>
      <c r="I3989">
        <v>52.462000000000003</v>
      </c>
    </row>
    <row r="3990" spans="1:9">
      <c r="A3990" t="s">
        <v>104</v>
      </c>
      <c r="B3990" t="s">
        <v>105</v>
      </c>
      <c r="C3990" t="s">
        <v>107</v>
      </c>
      <c r="D3990" t="s">
        <v>107</v>
      </c>
      <c r="E3990" t="s">
        <v>107</v>
      </c>
      <c r="F3990" t="s">
        <v>7</v>
      </c>
      <c r="G3990" t="s">
        <v>109</v>
      </c>
      <c r="H3990" s="62">
        <v>2039</v>
      </c>
      <c r="I3990">
        <v>235.2962</v>
      </c>
    </row>
    <row r="3991" spans="1:9">
      <c r="A3991" t="s">
        <v>104</v>
      </c>
      <c r="B3991" t="s">
        <v>105</v>
      </c>
      <c r="C3991" t="s">
        <v>107</v>
      </c>
      <c r="D3991" t="s">
        <v>108</v>
      </c>
      <c r="E3991" t="s">
        <v>108</v>
      </c>
      <c r="F3991" t="s">
        <v>7</v>
      </c>
      <c r="G3991" t="s">
        <v>109</v>
      </c>
      <c r="H3991" s="62">
        <v>2039</v>
      </c>
      <c r="I3991">
        <v>0.71340000000000003</v>
      </c>
    </row>
    <row r="3992" spans="1:9">
      <c r="A3992" t="s">
        <v>104</v>
      </c>
      <c r="B3992" t="s">
        <v>105</v>
      </c>
      <c r="C3992" t="s">
        <v>80</v>
      </c>
      <c r="D3992" t="s">
        <v>80</v>
      </c>
      <c r="E3992" t="s">
        <v>80</v>
      </c>
      <c r="F3992" t="s">
        <v>7</v>
      </c>
      <c r="G3992" t="s">
        <v>109</v>
      </c>
      <c r="H3992" s="62">
        <v>2039</v>
      </c>
      <c r="I3992">
        <v>234.58279999999999</v>
      </c>
    </row>
    <row r="3993" spans="1:9">
      <c r="A3993" t="s">
        <v>104</v>
      </c>
      <c r="B3993" t="s">
        <v>105</v>
      </c>
      <c r="C3993" t="s">
        <v>80</v>
      </c>
      <c r="D3993" t="s">
        <v>89</v>
      </c>
      <c r="E3993" t="s">
        <v>90</v>
      </c>
      <c r="F3993" t="s">
        <v>7</v>
      </c>
      <c r="G3993" t="s">
        <v>109</v>
      </c>
      <c r="H3993" s="62">
        <v>2039</v>
      </c>
      <c r="I3993">
        <v>4.7485999999999997</v>
      </c>
    </row>
    <row r="3994" spans="1:9">
      <c r="A3994" t="s">
        <v>104</v>
      </c>
      <c r="B3994" t="s">
        <v>105</v>
      </c>
      <c r="C3994" t="s">
        <v>80</v>
      </c>
      <c r="D3994" t="s">
        <v>89</v>
      </c>
      <c r="E3994" t="s">
        <v>91</v>
      </c>
      <c r="F3994" t="s">
        <v>7</v>
      </c>
      <c r="G3994" t="s">
        <v>109</v>
      </c>
      <c r="H3994" s="62">
        <v>2039</v>
      </c>
      <c r="I3994">
        <v>-0.40039999999999998</v>
      </c>
    </row>
    <row r="3995" spans="1:9">
      <c r="A3995" t="s">
        <v>104</v>
      </c>
      <c r="B3995" t="s">
        <v>105</v>
      </c>
      <c r="C3995" t="s">
        <v>80</v>
      </c>
      <c r="D3995" t="s">
        <v>92</v>
      </c>
      <c r="E3995" t="s">
        <v>93</v>
      </c>
      <c r="F3995" t="s">
        <v>7</v>
      </c>
      <c r="G3995" t="s">
        <v>109</v>
      </c>
      <c r="H3995" s="62">
        <v>2039</v>
      </c>
      <c r="I3995">
        <v>-15.795299999999999</v>
      </c>
    </row>
    <row r="3996" spans="1:9">
      <c r="A3996" t="s">
        <v>104</v>
      </c>
      <c r="B3996" t="s">
        <v>105</v>
      </c>
      <c r="C3996" t="s">
        <v>80</v>
      </c>
      <c r="D3996" t="s">
        <v>92</v>
      </c>
      <c r="E3996" t="s">
        <v>94</v>
      </c>
      <c r="F3996" t="s">
        <v>7</v>
      </c>
      <c r="G3996" t="s">
        <v>109</v>
      </c>
      <c r="H3996" s="62">
        <v>2039</v>
      </c>
      <c r="I3996">
        <v>83.664199999999994</v>
      </c>
    </row>
    <row r="3997" spans="1:9">
      <c r="A3997" t="s">
        <v>104</v>
      </c>
      <c r="B3997" t="s">
        <v>105</v>
      </c>
      <c r="C3997" t="s">
        <v>80</v>
      </c>
      <c r="D3997" t="s">
        <v>92</v>
      </c>
      <c r="E3997" t="s">
        <v>110</v>
      </c>
      <c r="F3997" t="s">
        <v>7</v>
      </c>
      <c r="G3997" t="s">
        <v>109</v>
      </c>
      <c r="H3997" s="62">
        <v>2039</v>
      </c>
      <c r="I3997">
        <v>5.7507000000000001</v>
      </c>
    </row>
    <row r="3998" spans="1:9">
      <c r="A3998" t="s">
        <v>104</v>
      </c>
      <c r="B3998" t="s">
        <v>105</v>
      </c>
      <c r="C3998" t="s">
        <v>80</v>
      </c>
      <c r="D3998" t="s">
        <v>92</v>
      </c>
      <c r="E3998" t="s">
        <v>95</v>
      </c>
      <c r="F3998" t="s">
        <v>7</v>
      </c>
      <c r="G3998" t="s">
        <v>109</v>
      </c>
      <c r="H3998" s="62">
        <v>2039</v>
      </c>
      <c r="I3998">
        <v>56.124699999999997</v>
      </c>
    </row>
    <row r="3999" spans="1:9">
      <c r="A3999" t="s">
        <v>104</v>
      </c>
      <c r="B3999" t="s">
        <v>105</v>
      </c>
      <c r="C3999" t="s">
        <v>80</v>
      </c>
      <c r="D3999" t="s">
        <v>96</v>
      </c>
      <c r="E3999" t="s">
        <v>92</v>
      </c>
      <c r="F3999" t="s">
        <v>7</v>
      </c>
      <c r="G3999" t="s">
        <v>109</v>
      </c>
      <c r="H3999" s="62">
        <v>2039</v>
      </c>
      <c r="I3999">
        <v>21.1906</v>
      </c>
    </row>
    <row r="4000" spans="1:9">
      <c r="A4000" t="s">
        <v>104</v>
      </c>
      <c r="B4000" t="s">
        <v>105</v>
      </c>
      <c r="C4000" t="s">
        <v>80</v>
      </c>
      <c r="D4000" t="s">
        <v>96</v>
      </c>
      <c r="E4000" t="s">
        <v>89</v>
      </c>
      <c r="F4000" t="s">
        <v>7</v>
      </c>
      <c r="G4000" t="s">
        <v>109</v>
      </c>
      <c r="H4000" s="62">
        <v>2039</v>
      </c>
      <c r="I4000">
        <v>7.6360000000000001</v>
      </c>
    </row>
    <row r="4001" spans="1:9">
      <c r="A4001" t="s">
        <v>104</v>
      </c>
      <c r="B4001" t="s">
        <v>105</v>
      </c>
      <c r="C4001" t="s">
        <v>80</v>
      </c>
      <c r="D4001" t="s">
        <v>97</v>
      </c>
      <c r="E4001" t="s">
        <v>98</v>
      </c>
      <c r="F4001" t="s">
        <v>7</v>
      </c>
      <c r="G4001" t="s">
        <v>109</v>
      </c>
      <c r="H4001" s="62">
        <v>2039</v>
      </c>
      <c r="I4001">
        <v>25.326000000000001</v>
      </c>
    </row>
    <row r="4002" spans="1:9">
      <c r="A4002" t="s">
        <v>104</v>
      </c>
      <c r="B4002" t="s">
        <v>105</v>
      </c>
      <c r="C4002" t="s">
        <v>80</v>
      </c>
      <c r="D4002" t="s">
        <v>97</v>
      </c>
      <c r="E4002" t="s">
        <v>99</v>
      </c>
      <c r="F4002" t="s">
        <v>7</v>
      </c>
      <c r="G4002" t="s">
        <v>109</v>
      </c>
      <c r="H4002" s="62">
        <v>2039</v>
      </c>
      <c r="I4002">
        <v>0.1996</v>
      </c>
    </row>
    <row r="4003" spans="1:9">
      <c r="A4003" t="s">
        <v>104</v>
      </c>
      <c r="B4003" t="s">
        <v>105</v>
      </c>
      <c r="C4003" t="s">
        <v>80</v>
      </c>
      <c r="D4003" t="s">
        <v>100</v>
      </c>
      <c r="E4003" t="s">
        <v>101</v>
      </c>
      <c r="F4003" t="s">
        <v>7</v>
      </c>
      <c r="G4003" t="s">
        <v>109</v>
      </c>
      <c r="H4003" s="62">
        <v>2039</v>
      </c>
      <c r="I4003">
        <v>27.613600000000002</v>
      </c>
    </row>
    <row r="4004" spans="1:9">
      <c r="A4004" t="s">
        <v>104</v>
      </c>
      <c r="B4004" t="s">
        <v>105</v>
      </c>
      <c r="C4004" t="s">
        <v>80</v>
      </c>
      <c r="D4004" t="s">
        <v>100</v>
      </c>
      <c r="E4004" t="s">
        <v>102</v>
      </c>
      <c r="F4004" t="s">
        <v>7</v>
      </c>
      <c r="G4004" t="s">
        <v>109</v>
      </c>
      <c r="H4004" s="62">
        <v>2039</v>
      </c>
      <c r="I4004">
        <v>7.1047000000000002</v>
      </c>
    </row>
    <row r="4005" spans="1:9">
      <c r="A4005" t="s">
        <v>104</v>
      </c>
      <c r="B4005" t="s">
        <v>105</v>
      </c>
      <c r="C4005" t="s">
        <v>80</v>
      </c>
      <c r="D4005" t="s">
        <v>100</v>
      </c>
      <c r="E4005" t="s">
        <v>111</v>
      </c>
      <c r="F4005" t="s">
        <v>7</v>
      </c>
      <c r="G4005" t="s">
        <v>109</v>
      </c>
      <c r="H4005" s="62">
        <v>2039</v>
      </c>
      <c r="I4005">
        <v>0</v>
      </c>
    </row>
    <row r="4006" spans="1:9">
      <c r="A4006" t="s">
        <v>104</v>
      </c>
      <c r="B4006" t="s">
        <v>105</v>
      </c>
      <c r="C4006" t="s">
        <v>80</v>
      </c>
      <c r="D4006" t="s">
        <v>100</v>
      </c>
      <c r="E4006" t="s">
        <v>112</v>
      </c>
      <c r="F4006" t="s">
        <v>7</v>
      </c>
      <c r="G4006" t="s">
        <v>109</v>
      </c>
      <c r="H4006" s="62">
        <v>2039</v>
      </c>
      <c r="I4006">
        <v>0</v>
      </c>
    </row>
    <row r="4007" spans="1:9">
      <c r="A4007" t="s">
        <v>104</v>
      </c>
      <c r="B4007" t="s">
        <v>105</v>
      </c>
      <c r="C4007" t="s">
        <v>80</v>
      </c>
      <c r="D4007" t="s">
        <v>83</v>
      </c>
      <c r="E4007" t="s">
        <v>84</v>
      </c>
      <c r="F4007" t="s">
        <v>7</v>
      </c>
      <c r="G4007" t="s">
        <v>109</v>
      </c>
      <c r="H4007" s="62">
        <v>2039</v>
      </c>
      <c r="I4007">
        <v>6.1779000000000002</v>
      </c>
    </row>
    <row r="4008" spans="1:9">
      <c r="A4008" t="s">
        <v>104</v>
      </c>
      <c r="B4008" t="s">
        <v>105</v>
      </c>
      <c r="C4008" t="s">
        <v>80</v>
      </c>
      <c r="D4008" t="s">
        <v>83</v>
      </c>
      <c r="E4008" t="s">
        <v>85</v>
      </c>
      <c r="F4008" t="s">
        <v>7</v>
      </c>
      <c r="G4008" t="s">
        <v>109</v>
      </c>
      <c r="H4008" s="62">
        <v>2039</v>
      </c>
      <c r="I4008">
        <v>5.242</v>
      </c>
    </row>
    <row r="4009" spans="1:9">
      <c r="A4009" t="s">
        <v>104</v>
      </c>
      <c r="B4009" t="s">
        <v>105</v>
      </c>
      <c r="C4009" t="s">
        <v>80</v>
      </c>
      <c r="D4009" t="s">
        <v>86</v>
      </c>
      <c r="E4009" t="s">
        <v>106</v>
      </c>
      <c r="F4009" t="s">
        <v>7</v>
      </c>
      <c r="G4009" t="s">
        <v>109</v>
      </c>
      <c r="H4009" s="62">
        <v>2039</v>
      </c>
      <c r="I4009">
        <v>3.6823999999999999</v>
      </c>
    </row>
    <row r="4010" spans="1:9">
      <c r="A4010" t="s">
        <v>104</v>
      </c>
      <c r="B4010" t="s">
        <v>105</v>
      </c>
      <c r="C4010" t="s">
        <v>80</v>
      </c>
      <c r="D4010" t="s">
        <v>86</v>
      </c>
      <c r="E4010" t="s">
        <v>87</v>
      </c>
      <c r="F4010" t="s">
        <v>7</v>
      </c>
      <c r="G4010" t="s">
        <v>109</v>
      </c>
      <c r="H4010" s="62">
        <v>2039</v>
      </c>
      <c r="I4010">
        <v>12.513400000000001</v>
      </c>
    </row>
    <row r="4011" spans="1:9">
      <c r="A4011" t="s">
        <v>104</v>
      </c>
      <c r="B4011" t="s">
        <v>105</v>
      </c>
      <c r="C4011" t="s">
        <v>80</v>
      </c>
      <c r="D4011" t="s">
        <v>103</v>
      </c>
      <c r="E4011" t="s">
        <v>92</v>
      </c>
      <c r="F4011" t="s">
        <v>7</v>
      </c>
      <c r="G4011" t="s">
        <v>109</v>
      </c>
      <c r="H4011" s="62">
        <v>2039</v>
      </c>
      <c r="I4011">
        <v>11.188000000000001</v>
      </c>
    </row>
    <row r="4012" spans="1:9">
      <c r="A4012" t="s">
        <v>104</v>
      </c>
      <c r="B4012" t="s">
        <v>105</v>
      </c>
      <c r="C4012" t="s">
        <v>80</v>
      </c>
      <c r="D4012" t="s">
        <v>103</v>
      </c>
      <c r="E4012" t="s">
        <v>89</v>
      </c>
      <c r="F4012" t="s">
        <v>7</v>
      </c>
      <c r="G4012" t="s">
        <v>109</v>
      </c>
      <c r="H4012" s="62">
        <v>2039</v>
      </c>
      <c r="I4012">
        <v>54.9358</v>
      </c>
    </row>
    <row r="4013" spans="1:9">
      <c r="A4013" t="s">
        <v>104</v>
      </c>
      <c r="B4013" t="s">
        <v>105</v>
      </c>
      <c r="C4013" t="s">
        <v>107</v>
      </c>
      <c r="D4013" t="s">
        <v>107</v>
      </c>
      <c r="E4013" t="s">
        <v>107</v>
      </c>
      <c r="F4013" t="s">
        <v>7</v>
      </c>
      <c r="G4013" t="s">
        <v>109</v>
      </c>
      <c r="H4013" s="62">
        <v>2040</v>
      </c>
      <c r="I4013">
        <v>239.8449</v>
      </c>
    </row>
    <row r="4014" spans="1:9">
      <c r="A4014" t="s">
        <v>104</v>
      </c>
      <c r="B4014" t="s">
        <v>105</v>
      </c>
      <c r="C4014" t="s">
        <v>107</v>
      </c>
      <c r="D4014" t="s">
        <v>108</v>
      </c>
      <c r="E4014" t="s">
        <v>108</v>
      </c>
      <c r="F4014" t="s">
        <v>7</v>
      </c>
      <c r="G4014" t="s">
        <v>109</v>
      </c>
      <c r="H4014" s="62">
        <v>2040</v>
      </c>
      <c r="I4014">
        <v>0.70040000000000002</v>
      </c>
    </row>
    <row r="4015" spans="1:9">
      <c r="A4015" t="s">
        <v>104</v>
      </c>
      <c r="B4015" t="s">
        <v>105</v>
      </c>
      <c r="C4015" t="s">
        <v>80</v>
      </c>
      <c r="D4015" t="s">
        <v>80</v>
      </c>
      <c r="E4015" t="s">
        <v>80</v>
      </c>
      <c r="F4015" t="s">
        <v>7</v>
      </c>
      <c r="G4015" t="s">
        <v>109</v>
      </c>
      <c r="H4015" s="62">
        <v>2040</v>
      </c>
      <c r="I4015">
        <v>239.14449999999999</v>
      </c>
    </row>
    <row r="4016" spans="1:9">
      <c r="A4016" t="s">
        <v>104</v>
      </c>
      <c r="B4016" t="s">
        <v>105</v>
      </c>
      <c r="C4016" t="s">
        <v>80</v>
      </c>
      <c r="D4016" t="s">
        <v>89</v>
      </c>
      <c r="E4016" t="s">
        <v>90</v>
      </c>
      <c r="F4016" t="s">
        <v>7</v>
      </c>
      <c r="G4016" t="s">
        <v>109</v>
      </c>
      <c r="H4016" s="62">
        <v>2040</v>
      </c>
      <c r="I4016">
        <v>2.5421</v>
      </c>
    </row>
    <row r="4017" spans="1:9">
      <c r="A4017" t="s">
        <v>104</v>
      </c>
      <c r="B4017" t="s">
        <v>105</v>
      </c>
      <c r="C4017" t="s">
        <v>80</v>
      </c>
      <c r="D4017" t="s">
        <v>89</v>
      </c>
      <c r="E4017" t="s">
        <v>91</v>
      </c>
      <c r="F4017" t="s">
        <v>7</v>
      </c>
      <c r="G4017" t="s">
        <v>109</v>
      </c>
      <c r="H4017" s="62">
        <v>2040</v>
      </c>
      <c r="I4017">
        <v>-0.1595</v>
      </c>
    </row>
    <row r="4018" spans="1:9">
      <c r="A4018" t="s">
        <v>104</v>
      </c>
      <c r="B4018" t="s">
        <v>105</v>
      </c>
      <c r="C4018" t="s">
        <v>80</v>
      </c>
      <c r="D4018" t="s">
        <v>92</v>
      </c>
      <c r="E4018" t="s">
        <v>93</v>
      </c>
      <c r="F4018" t="s">
        <v>7</v>
      </c>
      <c r="G4018" t="s">
        <v>109</v>
      </c>
      <c r="H4018" s="62">
        <v>2040</v>
      </c>
      <c r="I4018">
        <v>-17.316099999999999</v>
      </c>
    </row>
    <row r="4019" spans="1:9">
      <c r="A4019" t="s">
        <v>104</v>
      </c>
      <c r="B4019" t="s">
        <v>105</v>
      </c>
      <c r="C4019" t="s">
        <v>80</v>
      </c>
      <c r="D4019" t="s">
        <v>92</v>
      </c>
      <c r="E4019" t="s">
        <v>94</v>
      </c>
      <c r="F4019" t="s">
        <v>7</v>
      </c>
      <c r="G4019" t="s">
        <v>109</v>
      </c>
      <c r="H4019" s="62">
        <v>2040</v>
      </c>
      <c r="I4019">
        <v>83.537899999999993</v>
      </c>
    </row>
    <row r="4020" spans="1:9">
      <c r="A4020" t="s">
        <v>104</v>
      </c>
      <c r="B4020" t="s">
        <v>105</v>
      </c>
      <c r="C4020" t="s">
        <v>80</v>
      </c>
      <c r="D4020" t="s">
        <v>92</v>
      </c>
      <c r="E4020" t="s">
        <v>110</v>
      </c>
      <c r="F4020" t="s">
        <v>7</v>
      </c>
      <c r="G4020" t="s">
        <v>109</v>
      </c>
      <c r="H4020" s="62">
        <v>2040</v>
      </c>
      <c r="I4020">
        <v>5.5124000000000004</v>
      </c>
    </row>
    <row r="4021" spans="1:9">
      <c r="A4021" t="s">
        <v>104</v>
      </c>
      <c r="B4021" t="s">
        <v>105</v>
      </c>
      <c r="C4021" t="s">
        <v>80</v>
      </c>
      <c r="D4021" t="s">
        <v>92</v>
      </c>
      <c r="E4021" t="s">
        <v>95</v>
      </c>
      <c r="F4021" t="s">
        <v>7</v>
      </c>
      <c r="G4021" t="s">
        <v>109</v>
      </c>
      <c r="H4021" s="62">
        <v>2040</v>
      </c>
      <c r="I4021">
        <v>56.780799999999999</v>
      </c>
    </row>
    <row r="4022" spans="1:9">
      <c r="A4022" t="s">
        <v>104</v>
      </c>
      <c r="B4022" t="s">
        <v>105</v>
      </c>
      <c r="C4022" t="s">
        <v>80</v>
      </c>
      <c r="D4022" t="s">
        <v>96</v>
      </c>
      <c r="E4022" t="s">
        <v>92</v>
      </c>
      <c r="F4022" t="s">
        <v>7</v>
      </c>
      <c r="G4022" t="s">
        <v>109</v>
      </c>
      <c r="H4022" s="62">
        <v>2040</v>
      </c>
      <c r="I4022">
        <v>22.172899999999998</v>
      </c>
    </row>
    <row r="4023" spans="1:9">
      <c r="A4023" t="s">
        <v>104</v>
      </c>
      <c r="B4023" t="s">
        <v>105</v>
      </c>
      <c r="C4023" t="s">
        <v>80</v>
      </c>
      <c r="D4023" t="s">
        <v>96</v>
      </c>
      <c r="E4023" t="s">
        <v>89</v>
      </c>
      <c r="F4023" t="s">
        <v>7</v>
      </c>
      <c r="G4023" t="s">
        <v>109</v>
      </c>
      <c r="H4023" s="62">
        <v>2040</v>
      </c>
      <c r="I4023">
        <v>8.2037999999999993</v>
      </c>
    </row>
    <row r="4024" spans="1:9">
      <c r="A4024" t="s">
        <v>104</v>
      </c>
      <c r="B4024" t="s">
        <v>105</v>
      </c>
      <c r="C4024" t="s">
        <v>80</v>
      </c>
      <c r="D4024" t="s">
        <v>97</v>
      </c>
      <c r="E4024" t="s">
        <v>98</v>
      </c>
      <c r="F4024" t="s">
        <v>7</v>
      </c>
      <c r="G4024" t="s">
        <v>109</v>
      </c>
      <c r="H4024" s="62">
        <v>2040</v>
      </c>
      <c r="I4024">
        <v>28.739899999999999</v>
      </c>
    </row>
    <row r="4025" spans="1:9">
      <c r="A4025" t="s">
        <v>104</v>
      </c>
      <c r="B4025" t="s">
        <v>105</v>
      </c>
      <c r="C4025" t="s">
        <v>80</v>
      </c>
      <c r="D4025" t="s">
        <v>97</v>
      </c>
      <c r="E4025" t="s">
        <v>99</v>
      </c>
      <c r="F4025" t="s">
        <v>7</v>
      </c>
      <c r="G4025" t="s">
        <v>109</v>
      </c>
      <c r="H4025" s="62">
        <v>2040</v>
      </c>
      <c r="I4025">
        <v>0.24399999999999999</v>
      </c>
    </row>
    <row r="4026" spans="1:9">
      <c r="A4026" t="s">
        <v>104</v>
      </c>
      <c r="B4026" t="s">
        <v>105</v>
      </c>
      <c r="C4026" t="s">
        <v>80</v>
      </c>
      <c r="D4026" t="s">
        <v>100</v>
      </c>
      <c r="E4026" t="s">
        <v>101</v>
      </c>
      <c r="F4026" t="s">
        <v>7</v>
      </c>
      <c r="G4026" t="s">
        <v>109</v>
      </c>
      <c r="H4026" s="62">
        <v>2040</v>
      </c>
      <c r="I4026">
        <v>29.589600000000001</v>
      </c>
    </row>
    <row r="4027" spans="1:9">
      <c r="A4027" t="s">
        <v>104</v>
      </c>
      <c r="B4027" t="s">
        <v>105</v>
      </c>
      <c r="C4027" t="s">
        <v>80</v>
      </c>
      <c r="D4027" t="s">
        <v>100</v>
      </c>
      <c r="E4027" t="s">
        <v>102</v>
      </c>
      <c r="F4027" t="s">
        <v>7</v>
      </c>
      <c r="G4027" t="s">
        <v>109</v>
      </c>
      <c r="H4027" s="62">
        <v>2040</v>
      </c>
      <c r="I4027">
        <v>7.6814</v>
      </c>
    </row>
    <row r="4028" spans="1:9">
      <c r="A4028" t="s">
        <v>104</v>
      </c>
      <c r="B4028" t="s">
        <v>105</v>
      </c>
      <c r="C4028" t="s">
        <v>80</v>
      </c>
      <c r="D4028" t="s">
        <v>100</v>
      </c>
      <c r="E4028" t="s">
        <v>111</v>
      </c>
      <c r="F4028" t="s">
        <v>7</v>
      </c>
      <c r="G4028" t="s">
        <v>109</v>
      </c>
      <c r="H4028" s="62">
        <v>2040</v>
      </c>
      <c r="I4028">
        <v>0</v>
      </c>
    </row>
    <row r="4029" spans="1:9">
      <c r="A4029" t="s">
        <v>104</v>
      </c>
      <c r="B4029" t="s">
        <v>105</v>
      </c>
      <c r="C4029" t="s">
        <v>80</v>
      </c>
      <c r="D4029" t="s">
        <v>100</v>
      </c>
      <c r="E4029" t="s">
        <v>112</v>
      </c>
      <c r="F4029" t="s">
        <v>7</v>
      </c>
      <c r="G4029" t="s">
        <v>109</v>
      </c>
      <c r="H4029" s="62">
        <v>2040</v>
      </c>
      <c r="I4029">
        <v>0</v>
      </c>
    </row>
    <row r="4030" spans="1:9">
      <c r="A4030" t="s">
        <v>104</v>
      </c>
      <c r="B4030" t="s">
        <v>105</v>
      </c>
      <c r="C4030" t="s">
        <v>80</v>
      </c>
      <c r="D4030" t="s">
        <v>83</v>
      </c>
      <c r="E4030" t="s">
        <v>84</v>
      </c>
      <c r="F4030" t="s">
        <v>7</v>
      </c>
      <c r="G4030" t="s">
        <v>109</v>
      </c>
      <c r="H4030" s="62">
        <v>2040</v>
      </c>
      <c r="I4030">
        <v>6.2942999999999998</v>
      </c>
    </row>
    <row r="4031" spans="1:9">
      <c r="A4031" t="s">
        <v>104</v>
      </c>
      <c r="B4031" t="s">
        <v>105</v>
      </c>
      <c r="C4031" t="s">
        <v>80</v>
      </c>
      <c r="D4031" t="s">
        <v>83</v>
      </c>
      <c r="E4031" t="s">
        <v>85</v>
      </c>
      <c r="F4031" t="s">
        <v>7</v>
      </c>
      <c r="G4031" t="s">
        <v>109</v>
      </c>
      <c r="H4031" s="62">
        <v>2040</v>
      </c>
      <c r="I4031">
        <v>5.3211000000000004</v>
      </c>
    </row>
    <row r="4032" spans="1:9">
      <c r="A4032" t="s">
        <v>104</v>
      </c>
      <c r="B4032" t="s">
        <v>105</v>
      </c>
      <c r="C4032" t="s">
        <v>80</v>
      </c>
      <c r="D4032" t="s">
        <v>86</v>
      </c>
      <c r="E4032" t="s">
        <v>106</v>
      </c>
      <c r="F4032" t="s">
        <v>7</v>
      </c>
      <c r="G4032" t="s">
        <v>109</v>
      </c>
      <c r="H4032" s="62">
        <v>2040</v>
      </c>
      <c r="I4032">
        <v>3.7303000000000002</v>
      </c>
    </row>
    <row r="4033" spans="1:9">
      <c r="A4033" t="s">
        <v>104</v>
      </c>
      <c r="B4033" t="s">
        <v>105</v>
      </c>
      <c r="C4033" t="s">
        <v>80</v>
      </c>
      <c r="D4033" t="s">
        <v>86</v>
      </c>
      <c r="E4033" t="s">
        <v>87</v>
      </c>
      <c r="F4033" t="s">
        <v>7</v>
      </c>
      <c r="G4033" t="s">
        <v>109</v>
      </c>
      <c r="H4033" s="62">
        <v>2040</v>
      </c>
      <c r="I4033">
        <v>13.7453</v>
      </c>
    </row>
    <row r="4034" spans="1:9">
      <c r="A4034" t="s">
        <v>104</v>
      </c>
      <c r="B4034" t="s">
        <v>105</v>
      </c>
      <c r="C4034" t="s">
        <v>80</v>
      </c>
      <c r="D4034" t="s">
        <v>103</v>
      </c>
      <c r="E4034" t="s">
        <v>92</v>
      </c>
      <c r="F4034" t="s">
        <v>7</v>
      </c>
      <c r="G4034" t="s">
        <v>109</v>
      </c>
      <c r="H4034" s="62">
        <v>2040</v>
      </c>
      <c r="I4034">
        <v>11.774100000000001</v>
      </c>
    </row>
    <row r="4035" spans="1:9">
      <c r="A4035" t="s">
        <v>104</v>
      </c>
      <c r="B4035" t="s">
        <v>105</v>
      </c>
      <c r="C4035" t="s">
        <v>80</v>
      </c>
      <c r="D4035" t="s">
        <v>103</v>
      </c>
      <c r="E4035" t="s">
        <v>89</v>
      </c>
      <c r="F4035" t="s">
        <v>7</v>
      </c>
      <c r="G4035" t="s">
        <v>109</v>
      </c>
      <c r="H4035" s="62">
        <v>2040</v>
      </c>
      <c r="I4035">
        <v>57.497500000000002</v>
      </c>
    </row>
    <row r="4036" spans="1:9">
      <c r="A4036" t="s">
        <v>104</v>
      </c>
      <c r="B4036" t="s">
        <v>105</v>
      </c>
      <c r="C4036" t="s">
        <v>107</v>
      </c>
      <c r="D4036" t="s">
        <v>107</v>
      </c>
      <c r="E4036" t="s">
        <v>107</v>
      </c>
      <c r="F4036" t="s">
        <v>7</v>
      </c>
      <c r="G4036" t="s">
        <v>109</v>
      </c>
      <c r="H4036" s="62">
        <v>2041</v>
      </c>
      <c r="I4036">
        <v>243.63050000000001</v>
      </c>
    </row>
    <row r="4037" spans="1:9">
      <c r="A4037" t="s">
        <v>104</v>
      </c>
      <c r="B4037" t="s">
        <v>105</v>
      </c>
      <c r="C4037" t="s">
        <v>107</v>
      </c>
      <c r="D4037" t="s">
        <v>108</v>
      </c>
      <c r="E4037" t="s">
        <v>108</v>
      </c>
      <c r="F4037" t="s">
        <v>7</v>
      </c>
      <c r="G4037" t="s">
        <v>109</v>
      </c>
      <c r="H4037" s="62">
        <v>2041</v>
      </c>
      <c r="I4037">
        <v>0.71599999999999997</v>
      </c>
    </row>
    <row r="4038" spans="1:9">
      <c r="A4038" t="s">
        <v>104</v>
      </c>
      <c r="B4038" t="s">
        <v>105</v>
      </c>
      <c r="C4038" t="s">
        <v>80</v>
      </c>
      <c r="D4038" t="s">
        <v>80</v>
      </c>
      <c r="E4038" t="s">
        <v>80</v>
      </c>
      <c r="F4038" t="s">
        <v>7</v>
      </c>
      <c r="G4038" t="s">
        <v>109</v>
      </c>
      <c r="H4038" s="62">
        <v>2041</v>
      </c>
      <c r="I4038">
        <v>242.91460000000001</v>
      </c>
    </row>
    <row r="4039" spans="1:9">
      <c r="A4039" t="s">
        <v>104</v>
      </c>
      <c r="B4039" t="s">
        <v>105</v>
      </c>
      <c r="C4039" t="s">
        <v>80</v>
      </c>
      <c r="D4039" t="s">
        <v>89</v>
      </c>
      <c r="E4039" t="s">
        <v>90</v>
      </c>
      <c r="F4039" t="s">
        <v>7</v>
      </c>
      <c r="G4039" t="s">
        <v>109</v>
      </c>
      <c r="H4039" s="62">
        <v>2041</v>
      </c>
      <c r="I4039">
        <v>0.24629999999999999</v>
      </c>
    </row>
    <row r="4040" spans="1:9">
      <c r="A4040" t="s">
        <v>104</v>
      </c>
      <c r="B4040" t="s">
        <v>105</v>
      </c>
      <c r="C4040" t="s">
        <v>80</v>
      </c>
      <c r="D4040" t="s">
        <v>89</v>
      </c>
      <c r="E4040" t="s">
        <v>91</v>
      </c>
      <c r="F4040" t="s">
        <v>7</v>
      </c>
      <c r="G4040" t="s">
        <v>109</v>
      </c>
      <c r="H4040" s="62">
        <v>2041</v>
      </c>
      <c r="I4040">
        <v>0.14530000000000001</v>
      </c>
    </row>
    <row r="4041" spans="1:9">
      <c r="A4041" t="s">
        <v>104</v>
      </c>
      <c r="B4041" t="s">
        <v>105</v>
      </c>
      <c r="C4041" t="s">
        <v>80</v>
      </c>
      <c r="D4041" t="s">
        <v>92</v>
      </c>
      <c r="E4041" t="s">
        <v>93</v>
      </c>
      <c r="F4041" t="s">
        <v>7</v>
      </c>
      <c r="G4041" t="s">
        <v>109</v>
      </c>
      <c r="H4041" s="62">
        <v>2041</v>
      </c>
      <c r="I4041">
        <v>-18.669799999999999</v>
      </c>
    </row>
    <row r="4042" spans="1:9">
      <c r="A4042" t="s">
        <v>104</v>
      </c>
      <c r="B4042" t="s">
        <v>105</v>
      </c>
      <c r="C4042" t="s">
        <v>80</v>
      </c>
      <c r="D4042" t="s">
        <v>92</v>
      </c>
      <c r="E4042" t="s">
        <v>94</v>
      </c>
      <c r="F4042" t="s">
        <v>7</v>
      </c>
      <c r="G4042" t="s">
        <v>109</v>
      </c>
      <c r="H4042" s="62">
        <v>2041</v>
      </c>
      <c r="I4042">
        <v>83.504900000000006</v>
      </c>
    </row>
    <row r="4043" spans="1:9">
      <c r="A4043" t="s">
        <v>104</v>
      </c>
      <c r="B4043" t="s">
        <v>105</v>
      </c>
      <c r="C4043" t="s">
        <v>80</v>
      </c>
      <c r="D4043" t="s">
        <v>92</v>
      </c>
      <c r="E4043" t="s">
        <v>110</v>
      </c>
      <c r="F4043" t="s">
        <v>7</v>
      </c>
      <c r="G4043" t="s">
        <v>109</v>
      </c>
      <c r="H4043" s="62">
        <v>2041</v>
      </c>
      <c r="I4043">
        <v>5.2740999999999998</v>
      </c>
    </row>
    <row r="4044" spans="1:9">
      <c r="A4044" t="s">
        <v>104</v>
      </c>
      <c r="B4044" t="s">
        <v>105</v>
      </c>
      <c r="C4044" t="s">
        <v>80</v>
      </c>
      <c r="D4044" t="s">
        <v>92</v>
      </c>
      <c r="E4044" t="s">
        <v>95</v>
      </c>
      <c r="F4044" t="s">
        <v>7</v>
      </c>
      <c r="G4044" t="s">
        <v>109</v>
      </c>
      <c r="H4044" s="62">
        <v>2041</v>
      </c>
      <c r="I4044">
        <v>57.458300000000001</v>
      </c>
    </row>
    <row r="4045" spans="1:9">
      <c r="A4045" t="s">
        <v>104</v>
      </c>
      <c r="B4045" t="s">
        <v>105</v>
      </c>
      <c r="C4045" t="s">
        <v>80</v>
      </c>
      <c r="D4045" t="s">
        <v>96</v>
      </c>
      <c r="E4045" t="s">
        <v>92</v>
      </c>
      <c r="F4045" t="s">
        <v>7</v>
      </c>
      <c r="G4045" t="s">
        <v>109</v>
      </c>
      <c r="H4045" s="62">
        <v>2041</v>
      </c>
      <c r="I4045">
        <v>23.304600000000001</v>
      </c>
    </row>
    <row r="4046" spans="1:9">
      <c r="A4046" t="s">
        <v>104</v>
      </c>
      <c r="B4046" t="s">
        <v>105</v>
      </c>
      <c r="C4046" t="s">
        <v>80</v>
      </c>
      <c r="D4046" t="s">
        <v>96</v>
      </c>
      <c r="E4046" t="s">
        <v>89</v>
      </c>
      <c r="F4046" t="s">
        <v>7</v>
      </c>
      <c r="G4046" t="s">
        <v>109</v>
      </c>
      <c r="H4046" s="62">
        <v>2041</v>
      </c>
      <c r="I4046">
        <v>8.7756000000000007</v>
      </c>
    </row>
    <row r="4047" spans="1:9">
      <c r="A4047" t="s">
        <v>104</v>
      </c>
      <c r="B4047" t="s">
        <v>105</v>
      </c>
      <c r="C4047" t="s">
        <v>80</v>
      </c>
      <c r="D4047" t="s">
        <v>97</v>
      </c>
      <c r="E4047" t="s">
        <v>98</v>
      </c>
      <c r="F4047" t="s">
        <v>7</v>
      </c>
      <c r="G4047" t="s">
        <v>109</v>
      </c>
      <c r="H4047" s="62">
        <v>2041</v>
      </c>
      <c r="I4047">
        <v>31.990300000000001</v>
      </c>
    </row>
    <row r="4048" spans="1:9">
      <c r="A4048" t="s">
        <v>104</v>
      </c>
      <c r="B4048" t="s">
        <v>105</v>
      </c>
      <c r="C4048" t="s">
        <v>80</v>
      </c>
      <c r="D4048" t="s">
        <v>97</v>
      </c>
      <c r="E4048" t="s">
        <v>99</v>
      </c>
      <c r="F4048" t="s">
        <v>7</v>
      </c>
      <c r="G4048" t="s">
        <v>109</v>
      </c>
      <c r="H4048" s="62">
        <v>2041</v>
      </c>
      <c r="I4048">
        <v>0.2913</v>
      </c>
    </row>
    <row r="4049" spans="1:9">
      <c r="A4049" t="s">
        <v>104</v>
      </c>
      <c r="B4049" t="s">
        <v>105</v>
      </c>
      <c r="C4049" t="s">
        <v>80</v>
      </c>
      <c r="D4049" t="s">
        <v>100</v>
      </c>
      <c r="E4049" t="s">
        <v>101</v>
      </c>
      <c r="F4049" t="s">
        <v>7</v>
      </c>
      <c r="G4049" t="s">
        <v>109</v>
      </c>
      <c r="H4049" s="62">
        <v>2041</v>
      </c>
      <c r="I4049">
        <v>30.838899999999999</v>
      </c>
    </row>
    <row r="4050" spans="1:9">
      <c r="A4050" t="s">
        <v>104</v>
      </c>
      <c r="B4050" t="s">
        <v>105</v>
      </c>
      <c r="C4050" t="s">
        <v>80</v>
      </c>
      <c r="D4050" t="s">
        <v>100</v>
      </c>
      <c r="E4050" t="s">
        <v>102</v>
      </c>
      <c r="F4050" t="s">
        <v>7</v>
      </c>
      <c r="G4050" t="s">
        <v>109</v>
      </c>
      <c r="H4050" s="62">
        <v>2041</v>
      </c>
      <c r="I4050">
        <v>7.9424999999999999</v>
      </c>
    </row>
    <row r="4051" spans="1:9">
      <c r="A4051" t="s">
        <v>104</v>
      </c>
      <c r="B4051" t="s">
        <v>105</v>
      </c>
      <c r="C4051" t="s">
        <v>80</v>
      </c>
      <c r="D4051" t="s">
        <v>100</v>
      </c>
      <c r="E4051" t="s">
        <v>111</v>
      </c>
      <c r="F4051" t="s">
        <v>7</v>
      </c>
      <c r="G4051" t="s">
        <v>109</v>
      </c>
      <c r="H4051" s="62">
        <v>2041</v>
      </c>
      <c r="I4051">
        <v>0</v>
      </c>
    </row>
    <row r="4052" spans="1:9">
      <c r="A4052" t="s">
        <v>104</v>
      </c>
      <c r="B4052" t="s">
        <v>105</v>
      </c>
      <c r="C4052" t="s">
        <v>80</v>
      </c>
      <c r="D4052" t="s">
        <v>100</v>
      </c>
      <c r="E4052" t="s">
        <v>112</v>
      </c>
      <c r="F4052" t="s">
        <v>7</v>
      </c>
      <c r="G4052" t="s">
        <v>109</v>
      </c>
      <c r="H4052" s="62">
        <v>2041</v>
      </c>
      <c r="I4052">
        <v>0</v>
      </c>
    </row>
    <row r="4053" spans="1:9">
      <c r="A4053" t="s">
        <v>104</v>
      </c>
      <c r="B4053" t="s">
        <v>105</v>
      </c>
      <c r="C4053" t="s">
        <v>80</v>
      </c>
      <c r="D4053" t="s">
        <v>83</v>
      </c>
      <c r="E4053" t="s">
        <v>84</v>
      </c>
      <c r="F4053" t="s">
        <v>7</v>
      </c>
      <c r="G4053" t="s">
        <v>109</v>
      </c>
      <c r="H4053" s="62">
        <v>2041</v>
      </c>
      <c r="I4053">
        <v>6.4108000000000001</v>
      </c>
    </row>
    <row r="4054" spans="1:9">
      <c r="A4054" t="s">
        <v>104</v>
      </c>
      <c r="B4054" t="s">
        <v>105</v>
      </c>
      <c r="C4054" t="s">
        <v>80</v>
      </c>
      <c r="D4054" t="s">
        <v>83</v>
      </c>
      <c r="E4054" t="s">
        <v>85</v>
      </c>
      <c r="F4054" t="s">
        <v>7</v>
      </c>
      <c r="G4054" t="s">
        <v>109</v>
      </c>
      <c r="H4054" s="62">
        <v>2041</v>
      </c>
      <c r="I4054">
        <v>5.4013</v>
      </c>
    </row>
    <row r="4055" spans="1:9">
      <c r="A4055" t="s">
        <v>104</v>
      </c>
      <c r="B4055" t="s">
        <v>105</v>
      </c>
      <c r="C4055" t="s">
        <v>80</v>
      </c>
      <c r="D4055" t="s">
        <v>86</v>
      </c>
      <c r="E4055" t="s">
        <v>106</v>
      </c>
      <c r="F4055" t="s">
        <v>7</v>
      </c>
      <c r="G4055" t="s">
        <v>109</v>
      </c>
      <c r="H4055" s="62">
        <v>2041</v>
      </c>
      <c r="I4055">
        <v>3.7576999999999998</v>
      </c>
    </row>
    <row r="4056" spans="1:9">
      <c r="A4056" t="s">
        <v>104</v>
      </c>
      <c r="B4056" t="s">
        <v>105</v>
      </c>
      <c r="C4056" t="s">
        <v>80</v>
      </c>
      <c r="D4056" t="s">
        <v>86</v>
      </c>
      <c r="E4056" t="s">
        <v>87</v>
      </c>
      <c r="F4056" t="s">
        <v>7</v>
      </c>
      <c r="G4056" t="s">
        <v>109</v>
      </c>
      <c r="H4056" s="62">
        <v>2041</v>
      </c>
      <c r="I4056">
        <v>14.7667</v>
      </c>
    </row>
    <row r="4057" spans="1:9">
      <c r="A4057" t="s">
        <v>104</v>
      </c>
      <c r="B4057" t="s">
        <v>105</v>
      </c>
      <c r="C4057" t="s">
        <v>80</v>
      </c>
      <c r="D4057" t="s">
        <v>103</v>
      </c>
      <c r="E4057" t="s">
        <v>92</v>
      </c>
      <c r="F4057" t="s">
        <v>7</v>
      </c>
      <c r="G4057" t="s">
        <v>109</v>
      </c>
      <c r="H4057" s="62">
        <v>2041</v>
      </c>
      <c r="I4057">
        <v>12.302099999999999</v>
      </c>
    </row>
    <row r="4058" spans="1:9">
      <c r="A4058" t="s">
        <v>104</v>
      </c>
      <c r="B4058" t="s">
        <v>105</v>
      </c>
      <c r="C4058" t="s">
        <v>80</v>
      </c>
      <c r="D4058" t="s">
        <v>103</v>
      </c>
      <c r="E4058" t="s">
        <v>89</v>
      </c>
      <c r="F4058" t="s">
        <v>7</v>
      </c>
      <c r="G4058" t="s">
        <v>109</v>
      </c>
      <c r="H4058" s="62">
        <v>2041</v>
      </c>
      <c r="I4058">
        <v>59.835599999999999</v>
      </c>
    </row>
    <row r="4059" spans="1:9">
      <c r="A4059" t="s">
        <v>104</v>
      </c>
      <c r="B4059" t="s">
        <v>105</v>
      </c>
      <c r="C4059" t="s">
        <v>107</v>
      </c>
      <c r="D4059" t="s">
        <v>107</v>
      </c>
      <c r="E4059" t="s">
        <v>107</v>
      </c>
      <c r="F4059" t="s">
        <v>7</v>
      </c>
      <c r="G4059" t="s">
        <v>109</v>
      </c>
      <c r="H4059" s="62">
        <v>2042</v>
      </c>
      <c r="I4059">
        <v>248.72630000000001</v>
      </c>
    </row>
    <row r="4060" spans="1:9">
      <c r="A4060" t="s">
        <v>104</v>
      </c>
      <c r="B4060" t="s">
        <v>105</v>
      </c>
      <c r="C4060" t="s">
        <v>107</v>
      </c>
      <c r="D4060" t="s">
        <v>108</v>
      </c>
      <c r="E4060" t="s">
        <v>108</v>
      </c>
      <c r="F4060" t="s">
        <v>7</v>
      </c>
      <c r="G4060" t="s">
        <v>109</v>
      </c>
      <c r="H4060" s="62">
        <v>2042</v>
      </c>
      <c r="I4060">
        <v>0.75019999999999998</v>
      </c>
    </row>
    <row r="4061" spans="1:9">
      <c r="A4061" t="s">
        <v>104</v>
      </c>
      <c r="B4061" t="s">
        <v>105</v>
      </c>
      <c r="C4061" t="s">
        <v>80</v>
      </c>
      <c r="D4061" t="s">
        <v>80</v>
      </c>
      <c r="E4061" t="s">
        <v>80</v>
      </c>
      <c r="F4061" t="s">
        <v>7</v>
      </c>
      <c r="G4061" t="s">
        <v>109</v>
      </c>
      <c r="H4061" s="62">
        <v>2042</v>
      </c>
      <c r="I4061">
        <v>247.9761</v>
      </c>
    </row>
    <row r="4062" spans="1:9">
      <c r="A4062" t="s">
        <v>104</v>
      </c>
      <c r="B4062" t="s">
        <v>105</v>
      </c>
      <c r="C4062" t="s">
        <v>80</v>
      </c>
      <c r="D4062" t="s">
        <v>89</v>
      </c>
      <c r="E4062" t="s">
        <v>90</v>
      </c>
      <c r="F4062" t="s">
        <v>7</v>
      </c>
      <c r="G4062" t="s">
        <v>109</v>
      </c>
      <c r="H4062" s="62">
        <v>2042</v>
      </c>
      <c r="I4062">
        <v>-1.9690000000000001</v>
      </c>
    </row>
    <row r="4063" spans="1:9">
      <c r="A4063" t="s">
        <v>104</v>
      </c>
      <c r="B4063" t="s">
        <v>105</v>
      </c>
      <c r="C4063" t="s">
        <v>80</v>
      </c>
      <c r="D4063" t="s">
        <v>89</v>
      </c>
      <c r="E4063" t="s">
        <v>91</v>
      </c>
      <c r="F4063" t="s">
        <v>7</v>
      </c>
      <c r="G4063" t="s">
        <v>109</v>
      </c>
      <c r="H4063" s="62">
        <v>2042</v>
      </c>
      <c r="I4063">
        <v>0.48520000000000002</v>
      </c>
    </row>
    <row r="4064" spans="1:9">
      <c r="A4064" t="s">
        <v>104</v>
      </c>
      <c r="B4064" t="s">
        <v>105</v>
      </c>
      <c r="C4064" t="s">
        <v>80</v>
      </c>
      <c r="D4064" t="s">
        <v>92</v>
      </c>
      <c r="E4064" t="s">
        <v>93</v>
      </c>
      <c r="F4064" t="s">
        <v>7</v>
      </c>
      <c r="G4064" t="s">
        <v>109</v>
      </c>
      <c r="H4064" s="62">
        <v>2042</v>
      </c>
      <c r="I4064">
        <v>-20.145499999999998</v>
      </c>
    </row>
    <row r="4065" spans="1:9">
      <c r="A4065" t="s">
        <v>104</v>
      </c>
      <c r="B4065" t="s">
        <v>105</v>
      </c>
      <c r="C4065" t="s">
        <v>80</v>
      </c>
      <c r="D4065" t="s">
        <v>92</v>
      </c>
      <c r="E4065" t="s">
        <v>94</v>
      </c>
      <c r="F4065" t="s">
        <v>7</v>
      </c>
      <c r="G4065" t="s">
        <v>109</v>
      </c>
      <c r="H4065" s="62">
        <v>2042</v>
      </c>
      <c r="I4065">
        <v>83.489500000000007</v>
      </c>
    </row>
    <row r="4066" spans="1:9">
      <c r="A4066" t="s">
        <v>104</v>
      </c>
      <c r="B4066" t="s">
        <v>105</v>
      </c>
      <c r="C4066" t="s">
        <v>80</v>
      </c>
      <c r="D4066" t="s">
        <v>92</v>
      </c>
      <c r="E4066" t="s">
        <v>110</v>
      </c>
      <c r="F4066" t="s">
        <v>7</v>
      </c>
      <c r="G4066" t="s">
        <v>109</v>
      </c>
      <c r="H4066" s="62">
        <v>2042</v>
      </c>
      <c r="I4066">
        <v>5.0358999999999998</v>
      </c>
    </row>
    <row r="4067" spans="1:9">
      <c r="A4067" t="s">
        <v>104</v>
      </c>
      <c r="B4067" t="s">
        <v>105</v>
      </c>
      <c r="C4067" t="s">
        <v>80</v>
      </c>
      <c r="D4067" t="s">
        <v>92</v>
      </c>
      <c r="E4067" t="s">
        <v>95</v>
      </c>
      <c r="F4067" t="s">
        <v>7</v>
      </c>
      <c r="G4067" t="s">
        <v>109</v>
      </c>
      <c r="H4067" s="62">
        <v>2042</v>
      </c>
      <c r="I4067">
        <v>58.291899999999998</v>
      </c>
    </row>
    <row r="4068" spans="1:9">
      <c r="A4068" t="s">
        <v>104</v>
      </c>
      <c r="B4068" t="s">
        <v>105</v>
      </c>
      <c r="C4068" t="s">
        <v>80</v>
      </c>
      <c r="D4068" t="s">
        <v>96</v>
      </c>
      <c r="E4068" t="s">
        <v>92</v>
      </c>
      <c r="F4068" t="s">
        <v>7</v>
      </c>
      <c r="G4068" t="s">
        <v>109</v>
      </c>
      <c r="H4068" s="62">
        <v>2042</v>
      </c>
      <c r="I4068">
        <v>24.439399999999999</v>
      </c>
    </row>
    <row r="4069" spans="1:9">
      <c r="A4069" t="s">
        <v>104</v>
      </c>
      <c r="B4069" t="s">
        <v>105</v>
      </c>
      <c r="C4069" t="s">
        <v>80</v>
      </c>
      <c r="D4069" t="s">
        <v>96</v>
      </c>
      <c r="E4069" t="s">
        <v>89</v>
      </c>
      <c r="F4069" t="s">
        <v>7</v>
      </c>
      <c r="G4069" t="s">
        <v>109</v>
      </c>
      <c r="H4069" s="62">
        <v>2042</v>
      </c>
      <c r="I4069">
        <v>9.3459000000000003</v>
      </c>
    </row>
    <row r="4070" spans="1:9">
      <c r="A4070" t="s">
        <v>104</v>
      </c>
      <c r="B4070" t="s">
        <v>105</v>
      </c>
      <c r="C4070" t="s">
        <v>80</v>
      </c>
      <c r="D4070" t="s">
        <v>97</v>
      </c>
      <c r="E4070" t="s">
        <v>98</v>
      </c>
      <c r="F4070" t="s">
        <v>7</v>
      </c>
      <c r="G4070" t="s">
        <v>109</v>
      </c>
      <c r="H4070" s="62">
        <v>2042</v>
      </c>
      <c r="I4070">
        <v>35.305300000000003</v>
      </c>
    </row>
    <row r="4071" spans="1:9">
      <c r="A4071" t="s">
        <v>104</v>
      </c>
      <c r="B4071" t="s">
        <v>105</v>
      </c>
      <c r="C4071" t="s">
        <v>80</v>
      </c>
      <c r="D4071" t="s">
        <v>97</v>
      </c>
      <c r="E4071" t="s">
        <v>99</v>
      </c>
      <c r="F4071" t="s">
        <v>7</v>
      </c>
      <c r="G4071" t="s">
        <v>109</v>
      </c>
      <c r="H4071" s="62">
        <v>2042</v>
      </c>
      <c r="I4071">
        <v>0.34360000000000002</v>
      </c>
    </row>
    <row r="4072" spans="1:9">
      <c r="A4072" t="s">
        <v>104</v>
      </c>
      <c r="B4072" t="s">
        <v>105</v>
      </c>
      <c r="C4072" t="s">
        <v>80</v>
      </c>
      <c r="D4072" t="s">
        <v>100</v>
      </c>
      <c r="E4072" t="s">
        <v>101</v>
      </c>
      <c r="F4072" t="s">
        <v>7</v>
      </c>
      <c r="G4072" t="s">
        <v>109</v>
      </c>
      <c r="H4072" s="62">
        <v>2042</v>
      </c>
      <c r="I4072">
        <v>33.393900000000002</v>
      </c>
    </row>
    <row r="4073" spans="1:9">
      <c r="A4073" t="s">
        <v>104</v>
      </c>
      <c r="B4073" t="s">
        <v>105</v>
      </c>
      <c r="C4073" t="s">
        <v>80</v>
      </c>
      <c r="D4073" t="s">
        <v>100</v>
      </c>
      <c r="E4073" t="s">
        <v>102</v>
      </c>
      <c r="F4073" t="s">
        <v>7</v>
      </c>
      <c r="G4073" t="s">
        <v>109</v>
      </c>
      <c r="H4073" s="62">
        <v>2042</v>
      </c>
      <c r="I4073">
        <v>7.9353999999999996</v>
      </c>
    </row>
    <row r="4074" spans="1:9">
      <c r="A4074" t="s">
        <v>104</v>
      </c>
      <c r="B4074" t="s">
        <v>105</v>
      </c>
      <c r="C4074" t="s">
        <v>80</v>
      </c>
      <c r="D4074" t="s">
        <v>100</v>
      </c>
      <c r="E4074" t="s">
        <v>111</v>
      </c>
      <c r="F4074" t="s">
        <v>7</v>
      </c>
      <c r="G4074" t="s">
        <v>109</v>
      </c>
      <c r="H4074" s="62">
        <v>2042</v>
      </c>
      <c r="I4074">
        <v>0</v>
      </c>
    </row>
    <row r="4075" spans="1:9">
      <c r="A4075" t="s">
        <v>104</v>
      </c>
      <c r="B4075" t="s">
        <v>105</v>
      </c>
      <c r="C4075" t="s">
        <v>80</v>
      </c>
      <c r="D4075" t="s">
        <v>100</v>
      </c>
      <c r="E4075" t="s">
        <v>112</v>
      </c>
      <c r="F4075" t="s">
        <v>7</v>
      </c>
      <c r="G4075" t="s">
        <v>109</v>
      </c>
      <c r="H4075" s="62">
        <v>2042</v>
      </c>
      <c r="I4075">
        <v>0</v>
      </c>
    </row>
    <row r="4076" spans="1:9">
      <c r="A4076" t="s">
        <v>104</v>
      </c>
      <c r="B4076" t="s">
        <v>105</v>
      </c>
      <c r="C4076" t="s">
        <v>80</v>
      </c>
      <c r="D4076" t="s">
        <v>83</v>
      </c>
      <c r="E4076" t="s">
        <v>84</v>
      </c>
      <c r="F4076" t="s">
        <v>7</v>
      </c>
      <c r="G4076" t="s">
        <v>109</v>
      </c>
      <c r="H4076" s="62">
        <v>2042</v>
      </c>
      <c r="I4076">
        <v>6.5346000000000002</v>
      </c>
    </row>
    <row r="4077" spans="1:9">
      <c r="A4077" t="s">
        <v>104</v>
      </c>
      <c r="B4077" t="s">
        <v>105</v>
      </c>
      <c r="C4077" t="s">
        <v>80</v>
      </c>
      <c r="D4077" t="s">
        <v>83</v>
      </c>
      <c r="E4077" t="s">
        <v>85</v>
      </c>
      <c r="F4077" t="s">
        <v>7</v>
      </c>
      <c r="G4077" t="s">
        <v>109</v>
      </c>
      <c r="H4077" s="62">
        <v>2042</v>
      </c>
      <c r="I4077">
        <v>5.49</v>
      </c>
    </row>
    <row r="4078" spans="1:9">
      <c r="A4078" t="s">
        <v>104</v>
      </c>
      <c r="B4078" t="s">
        <v>105</v>
      </c>
      <c r="C4078" t="s">
        <v>80</v>
      </c>
      <c r="D4078" t="s">
        <v>86</v>
      </c>
      <c r="E4078" t="s">
        <v>106</v>
      </c>
      <c r="F4078" t="s">
        <v>7</v>
      </c>
      <c r="G4078" t="s">
        <v>109</v>
      </c>
      <c r="H4078" s="62">
        <v>2042</v>
      </c>
      <c r="I4078">
        <v>3.7953999999999999</v>
      </c>
    </row>
    <row r="4079" spans="1:9">
      <c r="A4079" t="s">
        <v>104</v>
      </c>
      <c r="B4079" t="s">
        <v>105</v>
      </c>
      <c r="C4079" t="s">
        <v>80</v>
      </c>
      <c r="D4079" t="s">
        <v>86</v>
      </c>
      <c r="E4079" t="s">
        <v>87</v>
      </c>
      <c r="F4079" t="s">
        <v>7</v>
      </c>
      <c r="G4079" t="s">
        <v>109</v>
      </c>
      <c r="H4079" s="62">
        <v>2042</v>
      </c>
      <c r="I4079">
        <v>15.865</v>
      </c>
    </row>
    <row r="4080" spans="1:9">
      <c r="A4080" t="s">
        <v>104</v>
      </c>
      <c r="B4080" t="s">
        <v>105</v>
      </c>
      <c r="C4080" t="s">
        <v>80</v>
      </c>
      <c r="D4080" t="s">
        <v>103</v>
      </c>
      <c r="E4080" t="s">
        <v>92</v>
      </c>
      <c r="F4080" t="s">
        <v>7</v>
      </c>
      <c r="G4080" t="s">
        <v>109</v>
      </c>
      <c r="H4080" s="62">
        <v>2042</v>
      </c>
      <c r="I4080">
        <v>12.8</v>
      </c>
    </row>
    <row r="4081" spans="1:9">
      <c r="A4081" t="s">
        <v>104</v>
      </c>
      <c r="B4081" t="s">
        <v>105</v>
      </c>
      <c r="C4081" t="s">
        <v>80</v>
      </c>
      <c r="D4081" t="s">
        <v>103</v>
      </c>
      <c r="E4081" t="s">
        <v>89</v>
      </c>
      <c r="F4081" t="s">
        <v>7</v>
      </c>
      <c r="G4081" t="s">
        <v>109</v>
      </c>
      <c r="H4081" s="62">
        <v>2042</v>
      </c>
      <c r="I4081">
        <v>62.157299999999999</v>
      </c>
    </row>
    <row r="4082" spans="1:9">
      <c r="A4082" t="s">
        <v>104</v>
      </c>
      <c r="B4082" t="s">
        <v>105</v>
      </c>
      <c r="C4082" t="s">
        <v>107</v>
      </c>
      <c r="D4082" t="s">
        <v>107</v>
      </c>
      <c r="E4082" t="s">
        <v>107</v>
      </c>
      <c r="F4082" t="s">
        <v>7</v>
      </c>
      <c r="G4082" t="s">
        <v>109</v>
      </c>
      <c r="H4082" s="62">
        <v>2043</v>
      </c>
      <c r="I4082">
        <v>252.75540000000001</v>
      </c>
    </row>
    <row r="4083" spans="1:9">
      <c r="A4083" t="s">
        <v>104</v>
      </c>
      <c r="B4083" t="s">
        <v>105</v>
      </c>
      <c r="C4083" t="s">
        <v>107</v>
      </c>
      <c r="D4083" t="s">
        <v>108</v>
      </c>
      <c r="E4083" t="s">
        <v>108</v>
      </c>
      <c r="F4083" t="s">
        <v>7</v>
      </c>
      <c r="G4083" t="s">
        <v>109</v>
      </c>
      <c r="H4083" s="62">
        <v>2043</v>
      </c>
      <c r="I4083">
        <v>0.75209999999999999</v>
      </c>
    </row>
    <row r="4084" spans="1:9">
      <c r="A4084" t="s">
        <v>104</v>
      </c>
      <c r="B4084" t="s">
        <v>105</v>
      </c>
      <c r="C4084" t="s">
        <v>80</v>
      </c>
      <c r="D4084" t="s">
        <v>80</v>
      </c>
      <c r="E4084" t="s">
        <v>80</v>
      </c>
      <c r="F4084" t="s">
        <v>7</v>
      </c>
      <c r="G4084" t="s">
        <v>109</v>
      </c>
      <c r="H4084" s="62">
        <v>2043</v>
      </c>
      <c r="I4084">
        <v>252.0033</v>
      </c>
    </row>
    <row r="4085" spans="1:9">
      <c r="A4085" t="s">
        <v>104</v>
      </c>
      <c r="B4085" t="s">
        <v>105</v>
      </c>
      <c r="C4085" t="s">
        <v>80</v>
      </c>
      <c r="D4085" t="s">
        <v>89</v>
      </c>
      <c r="E4085" t="s">
        <v>90</v>
      </c>
      <c r="F4085" t="s">
        <v>7</v>
      </c>
      <c r="G4085" t="s">
        <v>109</v>
      </c>
      <c r="H4085" s="62">
        <v>2043</v>
      </c>
      <c r="I4085">
        <v>-4.3132000000000001</v>
      </c>
    </row>
    <row r="4086" spans="1:9">
      <c r="A4086" t="s">
        <v>104</v>
      </c>
      <c r="B4086" t="s">
        <v>105</v>
      </c>
      <c r="C4086" t="s">
        <v>80</v>
      </c>
      <c r="D4086" t="s">
        <v>89</v>
      </c>
      <c r="E4086" t="s">
        <v>91</v>
      </c>
      <c r="F4086" t="s">
        <v>7</v>
      </c>
      <c r="G4086" t="s">
        <v>109</v>
      </c>
      <c r="H4086" s="62">
        <v>2043</v>
      </c>
      <c r="I4086">
        <v>0.90269999999999995</v>
      </c>
    </row>
    <row r="4087" spans="1:9">
      <c r="A4087" t="s">
        <v>104</v>
      </c>
      <c r="B4087" t="s">
        <v>105</v>
      </c>
      <c r="C4087" t="s">
        <v>80</v>
      </c>
      <c r="D4087" t="s">
        <v>92</v>
      </c>
      <c r="E4087" t="s">
        <v>93</v>
      </c>
      <c r="F4087" t="s">
        <v>7</v>
      </c>
      <c r="G4087" t="s">
        <v>109</v>
      </c>
      <c r="H4087" s="62">
        <v>2043</v>
      </c>
      <c r="I4087">
        <v>-21.9374</v>
      </c>
    </row>
    <row r="4088" spans="1:9">
      <c r="A4088" t="s">
        <v>104</v>
      </c>
      <c r="B4088" t="s">
        <v>105</v>
      </c>
      <c r="C4088" t="s">
        <v>80</v>
      </c>
      <c r="D4088" t="s">
        <v>92</v>
      </c>
      <c r="E4088" t="s">
        <v>94</v>
      </c>
      <c r="F4088" t="s">
        <v>7</v>
      </c>
      <c r="G4088" t="s">
        <v>109</v>
      </c>
      <c r="H4088" s="62">
        <v>2043</v>
      </c>
      <c r="I4088">
        <v>83.583699999999993</v>
      </c>
    </row>
    <row r="4089" spans="1:9">
      <c r="A4089" t="s">
        <v>104</v>
      </c>
      <c r="B4089" t="s">
        <v>105</v>
      </c>
      <c r="C4089" t="s">
        <v>80</v>
      </c>
      <c r="D4089" t="s">
        <v>92</v>
      </c>
      <c r="E4089" t="s">
        <v>110</v>
      </c>
      <c r="F4089" t="s">
        <v>7</v>
      </c>
      <c r="G4089" t="s">
        <v>109</v>
      </c>
      <c r="H4089" s="62">
        <v>2043</v>
      </c>
      <c r="I4089">
        <v>4.7976000000000001</v>
      </c>
    </row>
    <row r="4090" spans="1:9">
      <c r="A4090" t="s">
        <v>104</v>
      </c>
      <c r="B4090" t="s">
        <v>105</v>
      </c>
      <c r="C4090" t="s">
        <v>80</v>
      </c>
      <c r="D4090" t="s">
        <v>92</v>
      </c>
      <c r="E4090" t="s">
        <v>95</v>
      </c>
      <c r="F4090" t="s">
        <v>7</v>
      </c>
      <c r="G4090" t="s">
        <v>109</v>
      </c>
      <c r="H4090" s="62">
        <v>2043</v>
      </c>
      <c r="I4090">
        <v>59.175199999999997</v>
      </c>
    </row>
    <row r="4091" spans="1:9">
      <c r="A4091" t="s">
        <v>104</v>
      </c>
      <c r="B4091" t="s">
        <v>105</v>
      </c>
      <c r="C4091" t="s">
        <v>80</v>
      </c>
      <c r="D4091" t="s">
        <v>96</v>
      </c>
      <c r="E4091" t="s">
        <v>92</v>
      </c>
      <c r="F4091" t="s">
        <v>7</v>
      </c>
      <c r="G4091" t="s">
        <v>109</v>
      </c>
      <c r="H4091" s="62">
        <v>2043</v>
      </c>
      <c r="I4091">
        <v>25.061299999999999</v>
      </c>
    </row>
    <row r="4092" spans="1:9">
      <c r="A4092" t="s">
        <v>104</v>
      </c>
      <c r="B4092" t="s">
        <v>105</v>
      </c>
      <c r="C4092" t="s">
        <v>80</v>
      </c>
      <c r="D4092" t="s">
        <v>96</v>
      </c>
      <c r="E4092" t="s">
        <v>89</v>
      </c>
      <c r="F4092" t="s">
        <v>7</v>
      </c>
      <c r="G4092" t="s">
        <v>109</v>
      </c>
      <c r="H4092" s="62">
        <v>2043</v>
      </c>
      <c r="I4092">
        <v>9.923</v>
      </c>
    </row>
    <row r="4093" spans="1:9">
      <c r="A4093" t="s">
        <v>104</v>
      </c>
      <c r="B4093" t="s">
        <v>105</v>
      </c>
      <c r="C4093" t="s">
        <v>80</v>
      </c>
      <c r="D4093" t="s">
        <v>97</v>
      </c>
      <c r="E4093" t="s">
        <v>98</v>
      </c>
      <c r="F4093" t="s">
        <v>7</v>
      </c>
      <c r="G4093" t="s">
        <v>109</v>
      </c>
      <c r="H4093" s="62">
        <v>2043</v>
      </c>
      <c r="I4093">
        <v>38.6325</v>
      </c>
    </row>
    <row r="4094" spans="1:9">
      <c r="A4094" t="s">
        <v>104</v>
      </c>
      <c r="B4094" t="s">
        <v>105</v>
      </c>
      <c r="C4094" t="s">
        <v>80</v>
      </c>
      <c r="D4094" t="s">
        <v>97</v>
      </c>
      <c r="E4094" t="s">
        <v>99</v>
      </c>
      <c r="F4094" t="s">
        <v>7</v>
      </c>
      <c r="G4094" t="s">
        <v>109</v>
      </c>
      <c r="H4094" s="62">
        <v>2043</v>
      </c>
      <c r="I4094">
        <v>0.4002</v>
      </c>
    </row>
    <row r="4095" spans="1:9">
      <c r="A4095" t="s">
        <v>104</v>
      </c>
      <c r="B4095" t="s">
        <v>105</v>
      </c>
      <c r="C4095" t="s">
        <v>80</v>
      </c>
      <c r="D4095" t="s">
        <v>100</v>
      </c>
      <c r="E4095" t="s">
        <v>101</v>
      </c>
      <c r="F4095" t="s">
        <v>7</v>
      </c>
      <c r="G4095" t="s">
        <v>109</v>
      </c>
      <c r="H4095" s="62">
        <v>2043</v>
      </c>
      <c r="I4095">
        <v>35.1175</v>
      </c>
    </row>
    <row r="4096" spans="1:9">
      <c r="A4096" t="s">
        <v>104</v>
      </c>
      <c r="B4096" t="s">
        <v>105</v>
      </c>
      <c r="C4096" t="s">
        <v>80</v>
      </c>
      <c r="D4096" t="s">
        <v>100</v>
      </c>
      <c r="E4096" t="s">
        <v>102</v>
      </c>
      <c r="F4096" t="s">
        <v>7</v>
      </c>
      <c r="G4096" t="s">
        <v>109</v>
      </c>
      <c r="H4096" s="62">
        <v>2043</v>
      </c>
      <c r="I4096">
        <v>8.4567999999999994</v>
      </c>
    </row>
    <row r="4097" spans="1:9">
      <c r="A4097" t="s">
        <v>104</v>
      </c>
      <c r="B4097" t="s">
        <v>105</v>
      </c>
      <c r="C4097" t="s">
        <v>80</v>
      </c>
      <c r="D4097" t="s">
        <v>100</v>
      </c>
      <c r="E4097" t="s">
        <v>111</v>
      </c>
      <c r="F4097" t="s">
        <v>7</v>
      </c>
      <c r="G4097" t="s">
        <v>109</v>
      </c>
      <c r="H4097" s="62">
        <v>2043</v>
      </c>
      <c r="I4097">
        <v>0</v>
      </c>
    </row>
    <row r="4098" spans="1:9">
      <c r="A4098" t="s">
        <v>104</v>
      </c>
      <c r="B4098" t="s">
        <v>105</v>
      </c>
      <c r="C4098" t="s">
        <v>80</v>
      </c>
      <c r="D4098" t="s">
        <v>100</v>
      </c>
      <c r="E4098" t="s">
        <v>112</v>
      </c>
      <c r="F4098" t="s">
        <v>7</v>
      </c>
      <c r="G4098" t="s">
        <v>109</v>
      </c>
      <c r="H4098" s="62">
        <v>2043</v>
      </c>
      <c r="I4098">
        <v>0</v>
      </c>
    </row>
    <row r="4099" spans="1:9">
      <c r="A4099" t="s">
        <v>104</v>
      </c>
      <c r="B4099" t="s">
        <v>105</v>
      </c>
      <c r="C4099" t="s">
        <v>80</v>
      </c>
      <c r="D4099" t="s">
        <v>83</v>
      </c>
      <c r="E4099" t="s">
        <v>84</v>
      </c>
      <c r="F4099" t="s">
        <v>7</v>
      </c>
      <c r="G4099" t="s">
        <v>109</v>
      </c>
      <c r="H4099" s="62">
        <v>2043</v>
      </c>
      <c r="I4099">
        <v>6.6367000000000003</v>
      </c>
    </row>
    <row r="4100" spans="1:9">
      <c r="A4100" t="s">
        <v>104</v>
      </c>
      <c r="B4100" t="s">
        <v>105</v>
      </c>
      <c r="C4100" t="s">
        <v>80</v>
      </c>
      <c r="D4100" t="s">
        <v>83</v>
      </c>
      <c r="E4100" t="s">
        <v>85</v>
      </c>
      <c r="F4100" t="s">
        <v>7</v>
      </c>
      <c r="G4100" t="s">
        <v>109</v>
      </c>
      <c r="H4100" s="62">
        <v>2043</v>
      </c>
      <c r="I4100">
        <v>5.5666000000000002</v>
      </c>
    </row>
    <row r="4101" spans="1:9">
      <c r="A4101" t="s">
        <v>104</v>
      </c>
      <c r="B4101" t="s">
        <v>105</v>
      </c>
      <c r="C4101" t="s">
        <v>80</v>
      </c>
      <c r="D4101" t="s">
        <v>86</v>
      </c>
      <c r="E4101" t="s">
        <v>106</v>
      </c>
      <c r="F4101" t="s">
        <v>7</v>
      </c>
      <c r="G4101" t="s">
        <v>109</v>
      </c>
      <c r="H4101" s="62">
        <v>2043</v>
      </c>
      <c r="I4101">
        <v>3.8331</v>
      </c>
    </row>
    <row r="4102" spans="1:9">
      <c r="A4102" t="s">
        <v>104</v>
      </c>
      <c r="B4102" t="s">
        <v>105</v>
      </c>
      <c r="C4102" t="s">
        <v>80</v>
      </c>
      <c r="D4102" t="s">
        <v>86</v>
      </c>
      <c r="E4102" t="s">
        <v>87</v>
      </c>
      <c r="F4102" t="s">
        <v>7</v>
      </c>
      <c r="G4102" t="s">
        <v>109</v>
      </c>
      <c r="H4102" s="62">
        <v>2043</v>
      </c>
      <c r="I4102">
        <v>17.201599999999999</v>
      </c>
    </row>
    <row r="4103" spans="1:9">
      <c r="A4103" t="s">
        <v>104</v>
      </c>
      <c r="B4103" t="s">
        <v>105</v>
      </c>
      <c r="C4103" t="s">
        <v>80</v>
      </c>
      <c r="D4103" t="s">
        <v>103</v>
      </c>
      <c r="E4103" t="s">
        <v>92</v>
      </c>
      <c r="F4103" t="s">
        <v>7</v>
      </c>
      <c r="G4103" t="s">
        <v>109</v>
      </c>
      <c r="H4103" s="62">
        <v>2043</v>
      </c>
      <c r="I4103">
        <v>13.3064</v>
      </c>
    </row>
    <row r="4104" spans="1:9">
      <c r="A4104" t="s">
        <v>104</v>
      </c>
      <c r="B4104" t="s">
        <v>105</v>
      </c>
      <c r="C4104" t="s">
        <v>80</v>
      </c>
      <c r="D4104" t="s">
        <v>103</v>
      </c>
      <c r="E4104" t="s">
        <v>89</v>
      </c>
      <c r="F4104" t="s">
        <v>7</v>
      </c>
      <c r="G4104" t="s">
        <v>109</v>
      </c>
      <c r="H4104" s="62">
        <v>2043</v>
      </c>
      <c r="I4104">
        <v>64.648499999999999</v>
      </c>
    </row>
    <row r="4105" spans="1:9">
      <c r="A4105" t="s">
        <v>104</v>
      </c>
      <c r="B4105" t="s">
        <v>105</v>
      </c>
      <c r="C4105" t="s">
        <v>107</v>
      </c>
      <c r="D4105" t="s">
        <v>107</v>
      </c>
      <c r="E4105" t="s">
        <v>107</v>
      </c>
      <c r="F4105" t="s">
        <v>7</v>
      </c>
      <c r="G4105" t="s">
        <v>109</v>
      </c>
      <c r="H4105" s="62">
        <v>2044</v>
      </c>
      <c r="I4105">
        <v>257.04230000000001</v>
      </c>
    </row>
    <row r="4106" spans="1:9">
      <c r="A4106" t="s">
        <v>104</v>
      </c>
      <c r="B4106" t="s">
        <v>105</v>
      </c>
      <c r="C4106" t="s">
        <v>107</v>
      </c>
      <c r="D4106" t="s">
        <v>108</v>
      </c>
      <c r="E4106" t="s">
        <v>108</v>
      </c>
      <c r="F4106" t="s">
        <v>7</v>
      </c>
      <c r="G4106" t="s">
        <v>109</v>
      </c>
      <c r="H4106" s="62">
        <v>2044</v>
      </c>
      <c r="I4106">
        <v>0.72409999999999997</v>
      </c>
    </row>
    <row r="4107" spans="1:9">
      <c r="A4107" t="s">
        <v>104</v>
      </c>
      <c r="B4107" t="s">
        <v>105</v>
      </c>
      <c r="C4107" t="s">
        <v>80</v>
      </c>
      <c r="D4107" t="s">
        <v>80</v>
      </c>
      <c r="E4107" t="s">
        <v>80</v>
      </c>
      <c r="F4107" t="s">
        <v>7</v>
      </c>
      <c r="G4107" t="s">
        <v>109</v>
      </c>
      <c r="H4107" s="62">
        <v>2044</v>
      </c>
      <c r="I4107">
        <v>256.31830000000002</v>
      </c>
    </row>
    <row r="4108" spans="1:9">
      <c r="A4108" t="s">
        <v>104</v>
      </c>
      <c r="B4108" t="s">
        <v>105</v>
      </c>
      <c r="C4108" t="s">
        <v>80</v>
      </c>
      <c r="D4108" t="s">
        <v>89</v>
      </c>
      <c r="E4108" t="s">
        <v>90</v>
      </c>
      <c r="F4108" t="s">
        <v>7</v>
      </c>
      <c r="G4108" t="s">
        <v>109</v>
      </c>
      <c r="H4108" s="62">
        <v>2044</v>
      </c>
      <c r="I4108">
        <v>-6.7343999999999999</v>
      </c>
    </row>
    <row r="4109" spans="1:9">
      <c r="A4109" t="s">
        <v>104</v>
      </c>
      <c r="B4109" t="s">
        <v>105</v>
      </c>
      <c r="C4109" t="s">
        <v>80</v>
      </c>
      <c r="D4109" t="s">
        <v>89</v>
      </c>
      <c r="E4109" t="s">
        <v>91</v>
      </c>
      <c r="F4109" t="s">
        <v>7</v>
      </c>
      <c r="G4109" t="s">
        <v>109</v>
      </c>
      <c r="H4109" s="62">
        <v>2044</v>
      </c>
      <c r="I4109">
        <v>1.3958999999999999</v>
      </c>
    </row>
    <row r="4110" spans="1:9">
      <c r="A4110" t="s">
        <v>104</v>
      </c>
      <c r="B4110" t="s">
        <v>105</v>
      </c>
      <c r="C4110" t="s">
        <v>80</v>
      </c>
      <c r="D4110" t="s">
        <v>92</v>
      </c>
      <c r="E4110" t="s">
        <v>93</v>
      </c>
      <c r="F4110" t="s">
        <v>7</v>
      </c>
      <c r="G4110" t="s">
        <v>109</v>
      </c>
      <c r="H4110" s="62">
        <v>2044</v>
      </c>
      <c r="I4110">
        <v>-23.871300000000002</v>
      </c>
    </row>
    <row r="4111" spans="1:9">
      <c r="A4111" t="s">
        <v>104</v>
      </c>
      <c r="B4111" t="s">
        <v>105</v>
      </c>
      <c r="C4111" t="s">
        <v>80</v>
      </c>
      <c r="D4111" t="s">
        <v>92</v>
      </c>
      <c r="E4111" t="s">
        <v>94</v>
      </c>
      <c r="F4111" t="s">
        <v>7</v>
      </c>
      <c r="G4111" t="s">
        <v>109</v>
      </c>
      <c r="H4111" s="62">
        <v>2044</v>
      </c>
      <c r="I4111">
        <v>83.802899999999994</v>
      </c>
    </row>
    <row r="4112" spans="1:9">
      <c r="A4112" t="s">
        <v>104</v>
      </c>
      <c r="B4112" t="s">
        <v>105</v>
      </c>
      <c r="C4112" t="s">
        <v>80</v>
      </c>
      <c r="D4112" t="s">
        <v>92</v>
      </c>
      <c r="E4112" t="s">
        <v>110</v>
      </c>
      <c r="F4112" t="s">
        <v>7</v>
      </c>
      <c r="G4112" t="s">
        <v>109</v>
      </c>
      <c r="H4112" s="62">
        <v>2044</v>
      </c>
      <c r="I4112">
        <v>4.5594000000000001</v>
      </c>
    </row>
    <row r="4113" spans="1:9">
      <c r="A4113" t="s">
        <v>104</v>
      </c>
      <c r="B4113" t="s">
        <v>105</v>
      </c>
      <c r="C4113" t="s">
        <v>80</v>
      </c>
      <c r="D4113" t="s">
        <v>92</v>
      </c>
      <c r="E4113" t="s">
        <v>95</v>
      </c>
      <c r="F4113" t="s">
        <v>7</v>
      </c>
      <c r="G4113" t="s">
        <v>109</v>
      </c>
      <c r="H4113" s="62">
        <v>2044</v>
      </c>
      <c r="I4113">
        <v>60.101399999999998</v>
      </c>
    </row>
    <row r="4114" spans="1:9">
      <c r="A4114" t="s">
        <v>104</v>
      </c>
      <c r="B4114" t="s">
        <v>105</v>
      </c>
      <c r="C4114" t="s">
        <v>80</v>
      </c>
      <c r="D4114" t="s">
        <v>96</v>
      </c>
      <c r="E4114" t="s">
        <v>92</v>
      </c>
      <c r="F4114" t="s">
        <v>7</v>
      </c>
      <c r="G4114" t="s">
        <v>109</v>
      </c>
      <c r="H4114" s="62">
        <v>2044</v>
      </c>
      <c r="I4114">
        <v>25.4498</v>
      </c>
    </row>
    <row r="4115" spans="1:9">
      <c r="A4115" t="s">
        <v>104</v>
      </c>
      <c r="B4115" t="s">
        <v>105</v>
      </c>
      <c r="C4115" t="s">
        <v>80</v>
      </c>
      <c r="D4115" t="s">
        <v>96</v>
      </c>
      <c r="E4115" t="s">
        <v>89</v>
      </c>
      <c r="F4115" t="s">
        <v>7</v>
      </c>
      <c r="G4115" t="s">
        <v>109</v>
      </c>
      <c r="H4115" s="62">
        <v>2044</v>
      </c>
      <c r="I4115">
        <v>10.489100000000001</v>
      </c>
    </row>
    <row r="4116" spans="1:9">
      <c r="A4116" t="s">
        <v>104</v>
      </c>
      <c r="B4116" t="s">
        <v>105</v>
      </c>
      <c r="C4116" t="s">
        <v>80</v>
      </c>
      <c r="D4116" t="s">
        <v>97</v>
      </c>
      <c r="E4116" t="s">
        <v>98</v>
      </c>
      <c r="F4116" t="s">
        <v>7</v>
      </c>
      <c r="G4116" t="s">
        <v>109</v>
      </c>
      <c r="H4116" s="62">
        <v>2044</v>
      </c>
      <c r="I4116">
        <v>42.065899999999999</v>
      </c>
    </row>
    <row r="4117" spans="1:9">
      <c r="A4117" t="s">
        <v>104</v>
      </c>
      <c r="B4117" t="s">
        <v>105</v>
      </c>
      <c r="C4117" t="s">
        <v>80</v>
      </c>
      <c r="D4117" t="s">
        <v>97</v>
      </c>
      <c r="E4117" t="s">
        <v>99</v>
      </c>
      <c r="F4117" t="s">
        <v>7</v>
      </c>
      <c r="G4117" t="s">
        <v>109</v>
      </c>
      <c r="H4117" s="62">
        <v>2044</v>
      </c>
      <c r="I4117">
        <v>0.46239999999999998</v>
      </c>
    </row>
    <row r="4118" spans="1:9">
      <c r="A4118" t="s">
        <v>104</v>
      </c>
      <c r="B4118" t="s">
        <v>105</v>
      </c>
      <c r="C4118" t="s">
        <v>80</v>
      </c>
      <c r="D4118" t="s">
        <v>100</v>
      </c>
      <c r="E4118" t="s">
        <v>101</v>
      </c>
      <c r="F4118" t="s">
        <v>7</v>
      </c>
      <c r="G4118" t="s">
        <v>109</v>
      </c>
      <c r="H4118" s="62">
        <v>2044</v>
      </c>
      <c r="I4118">
        <v>37.243699999999997</v>
      </c>
    </row>
    <row r="4119" spans="1:9">
      <c r="A4119" t="s">
        <v>104</v>
      </c>
      <c r="B4119" t="s">
        <v>105</v>
      </c>
      <c r="C4119" t="s">
        <v>80</v>
      </c>
      <c r="D4119" t="s">
        <v>100</v>
      </c>
      <c r="E4119" t="s">
        <v>102</v>
      </c>
      <c r="F4119" t="s">
        <v>7</v>
      </c>
      <c r="G4119" t="s">
        <v>109</v>
      </c>
      <c r="H4119" s="62">
        <v>2044</v>
      </c>
      <c r="I4119">
        <v>8.9772999999999996</v>
      </c>
    </row>
    <row r="4120" spans="1:9">
      <c r="A4120" t="s">
        <v>104</v>
      </c>
      <c r="B4120" t="s">
        <v>105</v>
      </c>
      <c r="C4120" t="s">
        <v>80</v>
      </c>
      <c r="D4120" t="s">
        <v>100</v>
      </c>
      <c r="E4120" t="s">
        <v>111</v>
      </c>
      <c r="F4120" t="s">
        <v>7</v>
      </c>
      <c r="G4120" t="s">
        <v>109</v>
      </c>
      <c r="H4120" s="62">
        <v>2044</v>
      </c>
      <c r="I4120">
        <v>0</v>
      </c>
    </row>
    <row r="4121" spans="1:9">
      <c r="A4121" t="s">
        <v>104</v>
      </c>
      <c r="B4121" t="s">
        <v>105</v>
      </c>
      <c r="C4121" t="s">
        <v>80</v>
      </c>
      <c r="D4121" t="s">
        <v>100</v>
      </c>
      <c r="E4121" t="s">
        <v>112</v>
      </c>
      <c r="F4121" t="s">
        <v>7</v>
      </c>
      <c r="G4121" t="s">
        <v>109</v>
      </c>
      <c r="H4121" s="62">
        <v>2044</v>
      </c>
      <c r="I4121">
        <v>0</v>
      </c>
    </row>
    <row r="4122" spans="1:9">
      <c r="A4122" t="s">
        <v>104</v>
      </c>
      <c r="B4122" t="s">
        <v>105</v>
      </c>
      <c r="C4122" t="s">
        <v>80</v>
      </c>
      <c r="D4122" t="s">
        <v>83</v>
      </c>
      <c r="E4122" t="s">
        <v>84</v>
      </c>
      <c r="F4122" t="s">
        <v>7</v>
      </c>
      <c r="G4122" t="s">
        <v>109</v>
      </c>
      <c r="H4122" s="62">
        <v>2044</v>
      </c>
      <c r="I4122">
        <v>6.7348999999999997</v>
      </c>
    </row>
    <row r="4123" spans="1:9">
      <c r="A4123" t="s">
        <v>104</v>
      </c>
      <c r="B4123" t="s">
        <v>105</v>
      </c>
      <c r="C4123" t="s">
        <v>80</v>
      </c>
      <c r="D4123" t="s">
        <v>83</v>
      </c>
      <c r="E4123" t="s">
        <v>85</v>
      </c>
      <c r="F4123" t="s">
        <v>7</v>
      </c>
      <c r="G4123" t="s">
        <v>109</v>
      </c>
      <c r="H4123" s="62">
        <v>2044</v>
      </c>
      <c r="I4123">
        <v>5.6412000000000004</v>
      </c>
    </row>
    <row r="4124" spans="1:9">
      <c r="A4124" t="s">
        <v>104</v>
      </c>
      <c r="B4124" t="s">
        <v>105</v>
      </c>
      <c r="C4124" t="s">
        <v>80</v>
      </c>
      <c r="D4124" t="s">
        <v>86</v>
      </c>
      <c r="E4124" t="s">
        <v>106</v>
      </c>
      <c r="F4124" t="s">
        <v>7</v>
      </c>
      <c r="G4124" t="s">
        <v>109</v>
      </c>
      <c r="H4124" s="62">
        <v>2044</v>
      </c>
      <c r="I4124">
        <v>3.8813</v>
      </c>
    </row>
    <row r="4125" spans="1:9">
      <c r="A4125" t="s">
        <v>104</v>
      </c>
      <c r="B4125" t="s">
        <v>105</v>
      </c>
      <c r="C4125" t="s">
        <v>80</v>
      </c>
      <c r="D4125" t="s">
        <v>86</v>
      </c>
      <c r="E4125" t="s">
        <v>87</v>
      </c>
      <c r="F4125" t="s">
        <v>7</v>
      </c>
      <c r="G4125" t="s">
        <v>109</v>
      </c>
      <c r="H4125" s="62">
        <v>2044</v>
      </c>
      <c r="I4125">
        <v>18.594000000000001</v>
      </c>
    </row>
    <row r="4126" spans="1:9">
      <c r="A4126" t="s">
        <v>104</v>
      </c>
      <c r="B4126" t="s">
        <v>105</v>
      </c>
      <c r="C4126" t="s">
        <v>80</v>
      </c>
      <c r="D4126" t="s">
        <v>103</v>
      </c>
      <c r="E4126" t="s">
        <v>92</v>
      </c>
      <c r="F4126" t="s">
        <v>7</v>
      </c>
      <c r="G4126" t="s">
        <v>109</v>
      </c>
      <c r="H4126" s="62">
        <v>2044</v>
      </c>
      <c r="I4126">
        <v>13.817600000000001</v>
      </c>
    </row>
    <row r="4127" spans="1:9">
      <c r="A4127" t="s">
        <v>104</v>
      </c>
      <c r="B4127" t="s">
        <v>105</v>
      </c>
      <c r="C4127" t="s">
        <v>80</v>
      </c>
      <c r="D4127" t="s">
        <v>103</v>
      </c>
      <c r="E4127" t="s">
        <v>89</v>
      </c>
      <c r="F4127" t="s">
        <v>7</v>
      </c>
      <c r="G4127" t="s">
        <v>109</v>
      </c>
      <c r="H4127" s="62">
        <v>2044</v>
      </c>
      <c r="I4127">
        <v>67.282799999999995</v>
      </c>
    </row>
    <row r="4128" spans="1:9">
      <c r="A4128" t="s">
        <v>104</v>
      </c>
      <c r="B4128" t="s">
        <v>105</v>
      </c>
      <c r="C4128" t="s">
        <v>107</v>
      </c>
      <c r="D4128" t="s">
        <v>107</v>
      </c>
      <c r="E4128" t="s">
        <v>107</v>
      </c>
      <c r="F4128" t="s">
        <v>7</v>
      </c>
      <c r="G4128" t="s">
        <v>109</v>
      </c>
      <c r="H4128" s="62">
        <v>2045</v>
      </c>
      <c r="I4128">
        <v>261.47390000000001</v>
      </c>
    </row>
    <row r="4129" spans="1:9">
      <c r="A4129" t="s">
        <v>104</v>
      </c>
      <c r="B4129" t="s">
        <v>105</v>
      </c>
      <c r="C4129" t="s">
        <v>107</v>
      </c>
      <c r="D4129" t="s">
        <v>108</v>
      </c>
      <c r="E4129" t="s">
        <v>108</v>
      </c>
      <c r="F4129" t="s">
        <v>7</v>
      </c>
      <c r="G4129" t="s">
        <v>109</v>
      </c>
      <c r="H4129" s="62">
        <v>2045</v>
      </c>
      <c r="I4129">
        <v>0.72960000000000003</v>
      </c>
    </row>
    <row r="4130" spans="1:9">
      <c r="A4130" t="s">
        <v>104</v>
      </c>
      <c r="B4130" t="s">
        <v>105</v>
      </c>
      <c r="C4130" t="s">
        <v>80</v>
      </c>
      <c r="D4130" t="s">
        <v>80</v>
      </c>
      <c r="E4130" t="s">
        <v>80</v>
      </c>
      <c r="F4130" t="s">
        <v>7</v>
      </c>
      <c r="G4130" t="s">
        <v>109</v>
      </c>
      <c r="H4130" s="62">
        <v>2045</v>
      </c>
      <c r="I4130">
        <v>260.74419999999998</v>
      </c>
    </row>
    <row r="4131" spans="1:9">
      <c r="A4131" t="s">
        <v>104</v>
      </c>
      <c r="B4131" t="s">
        <v>105</v>
      </c>
      <c r="C4131" t="s">
        <v>80</v>
      </c>
      <c r="D4131" t="s">
        <v>89</v>
      </c>
      <c r="E4131" t="s">
        <v>90</v>
      </c>
      <c r="F4131" t="s">
        <v>7</v>
      </c>
      <c r="G4131" t="s">
        <v>109</v>
      </c>
      <c r="H4131" s="62">
        <v>2045</v>
      </c>
      <c r="I4131">
        <v>-9.1471</v>
      </c>
    </row>
    <row r="4132" spans="1:9">
      <c r="A4132" t="s">
        <v>104</v>
      </c>
      <c r="B4132" t="s">
        <v>105</v>
      </c>
      <c r="C4132" t="s">
        <v>80</v>
      </c>
      <c r="D4132" t="s">
        <v>89</v>
      </c>
      <c r="E4132" t="s">
        <v>91</v>
      </c>
      <c r="F4132" t="s">
        <v>7</v>
      </c>
      <c r="G4132" t="s">
        <v>109</v>
      </c>
      <c r="H4132" s="62">
        <v>2045</v>
      </c>
      <c r="I4132">
        <v>1.9209000000000001</v>
      </c>
    </row>
    <row r="4133" spans="1:9">
      <c r="A4133" t="s">
        <v>104</v>
      </c>
      <c r="B4133" t="s">
        <v>105</v>
      </c>
      <c r="C4133" t="s">
        <v>80</v>
      </c>
      <c r="D4133" t="s">
        <v>92</v>
      </c>
      <c r="E4133" t="s">
        <v>93</v>
      </c>
      <c r="F4133" t="s">
        <v>7</v>
      </c>
      <c r="G4133" t="s">
        <v>109</v>
      </c>
      <c r="H4133" s="62">
        <v>2045</v>
      </c>
      <c r="I4133">
        <v>-25.349299999999999</v>
      </c>
    </row>
    <row r="4134" spans="1:9">
      <c r="A4134" t="s">
        <v>104</v>
      </c>
      <c r="B4134" t="s">
        <v>105</v>
      </c>
      <c r="C4134" t="s">
        <v>80</v>
      </c>
      <c r="D4134" t="s">
        <v>92</v>
      </c>
      <c r="E4134" t="s">
        <v>94</v>
      </c>
      <c r="F4134" t="s">
        <v>7</v>
      </c>
      <c r="G4134" t="s">
        <v>109</v>
      </c>
      <c r="H4134" s="62">
        <v>2045</v>
      </c>
      <c r="I4134">
        <v>84.041799999999995</v>
      </c>
    </row>
    <row r="4135" spans="1:9">
      <c r="A4135" t="s">
        <v>104</v>
      </c>
      <c r="B4135" t="s">
        <v>105</v>
      </c>
      <c r="C4135" t="s">
        <v>80</v>
      </c>
      <c r="D4135" t="s">
        <v>92</v>
      </c>
      <c r="E4135" t="s">
        <v>110</v>
      </c>
      <c r="F4135" t="s">
        <v>7</v>
      </c>
      <c r="G4135" t="s">
        <v>109</v>
      </c>
      <c r="H4135" s="62">
        <v>2045</v>
      </c>
      <c r="I4135">
        <v>4.3211000000000004</v>
      </c>
    </row>
    <row r="4136" spans="1:9">
      <c r="A4136" t="s">
        <v>104</v>
      </c>
      <c r="B4136" t="s">
        <v>105</v>
      </c>
      <c r="C4136" t="s">
        <v>80</v>
      </c>
      <c r="D4136" t="s">
        <v>92</v>
      </c>
      <c r="E4136" t="s">
        <v>95</v>
      </c>
      <c r="F4136" t="s">
        <v>7</v>
      </c>
      <c r="G4136" t="s">
        <v>109</v>
      </c>
      <c r="H4136" s="62">
        <v>2045</v>
      </c>
      <c r="I4136">
        <v>61.076099999999997</v>
      </c>
    </row>
    <row r="4137" spans="1:9">
      <c r="A4137" t="s">
        <v>104</v>
      </c>
      <c r="B4137" t="s">
        <v>105</v>
      </c>
      <c r="C4137" t="s">
        <v>80</v>
      </c>
      <c r="D4137" t="s">
        <v>96</v>
      </c>
      <c r="E4137" t="s">
        <v>92</v>
      </c>
      <c r="F4137" t="s">
        <v>7</v>
      </c>
      <c r="G4137" t="s">
        <v>109</v>
      </c>
      <c r="H4137" s="62">
        <v>2045</v>
      </c>
      <c r="I4137">
        <v>25.598800000000001</v>
      </c>
    </row>
    <row r="4138" spans="1:9">
      <c r="A4138" t="s">
        <v>104</v>
      </c>
      <c r="B4138" t="s">
        <v>105</v>
      </c>
      <c r="C4138" t="s">
        <v>80</v>
      </c>
      <c r="D4138" t="s">
        <v>96</v>
      </c>
      <c r="E4138" t="s">
        <v>89</v>
      </c>
      <c r="F4138" t="s">
        <v>7</v>
      </c>
      <c r="G4138" t="s">
        <v>109</v>
      </c>
      <c r="H4138" s="62">
        <v>2045</v>
      </c>
      <c r="I4138">
        <v>11.059699999999999</v>
      </c>
    </row>
    <row r="4139" spans="1:9">
      <c r="A4139" t="s">
        <v>104</v>
      </c>
      <c r="B4139" t="s">
        <v>105</v>
      </c>
      <c r="C4139" t="s">
        <v>80</v>
      </c>
      <c r="D4139" t="s">
        <v>97</v>
      </c>
      <c r="E4139" t="s">
        <v>98</v>
      </c>
      <c r="F4139" t="s">
        <v>7</v>
      </c>
      <c r="G4139" t="s">
        <v>109</v>
      </c>
      <c r="H4139" s="62">
        <v>2045</v>
      </c>
      <c r="I4139">
        <v>45.279400000000003</v>
      </c>
    </row>
    <row r="4140" spans="1:9">
      <c r="A4140" t="s">
        <v>104</v>
      </c>
      <c r="B4140" t="s">
        <v>105</v>
      </c>
      <c r="C4140" t="s">
        <v>80</v>
      </c>
      <c r="D4140" t="s">
        <v>97</v>
      </c>
      <c r="E4140" t="s">
        <v>99</v>
      </c>
      <c r="F4140" t="s">
        <v>7</v>
      </c>
      <c r="G4140" t="s">
        <v>109</v>
      </c>
      <c r="H4140" s="62">
        <v>2045</v>
      </c>
      <c r="I4140">
        <v>0.52639999999999998</v>
      </c>
    </row>
    <row r="4141" spans="1:9">
      <c r="A4141" t="s">
        <v>104</v>
      </c>
      <c r="B4141" t="s">
        <v>105</v>
      </c>
      <c r="C4141" t="s">
        <v>80</v>
      </c>
      <c r="D4141" t="s">
        <v>100</v>
      </c>
      <c r="E4141" t="s">
        <v>101</v>
      </c>
      <c r="F4141" t="s">
        <v>7</v>
      </c>
      <c r="G4141" t="s">
        <v>109</v>
      </c>
      <c r="H4141" s="62">
        <v>2045</v>
      </c>
      <c r="I4141">
        <v>39.926099999999998</v>
      </c>
    </row>
    <row r="4142" spans="1:9">
      <c r="A4142" t="s">
        <v>104</v>
      </c>
      <c r="B4142" t="s">
        <v>105</v>
      </c>
      <c r="C4142" t="s">
        <v>80</v>
      </c>
      <c r="D4142" t="s">
        <v>100</v>
      </c>
      <c r="E4142" t="s">
        <v>102</v>
      </c>
      <c r="F4142" t="s">
        <v>7</v>
      </c>
      <c r="G4142" t="s">
        <v>109</v>
      </c>
      <c r="H4142" s="62">
        <v>2045</v>
      </c>
      <c r="I4142">
        <v>8.9694000000000003</v>
      </c>
    </row>
    <row r="4143" spans="1:9">
      <c r="A4143" t="s">
        <v>104</v>
      </c>
      <c r="B4143" t="s">
        <v>105</v>
      </c>
      <c r="C4143" t="s">
        <v>80</v>
      </c>
      <c r="D4143" t="s">
        <v>100</v>
      </c>
      <c r="E4143" t="s">
        <v>111</v>
      </c>
      <c r="F4143" t="s">
        <v>7</v>
      </c>
      <c r="G4143" t="s">
        <v>109</v>
      </c>
      <c r="H4143" s="62">
        <v>2045</v>
      </c>
      <c r="I4143">
        <v>0</v>
      </c>
    </row>
    <row r="4144" spans="1:9">
      <c r="A4144" t="s">
        <v>104</v>
      </c>
      <c r="B4144" t="s">
        <v>105</v>
      </c>
      <c r="C4144" t="s">
        <v>80</v>
      </c>
      <c r="D4144" t="s">
        <v>100</v>
      </c>
      <c r="E4144" t="s">
        <v>112</v>
      </c>
      <c r="F4144" t="s">
        <v>7</v>
      </c>
      <c r="G4144" t="s">
        <v>109</v>
      </c>
      <c r="H4144" s="62">
        <v>2045</v>
      </c>
      <c r="I4144">
        <v>0</v>
      </c>
    </row>
    <row r="4145" spans="1:9">
      <c r="A4145" t="s">
        <v>104</v>
      </c>
      <c r="B4145" t="s">
        <v>105</v>
      </c>
      <c r="C4145" t="s">
        <v>80</v>
      </c>
      <c r="D4145" t="s">
        <v>83</v>
      </c>
      <c r="E4145" t="s">
        <v>84</v>
      </c>
      <c r="F4145" t="s">
        <v>7</v>
      </c>
      <c r="G4145" t="s">
        <v>109</v>
      </c>
      <c r="H4145" s="62">
        <v>2045</v>
      </c>
      <c r="I4145">
        <v>6.8147000000000002</v>
      </c>
    </row>
    <row r="4146" spans="1:9">
      <c r="A4146" t="s">
        <v>104</v>
      </c>
      <c r="B4146" t="s">
        <v>105</v>
      </c>
      <c r="C4146" t="s">
        <v>80</v>
      </c>
      <c r="D4146" t="s">
        <v>83</v>
      </c>
      <c r="E4146" t="s">
        <v>85</v>
      </c>
      <c r="F4146" t="s">
        <v>7</v>
      </c>
      <c r="G4146" t="s">
        <v>109</v>
      </c>
      <c r="H4146" s="62">
        <v>2045</v>
      </c>
      <c r="I4146">
        <v>5.7062999999999997</v>
      </c>
    </row>
    <row r="4147" spans="1:9">
      <c r="A4147" t="s">
        <v>104</v>
      </c>
      <c r="B4147" t="s">
        <v>105</v>
      </c>
      <c r="C4147" t="s">
        <v>80</v>
      </c>
      <c r="D4147" t="s">
        <v>86</v>
      </c>
      <c r="E4147" t="s">
        <v>106</v>
      </c>
      <c r="F4147" t="s">
        <v>7</v>
      </c>
      <c r="G4147" t="s">
        <v>109</v>
      </c>
      <c r="H4147" s="62">
        <v>2045</v>
      </c>
      <c r="I4147">
        <v>3.8915000000000002</v>
      </c>
    </row>
    <row r="4148" spans="1:9">
      <c r="A4148" t="s">
        <v>104</v>
      </c>
      <c r="B4148" t="s">
        <v>105</v>
      </c>
      <c r="C4148" t="s">
        <v>80</v>
      </c>
      <c r="D4148" t="s">
        <v>86</v>
      </c>
      <c r="E4148" t="s">
        <v>87</v>
      </c>
      <c r="F4148" t="s">
        <v>7</v>
      </c>
      <c r="G4148" t="s">
        <v>109</v>
      </c>
      <c r="H4148" s="62">
        <v>2045</v>
      </c>
      <c r="I4148">
        <v>19.536999999999999</v>
      </c>
    </row>
    <row r="4149" spans="1:9">
      <c r="A4149" t="s">
        <v>104</v>
      </c>
      <c r="B4149" t="s">
        <v>105</v>
      </c>
      <c r="C4149" t="s">
        <v>80</v>
      </c>
      <c r="D4149" t="s">
        <v>103</v>
      </c>
      <c r="E4149" t="s">
        <v>92</v>
      </c>
      <c r="F4149" t="s">
        <v>7</v>
      </c>
      <c r="G4149" t="s">
        <v>109</v>
      </c>
      <c r="H4149" s="62">
        <v>2045</v>
      </c>
      <c r="I4149">
        <v>14.321300000000001</v>
      </c>
    </row>
    <row r="4150" spans="1:9">
      <c r="A4150" t="s">
        <v>104</v>
      </c>
      <c r="B4150" t="s">
        <v>105</v>
      </c>
      <c r="C4150" t="s">
        <v>80</v>
      </c>
      <c r="D4150" t="s">
        <v>103</v>
      </c>
      <c r="E4150" t="s">
        <v>89</v>
      </c>
      <c r="F4150" t="s">
        <v>7</v>
      </c>
      <c r="G4150" t="s">
        <v>109</v>
      </c>
      <c r="H4150" s="62">
        <v>2045</v>
      </c>
      <c r="I4150">
        <v>69.8095</v>
      </c>
    </row>
    <row r="4151" spans="1:9">
      <c r="A4151" t="s">
        <v>104</v>
      </c>
      <c r="B4151" t="s">
        <v>105</v>
      </c>
      <c r="C4151" t="s">
        <v>107</v>
      </c>
      <c r="D4151" t="s">
        <v>107</v>
      </c>
      <c r="E4151" t="s">
        <v>107</v>
      </c>
      <c r="F4151" t="s">
        <v>7</v>
      </c>
      <c r="G4151" t="s">
        <v>109</v>
      </c>
      <c r="H4151" s="62">
        <v>2046</v>
      </c>
      <c r="I4151">
        <v>263.74290000000002</v>
      </c>
    </row>
    <row r="4152" spans="1:9">
      <c r="A4152" t="s">
        <v>104</v>
      </c>
      <c r="B4152" t="s">
        <v>105</v>
      </c>
      <c r="C4152" t="s">
        <v>107</v>
      </c>
      <c r="D4152" t="s">
        <v>108</v>
      </c>
      <c r="E4152" t="s">
        <v>108</v>
      </c>
      <c r="F4152" t="s">
        <v>7</v>
      </c>
      <c r="G4152" t="s">
        <v>109</v>
      </c>
      <c r="H4152" s="62">
        <v>2046</v>
      </c>
      <c r="I4152">
        <v>0.73040000000000005</v>
      </c>
    </row>
    <row r="4153" spans="1:9">
      <c r="A4153" t="s">
        <v>104</v>
      </c>
      <c r="B4153" t="s">
        <v>105</v>
      </c>
      <c r="C4153" t="s">
        <v>80</v>
      </c>
      <c r="D4153" t="s">
        <v>80</v>
      </c>
      <c r="E4153" t="s">
        <v>80</v>
      </c>
      <c r="F4153" t="s">
        <v>7</v>
      </c>
      <c r="G4153" t="s">
        <v>109</v>
      </c>
      <c r="H4153" s="62">
        <v>2046</v>
      </c>
      <c r="I4153">
        <v>263.01249999999999</v>
      </c>
    </row>
    <row r="4154" spans="1:9">
      <c r="A4154" t="s">
        <v>104</v>
      </c>
      <c r="B4154" t="s">
        <v>105</v>
      </c>
      <c r="C4154" t="s">
        <v>80</v>
      </c>
      <c r="D4154" t="s">
        <v>89</v>
      </c>
      <c r="E4154" t="s">
        <v>90</v>
      </c>
      <c r="F4154" t="s">
        <v>7</v>
      </c>
      <c r="G4154" t="s">
        <v>109</v>
      </c>
      <c r="H4154" s="62">
        <v>2046</v>
      </c>
      <c r="I4154">
        <v>-12.187099999999999</v>
      </c>
    </row>
    <row r="4155" spans="1:9">
      <c r="A4155" t="s">
        <v>104</v>
      </c>
      <c r="B4155" t="s">
        <v>105</v>
      </c>
      <c r="C4155" t="s">
        <v>80</v>
      </c>
      <c r="D4155" t="s">
        <v>89</v>
      </c>
      <c r="E4155" t="s">
        <v>91</v>
      </c>
      <c r="F4155" t="s">
        <v>7</v>
      </c>
      <c r="G4155" t="s">
        <v>109</v>
      </c>
      <c r="H4155" s="62">
        <v>2046</v>
      </c>
      <c r="I4155">
        <v>2.6459000000000001</v>
      </c>
    </row>
    <row r="4156" spans="1:9">
      <c r="A4156" t="s">
        <v>104</v>
      </c>
      <c r="B4156" t="s">
        <v>105</v>
      </c>
      <c r="C4156" t="s">
        <v>80</v>
      </c>
      <c r="D4156" t="s">
        <v>92</v>
      </c>
      <c r="E4156" t="s">
        <v>93</v>
      </c>
      <c r="F4156" t="s">
        <v>7</v>
      </c>
      <c r="G4156" t="s">
        <v>109</v>
      </c>
      <c r="H4156" s="62">
        <v>2046</v>
      </c>
      <c r="I4156">
        <v>-27.073399999999999</v>
      </c>
    </row>
    <row r="4157" spans="1:9">
      <c r="A4157" t="s">
        <v>104</v>
      </c>
      <c r="B4157" t="s">
        <v>105</v>
      </c>
      <c r="C4157" t="s">
        <v>80</v>
      </c>
      <c r="D4157" t="s">
        <v>92</v>
      </c>
      <c r="E4157" t="s">
        <v>94</v>
      </c>
      <c r="F4157" t="s">
        <v>7</v>
      </c>
      <c r="G4157" t="s">
        <v>109</v>
      </c>
      <c r="H4157" s="62">
        <v>2046</v>
      </c>
      <c r="I4157">
        <v>83.665499999999994</v>
      </c>
    </row>
    <row r="4158" spans="1:9">
      <c r="A4158" t="s">
        <v>104</v>
      </c>
      <c r="B4158" t="s">
        <v>105</v>
      </c>
      <c r="C4158" t="s">
        <v>80</v>
      </c>
      <c r="D4158" t="s">
        <v>92</v>
      </c>
      <c r="E4158" t="s">
        <v>110</v>
      </c>
      <c r="F4158" t="s">
        <v>7</v>
      </c>
      <c r="G4158" t="s">
        <v>109</v>
      </c>
      <c r="H4158" s="62">
        <v>2046</v>
      </c>
      <c r="I4158">
        <v>4.0827999999999998</v>
      </c>
    </row>
    <row r="4159" spans="1:9">
      <c r="A4159" t="s">
        <v>104</v>
      </c>
      <c r="B4159" t="s">
        <v>105</v>
      </c>
      <c r="C4159" t="s">
        <v>80</v>
      </c>
      <c r="D4159" t="s">
        <v>92</v>
      </c>
      <c r="E4159" t="s">
        <v>95</v>
      </c>
      <c r="F4159" t="s">
        <v>7</v>
      </c>
      <c r="G4159" t="s">
        <v>109</v>
      </c>
      <c r="H4159" s="62">
        <v>2046</v>
      </c>
      <c r="I4159">
        <v>62.055599999999998</v>
      </c>
    </row>
    <row r="4160" spans="1:9">
      <c r="A4160" t="s">
        <v>104</v>
      </c>
      <c r="B4160" t="s">
        <v>105</v>
      </c>
      <c r="C4160" t="s">
        <v>80</v>
      </c>
      <c r="D4160" t="s">
        <v>96</v>
      </c>
      <c r="E4160" t="s">
        <v>92</v>
      </c>
      <c r="F4160" t="s">
        <v>7</v>
      </c>
      <c r="G4160" t="s">
        <v>109</v>
      </c>
      <c r="H4160" s="62">
        <v>2046</v>
      </c>
      <c r="I4160">
        <v>25.662299999999998</v>
      </c>
    </row>
    <row r="4161" spans="1:9">
      <c r="A4161" t="s">
        <v>104</v>
      </c>
      <c r="B4161" t="s">
        <v>105</v>
      </c>
      <c r="C4161" t="s">
        <v>80</v>
      </c>
      <c r="D4161" t="s">
        <v>96</v>
      </c>
      <c r="E4161" t="s">
        <v>89</v>
      </c>
      <c r="F4161" t="s">
        <v>7</v>
      </c>
      <c r="G4161" t="s">
        <v>109</v>
      </c>
      <c r="H4161" s="62">
        <v>2046</v>
      </c>
      <c r="I4161">
        <v>11.6157</v>
      </c>
    </row>
    <row r="4162" spans="1:9">
      <c r="A4162" t="s">
        <v>104</v>
      </c>
      <c r="B4162" t="s">
        <v>105</v>
      </c>
      <c r="C4162" t="s">
        <v>80</v>
      </c>
      <c r="D4162" t="s">
        <v>97</v>
      </c>
      <c r="E4162" t="s">
        <v>98</v>
      </c>
      <c r="F4162" t="s">
        <v>7</v>
      </c>
      <c r="G4162" t="s">
        <v>109</v>
      </c>
      <c r="H4162" s="62">
        <v>2046</v>
      </c>
      <c r="I4162">
        <v>48.624099999999999</v>
      </c>
    </row>
    <row r="4163" spans="1:9">
      <c r="A4163" t="s">
        <v>104</v>
      </c>
      <c r="B4163" t="s">
        <v>105</v>
      </c>
      <c r="C4163" t="s">
        <v>80</v>
      </c>
      <c r="D4163" t="s">
        <v>97</v>
      </c>
      <c r="E4163" t="s">
        <v>99</v>
      </c>
      <c r="F4163" t="s">
        <v>7</v>
      </c>
      <c r="G4163" t="s">
        <v>109</v>
      </c>
      <c r="H4163" s="62">
        <v>2046</v>
      </c>
      <c r="I4163">
        <v>0.59589999999999999</v>
      </c>
    </row>
    <row r="4164" spans="1:9">
      <c r="A4164" t="s">
        <v>104</v>
      </c>
      <c r="B4164" t="s">
        <v>105</v>
      </c>
      <c r="C4164" t="s">
        <v>80</v>
      </c>
      <c r="D4164" t="s">
        <v>100</v>
      </c>
      <c r="E4164" t="s">
        <v>101</v>
      </c>
      <c r="F4164" t="s">
        <v>7</v>
      </c>
      <c r="G4164" t="s">
        <v>109</v>
      </c>
      <c r="H4164" s="62">
        <v>2046</v>
      </c>
      <c r="I4164">
        <v>41.255699999999997</v>
      </c>
    </row>
    <row r="4165" spans="1:9">
      <c r="A4165" t="s">
        <v>104</v>
      </c>
      <c r="B4165" t="s">
        <v>105</v>
      </c>
      <c r="C4165" t="s">
        <v>80</v>
      </c>
      <c r="D4165" t="s">
        <v>100</v>
      </c>
      <c r="E4165" t="s">
        <v>102</v>
      </c>
      <c r="F4165" t="s">
        <v>7</v>
      </c>
      <c r="G4165" t="s">
        <v>109</v>
      </c>
      <c r="H4165" s="62">
        <v>2046</v>
      </c>
      <c r="I4165">
        <v>9.4885999999999999</v>
      </c>
    </row>
    <row r="4166" spans="1:9">
      <c r="A4166" t="s">
        <v>104</v>
      </c>
      <c r="B4166" t="s">
        <v>105</v>
      </c>
      <c r="C4166" t="s">
        <v>80</v>
      </c>
      <c r="D4166" t="s">
        <v>100</v>
      </c>
      <c r="E4166" t="s">
        <v>111</v>
      </c>
      <c r="F4166" t="s">
        <v>7</v>
      </c>
      <c r="G4166" t="s">
        <v>109</v>
      </c>
      <c r="H4166" s="62">
        <v>2046</v>
      </c>
      <c r="I4166">
        <v>0</v>
      </c>
    </row>
    <row r="4167" spans="1:9">
      <c r="A4167" t="s">
        <v>104</v>
      </c>
      <c r="B4167" t="s">
        <v>105</v>
      </c>
      <c r="C4167" t="s">
        <v>80</v>
      </c>
      <c r="D4167" t="s">
        <v>100</v>
      </c>
      <c r="E4167" t="s">
        <v>112</v>
      </c>
      <c r="F4167" t="s">
        <v>7</v>
      </c>
      <c r="G4167" t="s">
        <v>109</v>
      </c>
      <c r="H4167" s="62">
        <v>2046</v>
      </c>
      <c r="I4167">
        <v>0</v>
      </c>
    </row>
    <row r="4168" spans="1:9">
      <c r="A4168" t="s">
        <v>104</v>
      </c>
      <c r="B4168" t="s">
        <v>105</v>
      </c>
      <c r="C4168" t="s">
        <v>80</v>
      </c>
      <c r="D4168" t="s">
        <v>83</v>
      </c>
      <c r="E4168" t="s">
        <v>84</v>
      </c>
      <c r="F4168" t="s">
        <v>7</v>
      </c>
      <c r="G4168" t="s">
        <v>109</v>
      </c>
      <c r="H4168" s="62">
        <v>2046</v>
      </c>
      <c r="I4168">
        <v>6.8414000000000001</v>
      </c>
    </row>
    <row r="4169" spans="1:9">
      <c r="A4169" t="s">
        <v>104</v>
      </c>
      <c r="B4169" t="s">
        <v>105</v>
      </c>
      <c r="C4169" t="s">
        <v>80</v>
      </c>
      <c r="D4169" t="s">
        <v>83</v>
      </c>
      <c r="E4169" t="s">
        <v>85</v>
      </c>
      <c r="F4169" t="s">
        <v>7</v>
      </c>
      <c r="G4169" t="s">
        <v>109</v>
      </c>
      <c r="H4169" s="62">
        <v>2046</v>
      </c>
      <c r="I4169">
        <v>5.7397</v>
      </c>
    </row>
    <row r="4170" spans="1:9">
      <c r="A4170" t="s">
        <v>104</v>
      </c>
      <c r="B4170" t="s">
        <v>105</v>
      </c>
      <c r="C4170" t="s">
        <v>80</v>
      </c>
      <c r="D4170" t="s">
        <v>86</v>
      </c>
      <c r="E4170" t="s">
        <v>106</v>
      </c>
      <c r="F4170" t="s">
        <v>7</v>
      </c>
      <c r="G4170" t="s">
        <v>109</v>
      </c>
      <c r="H4170" s="62">
        <v>2046</v>
      </c>
      <c r="I4170">
        <v>3.9291</v>
      </c>
    </row>
    <row r="4171" spans="1:9">
      <c r="A4171" t="s">
        <v>104</v>
      </c>
      <c r="B4171" t="s">
        <v>105</v>
      </c>
      <c r="C4171" t="s">
        <v>80</v>
      </c>
      <c r="D4171" t="s">
        <v>86</v>
      </c>
      <c r="E4171" t="s">
        <v>87</v>
      </c>
      <c r="F4171" t="s">
        <v>7</v>
      </c>
      <c r="G4171" t="s">
        <v>109</v>
      </c>
      <c r="H4171" s="62">
        <v>2046</v>
      </c>
      <c r="I4171">
        <v>20.4984</v>
      </c>
    </row>
    <row r="4172" spans="1:9">
      <c r="A4172" t="s">
        <v>104</v>
      </c>
      <c r="B4172" t="s">
        <v>105</v>
      </c>
      <c r="C4172" t="s">
        <v>80</v>
      </c>
      <c r="D4172" t="s">
        <v>103</v>
      </c>
      <c r="E4172" t="s">
        <v>92</v>
      </c>
      <c r="F4172" t="s">
        <v>7</v>
      </c>
      <c r="G4172" t="s">
        <v>109</v>
      </c>
      <c r="H4172" s="62">
        <v>2046</v>
      </c>
      <c r="I4172">
        <v>14.8773</v>
      </c>
    </row>
    <row r="4173" spans="1:9">
      <c r="A4173" t="s">
        <v>104</v>
      </c>
      <c r="B4173" t="s">
        <v>105</v>
      </c>
      <c r="C4173" t="s">
        <v>80</v>
      </c>
      <c r="D4173" t="s">
        <v>103</v>
      </c>
      <c r="E4173" t="s">
        <v>89</v>
      </c>
      <c r="F4173" t="s">
        <v>7</v>
      </c>
      <c r="G4173" t="s">
        <v>109</v>
      </c>
      <c r="H4173" s="62">
        <v>2046</v>
      </c>
      <c r="I4173">
        <v>72.395099999999999</v>
      </c>
    </row>
    <row r="4174" spans="1:9">
      <c r="A4174" t="s">
        <v>104</v>
      </c>
      <c r="B4174" t="s">
        <v>105</v>
      </c>
      <c r="C4174" t="s">
        <v>107</v>
      </c>
      <c r="D4174" t="s">
        <v>107</v>
      </c>
      <c r="E4174" t="s">
        <v>107</v>
      </c>
      <c r="F4174" t="s">
        <v>7</v>
      </c>
      <c r="G4174" t="s">
        <v>109</v>
      </c>
      <c r="H4174" s="62">
        <v>2047</v>
      </c>
      <c r="I4174">
        <v>265.5104</v>
      </c>
    </row>
    <row r="4175" spans="1:9">
      <c r="A4175" t="s">
        <v>104</v>
      </c>
      <c r="B4175" t="s">
        <v>105</v>
      </c>
      <c r="C4175" t="s">
        <v>107</v>
      </c>
      <c r="D4175" t="s">
        <v>108</v>
      </c>
      <c r="E4175" t="s">
        <v>108</v>
      </c>
      <c r="F4175" t="s">
        <v>7</v>
      </c>
      <c r="G4175" t="s">
        <v>109</v>
      </c>
      <c r="H4175" s="62">
        <v>2047</v>
      </c>
      <c r="I4175">
        <v>0.73029999999999995</v>
      </c>
    </row>
    <row r="4176" spans="1:9">
      <c r="A4176" t="s">
        <v>104</v>
      </c>
      <c r="B4176" t="s">
        <v>105</v>
      </c>
      <c r="C4176" t="s">
        <v>80</v>
      </c>
      <c r="D4176" t="s">
        <v>80</v>
      </c>
      <c r="E4176" t="s">
        <v>80</v>
      </c>
      <c r="F4176" t="s">
        <v>7</v>
      </c>
      <c r="G4176" t="s">
        <v>109</v>
      </c>
      <c r="H4176" s="62">
        <v>2047</v>
      </c>
      <c r="I4176">
        <v>264.7801</v>
      </c>
    </row>
    <row r="4177" spans="1:9">
      <c r="A4177" t="s">
        <v>104</v>
      </c>
      <c r="B4177" t="s">
        <v>105</v>
      </c>
      <c r="C4177" t="s">
        <v>80</v>
      </c>
      <c r="D4177" t="s">
        <v>89</v>
      </c>
      <c r="E4177" t="s">
        <v>90</v>
      </c>
      <c r="F4177" t="s">
        <v>7</v>
      </c>
      <c r="G4177" t="s">
        <v>109</v>
      </c>
      <c r="H4177" s="62">
        <v>2047</v>
      </c>
      <c r="I4177">
        <v>-15.4222</v>
      </c>
    </row>
    <row r="4178" spans="1:9">
      <c r="A4178" t="s">
        <v>104</v>
      </c>
      <c r="B4178" t="s">
        <v>105</v>
      </c>
      <c r="C4178" t="s">
        <v>80</v>
      </c>
      <c r="D4178" t="s">
        <v>89</v>
      </c>
      <c r="E4178" t="s">
        <v>91</v>
      </c>
      <c r="F4178" t="s">
        <v>7</v>
      </c>
      <c r="G4178" t="s">
        <v>109</v>
      </c>
      <c r="H4178" s="62">
        <v>2047</v>
      </c>
      <c r="I4178">
        <v>3.5221</v>
      </c>
    </row>
    <row r="4179" spans="1:9">
      <c r="A4179" t="s">
        <v>104</v>
      </c>
      <c r="B4179" t="s">
        <v>105</v>
      </c>
      <c r="C4179" t="s">
        <v>80</v>
      </c>
      <c r="D4179" t="s">
        <v>92</v>
      </c>
      <c r="E4179" t="s">
        <v>93</v>
      </c>
      <c r="F4179" t="s">
        <v>7</v>
      </c>
      <c r="G4179" t="s">
        <v>109</v>
      </c>
      <c r="H4179" s="62">
        <v>2047</v>
      </c>
      <c r="I4179">
        <v>-29.055700000000002</v>
      </c>
    </row>
    <row r="4180" spans="1:9">
      <c r="A4180" t="s">
        <v>104</v>
      </c>
      <c r="B4180" t="s">
        <v>105</v>
      </c>
      <c r="C4180" t="s">
        <v>80</v>
      </c>
      <c r="D4180" t="s">
        <v>92</v>
      </c>
      <c r="E4180" t="s">
        <v>94</v>
      </c>
      <c r="F4180" t="s">
        <v>7</v>
      </c>
      <c r="G4180" t="s">
        <v>109</v>
      </c>
      <c r="H4180" s="62">
        <v>2047</v>
      </c>
      <c r="I4180">
        <v>83.212400000000002</v>
      </c>
    </row>
    <row r="4181" spans="1:9">
      <c r="A4181" t="s">
        <v>104</v>
      </c>
      <c r="B4181" t="s">
        <v>105</v>
      </c>
      <c r="C4181" t="s">
        <v>80</v>
      </c>
      <c r="D4181" t="s">
        <v>92</v>
      </c>
      <c r="E4181" t="s">
        <v>110</v>
      </c>
      <c r="F4181" t="s">
        <v>7</v>
      </c>
      <c r="G4181" t="s">
        <v>109</v>
      </c>
      <c r="H4181" s="62">
        <v>2047</v>
      </c>
      <c r="I4181">
        <v>3.8445999999999998</v>
      </c>
    </row>
    <row r="4182" spans="1:9">
      <c r="A4182" t="s">
        <v>104</v>
      </c>
      <c r="B4182" t="s">
        <v>105</v>
      </c>
      <c r="C4182" t="s">
        <v>80</v>
      </c>
      <c r="D4182" t="s">
        <v>92</v>
      </c>
      <c r="E4182" t="s">
        <v>95</v>
      </c>
      <c r="F4182" t="s">
        <v>7</v>
      </c>
      <c r="G4182" t="s">
        <v>109</v>
      </c>
      <c r="H4182" s="62">
        <v>2047</v>
      </c>
      <c r="I4182">
        <v>63.087400000000002</v>
      </c>
    </row>
    <row r="4183" spans="1:9">
      <c r="A4183" t="s">
        <v>104</v>
      </c>
      <c r="B4183" t="s">
        <v>105</v>
      </c>
      <c r="C4183" t="s">
        <v>80</v>
      </c>
      <c r="D4183" t="s">
        <v>96</v>
      </c>
      <c r="E4183" t="s">
        <v>92</v>
      </c>
      <c r="F4183" t="s">
        <v>7</v>
      </c>
      <c r="G4183" t="s">
        <v>109</v>
      </c>
      <c r="H4183" s="62">
        <v>2047</v>
      </c>
      <c r="I4183">
        <v>25.868600000000001</v>
      </c>
    </row>
    <row r="4184" spans="1:9">
      <c r="A4184" t="s">
        <v>104</v>
      </c>
      <c r="B4184" t="s">
        <v>105</v>
      </c>
      <c r="C4184" t="s">
        <v>80</v>
      </c>
      <c r="D4184" t="s">
        <v>96</v>
      </c>
      <c r="E4184" t="s">
        <v>89</v>
      </c>
      <c r="F4184" t="s">
        <v>7</v>
      </c>
      <c r="G4184" t="s">
        <v>109</v>
      </c>
      <c r="H4184" s="62">
        <v>2047</v>
      </c>
      <c r="I4184">
        <v>12.1403</v>
      </c>
    </row>
    <row r="4185" spans="1:9">
      <c r="A4185" t="s">
        <v>104</v>
      </c>
      <c r="B4185" t="s">
        <v>105</v>
      </c>
      <c r="C4185" t="s">
        <v>80</v>
      </c>
      <c r="D4185" t="s">
        <v>97</v>
      </c>
      <c r="E4185" t="s">
        <v>98</v>
      </c>
      <c r="F4185" t="s">
        <v>7</v>
      </c>
      <c r="G4185" t="s">
        <v>109</v>
      </c>
      <c r="H4185" s="62">
        <v>2047</v>
      </c>
      <c r="I4185">
        <v>51.952100000000002</v>
      </c>
    </row>
    <row r="4186" spans="1:9">
      <c r="A4186" t="s">
        <v>104</v>
      </c>
      <c r="B4186" t="s">
        <v>105</v>
      </c>
      <c r="C4186" t="s">
        <v>80</v>
      </c>
      <c r="D4186" t="s">
        <v>97</v>
      </c>
      <c r="E4186" t="s">
        <v>99</v>
      </c>
      <c r="F4186" t="s">
        <v>7</v>
      </c>
      <c r="G4186" t="s">
        <v>109</v>
      </c>
      <c r="H4186" s="62">
        <v>2047</v>
      </c>
      <c r="I4186">
        <v>0.66969999999999996</v>
      </c>
    </row>
    <row r="4187" spans="1:9">
      <c r="A4187" t="s">
        <v>104</v>
      </c>
      <c r="B4187" t="s">
        <v>105</v>
      </c>
      <c r="C4187" t="s">
        <v>80</v>
      </c>
      <c r="D4187" t="s">
        <v>100</v>
      </c>
      <c r="E4187" t="s">
        <v>101</v>
      </c>
      <c r="F4187" t="s">
        <v>7</v>
      </c>
      <c r="G4187" t="s">
        <v>109</v>
      </c>
      <c r="H4187" s="62">
        <v>2047</v>
      </c>
      <c r="I4187">
        <v>42.325499999999998</v>
      </c>
    </row>
    <row r="4188" spans="1:9">
      <c r="A4188" t="s">
        <v>104</v>
      </c>
      <c r="B4188" t="s">
        <v>105</v>
      </c>
      <c r="C4188" t="s">
        <v>80</v>
      </c>
      <c r="D4188" t="s">
        <v>100</v>
      </c>
      <c r="E4188" t="s">
        <v>102</v>
      </c>
      <c r="F4188" t="s">
        <v>7</v>
      </c>
      <c r="G4188" t="s">
        <v>109</v>
      </c>
      <c r="H4188" s="62">
        <v>2047</v>
      </c>
      <c r="I4188">
        <v>10.007</v>
      </c>
    </row>
    <row r="4189" spans="1:9">
      <c r="A4189" t="s">
        <v>104</v>
      </c>
      <c r="B4189" t="s">
        <v>105</v>
      </c>
      <c r="C4189" t="s">
        <v>80</v>
      </c>
      <c r="D4189" t="s">
        <v>100</v>
      </c>
      <c r="E4189" t="s">
        <v>111</v>
      </c>
      <c r="F4189" t="s">
        <v>7</v>
      </c>
      <c r="G4189" t="s">
        <v>109</v>
      </c>
      <c r="H4189" s="62">
        <v>2047</v>
      </c>
      <c r="I4189">
        <v>0</v>
      </c>
    </row>
    <row r="4190" spans="1:9">
      <c r="A4190" t="s">
        <v>104</v>
      </c>
      <c r="B4190" t="s">
        <v>105</v>
      </c>
      <c r="C4190" t="s">
        <v>80</v>
      </c>
      <c r="D4190" t="s">
        <v>100</v>
      </c>
      <c r="E4190" t="s">
        <v>112</v>
      </c>
      <c r="F4190" t="s">
        <v>7</v>
      </c>
      <c r="G4190" t="s">
        <v>109</v>
      </c>
      <c r="H4190" s="62">
        <v>2047</v>
      </c>
      <c r="I4190">
        <v>0</v>
      </c>
    </row>
    <row r="4191" spans="1:9">
      <c r="A4191" t="s">
        <v>104</v>
      </c>
      <c r="B4191" t="s">
        <v>105</v>
      </c>
      <c r="C4191" t="s">
        <v>80</v>
      </c>
      <c r="D4191" t="s">
        <v>83</v>
      </c>
      <c r="E4191" t="s">
        <v>84</v>
      </c>
      <c r="F4191" t="s">
        <v>7</v>
      </c>
      <c r="G4191" t="s">
        <v>109</v>
      </c>
      <c r="H4191" s="62">
        <v>2047</v>
      </c>
      <c r="I4191">
        <v>6.8594999999999997</v>
      </c>
    </row>
    <row r="4192" spans="1:9">
      <c r="A4192" t="s">
        <v>104</v>
      </c>
      <c r="B4192" t="s">
        <v>105</v>
      </c>
      <c r="C4192" t="s">
        <v>80</v>
      </c>
      <c r="D4192" t="s">
        <v>83</v>
      </c>
      <c r="E4192" t="s">
        <v>85</v>
      </c>
      <c r="F4192" t="s">
        <v>7</v>
      </c>
      <c r="G4192" t="s">
        <v>109</v>
      </c>
      <c r="H4192" s="62">
        <v>2047</v>
      </c>
      <c r="I4192">
        <v>5.7690000000000001</v>
      </c>
    </row>
    <row r="4193" spans="1:9">
      <c r="A4193" t="s">
        <v>104</v>
      </c>
      <c r="B4193" t="s">
        <v>105</v>
      </c>
      <c r="C4193" t="s">
        <v>80</v>
      </c>
      <c r="D4193" t="s">
        <v>86</v>
      </c>
      <c r="E4193" t="s">
        <v>106</v>
      </c>
      <c r="F4193" t="s">
        <v>7</v>
      </c>
      <c r="G4193" t="s">
        <v>109</v>
      </c>
      <c r="H4193" s="62">
        <v>2047</v>
      </c>
      <c r="I4193">
        <v>3.9668000000000001</v>
      </c>
    </row>
    <row r="4194" spans="1:9">
      <c r="A4194" t="s">
        <v>104</v>
      </c>
      <c r="B4194" t="s">
        <v>105</v>
      </c>
      <c r="C4194" t="s">
        <v>80</v>
      </c>
      <c r="D4194" t="s">
        <v>86</v>
      </c>
      <c r="E4194" t="s">
        <v>87</v>
      </c>
      <c r="F4194" t="s">
        <v>7</v>
      </c>
      <c r="G4194" t="s">
        <v>109</v>
      </c>
      <c r="H4194" s="62">
        <v>2047</v>
      </c>
      <c r="I4194">
        <v>21.566800000000001</v>
      </c>
    </row>
    <row r="4195" spans="1:9">
      <c r="A4195" t="s">
        <v>104</v>
      </c>
      <c r="B4195" t="s">
        <v>105</v>
      </c>
      <c r="C4195" t="s">
        <v>80</v>
      </c>
      <c r="D4195" t="s">
        <v>103</v>
      </c>
      <c r="E4195" t="s">
        <v>92</v>
      </c>
      <c r="F4195" t="s">
        <v>7</v>
      </c>
      <c r="G4195" t="s">
        <v>109</v>
      </c>
      <c r="H4195" s="62">
        <v>2047</v>
      </c>
      <c r="I4195">
        <v>15.5124</v>
      </c>
    </row>
    <row r="4196" spans="1:9">
      <c r="A4196" t="s">
        <v>104</v>
      </c>
      <c r="B4196" t="s">
        <v>105</v>
      </c>
      <c r="C4196" t="s">
        <v>80</v>
      </c>
      <c r="D4196" t="s">
        <v>103</v>
      </c>
      <c r="E4196" t="s">
        <v>89</v>
      </c>
      <c r="F4196" t="s">
        <v>7</v>
      </c>
      <c r="G4196" t="s">
        <v>109</v>
      </c>
      <c r="H4196" s="62">
        <v>2047</v>
      </c>
      <c r="I4196">
        <v>75.211399999999998</v>
      </c>
    </row>
    <row r="4197" spans="1:9">
      <c r="A4197" t="s">
        <v>104</v>
      </c>
      <c r="B4197" t="s">
        <v>105</v>
      </c>
      <c r="C4197" t="s">
        <v>107</v>
      </c>
      <c r="D4197" t="s">
        <v>107</v>
      </c>
      <c r="E4197" t="s">
        <v>107</v>
      </c>
      <c r="F4197" t="s">
        <v>7</v>
      </c>
      <c r="G4197" t="s">
        <v>109</v>
      </c>
      <c r="H4197" s="62">
        <v>2048</v>
      </c>
      <c r="I4197">
        <v>266.78519999999997</v>
      </c>
    </row>
    <row r="4198" spans="1:9">
      <c r="A4198" t="s">
        <v>104</v>
      </c>
      <c r="B4198" t="s">
        <v>105</v>
      </c>
      <c r="C4198" t="s">
        <v>107</v>
      </c>
      <c r="D4198" t="s">
        <v>108</v>
      </c>
      <c r="E4198" t="s">
        <v>108</v>
      </c>
      <c r="F4198" t="s">
        <v>7</v>
      </c>
      <c r="G4198" t="s">
        <v>109</v>
      </c>
      <c r="H4198" s="62">
        <v>2048</v>
      </c>
      <c r="I4198">
        <v>0.72929999999999995</v>
      </c>
    </row>
    <row r="4199" spans="1:9">
      <c r="A4199" t="s">
        <v>104</v>
      </c>
      <c r="B4199" t="s">
        <v>105</v>
      </c>
      <c r="C4199" t="s">
        <v>80</v>
      </c>
      <c r="D4199" t="s">
        <v>80</v>
      </c>
      <c r="E4199" t="s">
        <v>80</v>
      </c>
      <c r="F4199" t="s">
        <v>7</v>
      </c>
      <c r="G4199" t="s">
        <v>109</v>
      </c>
      <c r="H4199" s="62">
        <v>2048</v>
      </c>
      <c r="I4199">
        <v>266.05590000000001</v>
      </c>
    </row>
    <row r="4200" spans="1:9">
      <c r="A4200" t="s">
        <v>104</v>
      </c>
      <c r="B4200" t="s">
        <v>105</v>
      </c>
      <c r="C4200" t="s">
        <v>80</v>
      </c>
      <c r="D4200" t="s">
        <v>89</v>
      </c>
      <c r="E4200" t="s">
        <v>90</v>
      </c>
      <c r="F4200" t="s">
        <v>7</v>
      </c>
      <c r="G4200" t="s">
        <v>109</v>
      </c>
      <c r="H4200" s="62">
        <v>2048</v>
      </c>
      <c r="I4200">
        <v>-18.828700000000001</v>
      </c>
    </row>
    <row r="4201" spans="1:9">
      <c r="A4201" t="s">
        <v>104</v>
      </c>
      <c r="B4201" t="s">
        <v>105</v>
      </c>
      <c r="C4201" t="s">
        <v>80</v>
      </c>
      <c r="D4201" t="s">
        <v>89</v>
      </c>
      <c r="E4201" t="s">
        <v>91</v>
      </c>
      <c r="F4201" t="s">
        <v>7</v>
      </c>
      <c r="G4201" t="s">
        <v>109</v>
      </c>
      <c r="H4201" s="62">
        <v>2048</v>
      </c>
      <c r="I4201">
        <v>4.5659999999999998</v>
      </c>
    </row>
    <row r="4202" spans="1:9">
      <c r="A4202" t="s">
        <v>104</v>
      </c>
      <c r="B4202" t="s">
        <v>105</v>
      </c>
      <c r="C4202" t="s">
        <v>80</v>
      </c>
      <c r="D4202" t="s">
        <v>92</v>
      </c>
      <c r="E4202" t="s">
        <v>93</v>
      </c>
      <c r="F4202" t="s">
        <v>7</v>
      </c>
      <c r="G4202" t="s">
        <v>109</v>
      </c>
      <c r="H4202" s="62">
        <v>2048</v>
      </c>
      <c r="I4202">
        <v>-31.2407</v>
      </c>
    </row>
    <row r="4203" spans="1:9">
      <c r="A4203" t="s">
        <v>104</v>
      </c>
      <c r="B4203" t="s">
        <v>105</v>
      </c>
      <c r="C4203" t="s">
        <v>80</v>
      </c>
      <c r="D4203" t="s">
        <v>92</v>
      </c>
      <c r="E4203" t="s">
        <v>94</v>
      </c>
      <c r="F4203" t="s">
        <v>7</v>
      </c>
      <c r="G4203" t="s">
        <v>109</v>
      </c>
      <c r="H4203" s="62">
        <v>2048</v>
      </c>
      <c r="I4203">
        <v>82.717500000000001</v>
      </c>
    </row>
    <row r="4204" spans="1:9">
      <c r="A4204" t="s">
        <v>104</v>
      </c>
      <c r="B4204" t="s">
        <v>105</v>
      </c>
      <c r="C4204" t="s">
        <v>80</v>
      </c>
      <c r="D4204" t="s">
        <v>92</v>
      </c>
      <c r="E4204" t="s">
        <v>110</v>
      </c>
      <c r="F4204" t="s">
        <v>7</v>
      </c>
      <c r="G4204" t="s">
        <v>109</v>
      </c>
      <c r="H4204" s="62">
        <v>2048</v>
      </c>
      <c r="I4204">
        <v>3.6063000000000001</v>
      </c>
    </row>
    <row r="4205" spans="1:9">
      <c r="A4205" t="s">
        <v>104</v>
      </c>
      <c r="B4205" t="s">
        <v>105</v>
      </c>
      <c r="C4205" t="s">
        <v>80</v>
      </c>
      <c r="D4205" t="s">
        <v>92</v>
      </c>
      <c r="E4205" t="s">
        <v>95</v>
      </c>
      <c r="F4205" t="s">
        <v>7</v>
      </c>
      <c r="G4205" t="s">
        <v>109</v>
      </c>
      <c r="H4205" s="62">
        <v>2048</v>
      </c>
      <c r="I4205">
        <v>64.171599999999998</v>
      </c>
    </row>
    <row r="4206" spans="1:9">
      <c r="A4206" t="s">
        <v>104</v>
      </c>
      <c r="B4206" t="s">
        <v>105</v>
      </c>
      <c r="C4206" t="s">
        <v>80</v>
      </c>
      <c r="D4206" t="s">
        <v>96</v>
      </c>
      <c r="E4206" t="s">
        <v>92</v>
      </c>
      <c r="F4206" t="s">
        <v>7</v>
      </c>
      <c r="G4206" t="s">
        <v>109</v>
      </c>
      <c r="H4206" s="62">
        <v>2048</v>
      </c>
      <c r="I4206">
        <v>25.858699999999999</v>
      </c>
    </row>
    <row r="4207" spans="1:9">
      <c r="A4207" t="s">
        <v>104</v>
      </c>
      <c r="B4207" t="s">
        <v>105</v>
      </c>
      <c r="C4207" t="s">
        <v>80</v>
      </c>
      <c r="D4207" t="s">
        <v>96</v>
      </c>
      <c r="E4207" t="s">
        <v>89</v>
      </c>
      <c r="F4207" t="s">
        <v>7</v>
      </c>
      <c r="G4207" t="s">
        <v>109</v>
      </c>
      <c r="H4207" s="62">
        <v>2048</v>
      </c>
      <c r="I4207">
        <v>12.6378</v>
      </c>
    </row>
    <row r="4208" spans="1:9">
      <c r="A4208" t="s">
        <v>104</v>
      </c>
      <c r="B4208" t="s">
        <v>105</v>
      </c>
      <c r="C4208" t="s">
        <v>80</v>
      </c>
      <c r="D4208" t="s">
        <v>97</v>
      </c>
      <c r="E4208" t="s">
        <v>98</v>
      </c>
      <c r="F4208" t="s">
        <v>7</v>
      </c>
      <c r="G4208" t="s">
        <v>109</v>
      </c>
      <c r="H4208" s="62">
        <v>2048</v>
      </c>
      <c r="I4208">
        <v>55.413600000000002</v>
      </c>
    </row>
    <row r="4209" spans="1:9">
      <c r="A4209" t="s">
        <v>104</v>
      </c>
      <c r="B4209" t="s">
        <v>105</v>
      </c>
      <c r="C4209" t="s">
        <v>80</v>
      </c>
      <c r="D4209" t="s">
        <v>97</v>
      </c>
      <c r="E4209" t="s">
        <v>99</v>
      </c>
      <c r="F4209" t="s">
        <v>7</v>
      </c>
      <c r="G4209" t="s">
        <v>109</v>
      </c>
      <c r="H4209" s="62">
        <v>2048</v>
      </c>
      <c r="I4209">
        <v>0.74990000000000001</v>
      </c>
    </row>
    <row r="4210" spans="1:9">
      <c r="A4210" t="s">
        <v>104</v>
      </c>
      <c r="B4210" t="s">
        <v>105</v>
      </c>
      <c r="C4210" t="s">
        <v>80</v>
      </c>
      <c r="D4210" t="s">
        <v>100</v>
      </c>
      <c r="E4210" t="s">
        <v>101</v>
      </c>
      <c r="F4210" t="s">
        <v>7</v>
      </c>
      <c r="G4210" t="s">
        <v>109</v>
      </c>
      <c r="H4210" s="62">
        <v>2048</v>
      </c>
      <c r="I4210">
        <v>43.749299999999998</v>
      </c>
    </row>
    <row r="4211" spans="1:9">
      <c r="A4211" t="s">
        <v>104</v>
      </c>
      <c r="B4211" t="s">
        <v>105</v>
      </c>
      <c r="C4211" t="s">
        <v>80</v>
      </c>
      <c r="D4211" t="s">
        <v>100</v>
      </c>
      <c r="E4211" t="s">
        <v>102</v>
      </c>
      <c r="F4211" t="s">
        <v>7</v>
      </c>
      <c r="G4211" t="s">
        <v>109</v>
      </c>
      <c r="H4211" s="62">
        <v>2048</v>
      </c>
      <c r="I4211">
        <v>9.9983000000000004</v>
      </c>
    </row>
    <row r="4212" spans="1:9">
      <c r="A4212" t="s">
        <v>104</v>
      </c>
      <c r="B4212" t="s">
        <v>105</v>
      </c>
      <c r="C4212" t="s">
        <v>80</v>
      </c>
      <c r="D4212" t="s">
        <v>100</v>
      </c>
      <c r="E4212" t="s">
        <v>111</v>
      </c>
      <c r="F4212" t="s">
        <v>7</v>
      </c>
      <c r="G4212" t="s">
        <v>109</v>
      </c>
      <c r="H4212" s="62">
        <v>2048</v>
      </c>
      <c r="I4212">
        <v>0</v>
      </c>
    </row>
    <row r="4213" spans="1:9">
      <c r="A4213" t="s">
        <v>104</v>
      </c>
      <c r="B4213" t="s">
        <v>105</v>
      </c>
      <c r="C4213" t="s">
        <v>80</v>
      </c>
      <c r="D4213" t="s">
        <v>100</v>
      </c>
      <c r="E4213" t="s">
        <v>112</v>
      </c>
      <c r="F4213" t="s">
        <v>7</v>
      </c>
      <c r="G4213" t="s">
        <v>109</v>
      </c>
      <c r="H4213" s="62">
        <v>2048</v>
      </c>
      <c r="I4213">
        <v>0</v>
      </c>
    </row>
    <row r="4214" spans="1:9">
      <c r="A4214" t="s">
        <v>104</v>
      </c>
      <c r="B4214" t="s">
        <v>105</v>
      </c>
      <c r="C4214" t="s">
        <v>80</v>
      </c>
      <c r="D4214" t="s">
        <v>83</v>
      </c>
      <c r="E4214" t="s">
        <v>84</v>
      </c>
      <c r="F4214" t="s">
        <v>7</v>
      </c>
      <c r="G4214" t="s">
        <v>109</v>
      </c>
      <c r="H4214" s="62">
        <v>2048</v>
      </c>
      <c r="I4214">
        <v>6.8639999999999999</v>
      </c>
    </row>
    <row r="4215" spans="1:9">
      <c r="A4215" t="s">
        <v>104</v>
      </c>
      <c r="B4215" t="s">
        <v>105</v>
      </c>
      <c r="C4215" t="s">
        <v>80</v>
      </c>
      <c r="D4215" t="s">
        <v>83</v>
      </c>
      <c r="E4215" t="s">
        <v>85</v>
      </c>
      <c r="F4215" t="s">
        <v>7</v>
      </c>
      <c r="G4215" t="s">
        <v>109</v>
      </c>
      <c r="H4215" s="62">
        <v>2048</v>
      </c>
      <c r="I4215">
        <v>5.7923</v>
      </c>
    </row>
    <row r="4216" spans="1:9">
      <c r="A4216" t="s">
        <v>104</v>
      </c>
      <c r="B4216" t="s">
        <v>105</v>
      </c>
      <c r="C4216" t="s">
        <v>80</v>
      </c>
      <c r="D4216" t="s">
        <v>86</v>
      </c>
      <c r="E4216" t="s">
        <v>106</v>
      </c>
      <c r="F4216" t="s">
        <v>7</v>
      </c>
      <c r="G4216" t="s">
        <v>109</v>
      </c>
      <c r="H4216" s="62">
        <v>2048</v>
      </c>
      <c r="I4216">
        <v>4.0155000000000003</v>
      </c>
    </row>
    <row r="4217" spans="1:9">
      <c r="A4217" t="s">
        <v>104</v>
      </c>
      <c r="B4217" t="s">
        <v>105</v>
      </c>
      <c r="C4217" t="s">
        <v>80</v>
      </c>
      <c r="D4217" t="s">
        <v>86</v>
      </c>
      <c r="E4217" t="s">
        <v>87</v>
      </c>
      <c r="F4217" t="s">
        <v>7</v>
      </c>
      <c r="G4217" t="s">
        <v>109</v>
      </c>
      <c r="H4217" s="62">
        <v>2048</v>
      </c>
      <c r="I4217">
        <v>22.659300000000002</v>
      </c>
    </row>
    <row r="4218" spans="1:9">
      <c r="A4218" t="s">
        <v>104</v>
      </c>
      <c r="B4218" t="s">
        <v>105</v>
      </c>
      <c r="C4218" t="s">
        <v>80</v>
      </c>
      <c r="D4218" t="s">
        <v>103</v>
      </c>
      <c r="E4218" t="s">
        <v>92</v>
      </c>
      <c r="F4218" t="s">
        <v>7</v>
      </c>
      <c r="G4218" t="s">
        <v>109</v>
      </c>
      <c r="H4218" s="62">
        <v>2048</v>
      </c>
      <c r="I4218">
        <v>16.212</v>
      </c>
    </row>
    <row r="4219" spans="1:9">
      <c r="A4219" t="s">
        <v>104</v>
      </c>
      <c r="B4219" t="s">
        <v>105</v>
      </c>
      <c r="C4219" t="s">
        <v>80</v>
      </c>
      <c r="D4219" t="s">
        <v>103</v>
      </c>
      <c r="E4219" t="s">
        <v>89</v>
      </c>
      <c r="F4219" t="s">
        <v>7</v>
      </c>
      <c r="G4219" t="s">
        <v>109</v>
      </c>
      <c r="H4219" s="62">
        <v>2048</v>
      </c>
      <c r="I4219">
        <v>78.267700000000005</v>
      </c>
    </row>
    <row r="4220" spans="1:9">
      <c r="A4220" t="s">
        <v>104</v>
      </c>
      <c r="B4220" t="s">
        <v>105</v>
      </c>
      <c r="C4220" t="s">
        <v>107</v>
      </c>
      <c r="D4220" t="s">
        <v>107</v>
      </c>
      <c r="E4220" t="s">
        <v>107</v>
      </c>
      <c r="F4220" t="s">
        <v>7</v>
      </c>
      <c r="G4220" t="s">
        <v>109</v>
      </c>
      <c r="H4220" s="62">
        <v>2049</v>
      </c>
      <c r="I4220">
        <v>270.38529999999997</v>
      </c>
    </row>
    <row r="4221" spans="1:9">
      <c r="A4221" t="s">
        <v>104</v>
      </c>
      <c r="B4221" t="s">
        <v>105</v>
      </c>
      <c r="C4221" t="s">
        <v>107</v>
      </c>
      <c r="D4221" t="s">
        <v>108</v>
      </c>
      <c r="E4221" t="s">
        <v>108</v>
      </c>
      <c r="F4221" t="s">
        <v>7</v>
      </c>
      <c r="G4221" t="s">
        <v>109</v>
      </c>
      <c r="H4221" s="62">
        <v>2049</v>
      </c>
      <c r="I4221">
        <v>0.72819999999999996</v>
      </c>
    </row>
    <row r="4222" spans="1:9">
      <c r="A4222" t="s">
        <v>104</v>
      </c>
      <c r="B4222" t="s">
        <v>105</v>
      </c>
      <c r="C4222" t="s">
        <v>80</v>
      </c>
      <c r="D4222" t="s">
        <v>80</v>
      </c>
      <c r="E4222" t="s">
        <v>80</v>
      </c>
      <c r="F4222" t="s">
        <v>7</v>
      </c>
      <c r="G4222" t="s">
        <v>109</v>
      </c>
      <c r="H4222" s="62">
        <v>2049</v>
      </c>
      <c r="I4222">
        <v>269.65710000000001</v>
      </c>
    </row>
    <row r="4223" spans="1:9">
      <c r="A4223" t="s">
        <v>104</v>
      </c>
      <c r="B4223" t="s">
        <v>105</v>
      </c>
      <c r="C4223" t="s">
        <v>80</v>
      </c>
      <c r="D4223" t="s">
        <v>89</v>
      </c>
      <c r="E4223" t="s">
        <v>90</v>
      </c>
      <c r="F4223" t="s">
        <v>7</v>
      </c>
      <c r="G4223" t="s">
        <v>109</v>
      </c>
      <c r="H4223" s="62">
        <v>2049</v>
      </c>
      <c r="I4223">
        <v>-22.089099999999998</v>
      </c>
    </row>
    <row r="4224" spans="1:9">
      <c r="A4224" t="s">
        <v>104</v>
      </c>
      <c r="B4224" t="s">
        <v>105</v>
      </c>
      <c r="C4224" t="s">
        <v>80</v>
      </c>
      <c r="D4224" t="s">
        <v>89</v>
      </c>
      <c r="E4224" t="s">
        <v>91</v>
      </c>
      <c r="F4224" t="s">
        <v>7</v>
      </c>
      <c r="G4224" t="s">
        <v>109</v>
      </c>
      <c r="H4224" s="62">
        <v>2049</v>
      </c>
      <c r="I4224">
        <v>5.7107000000000001</v>
      </c>
    </row>
    <row r="4225" spans="1:9">
      <c r="A4225" t="s">
        <v>104</v>
      </c>
      <c r="B4225" t="s">
        <v>105</v>
      </c>
      <c r="C4225" t="s">
        <v>80</v>
      </c>
      <c r="D4225" t="s">
        <v>92</v>
      </c>
      <c r="E4225" t="s">
        <v>93</v>
      </c>
      <c r="F4225" t="s">
        <v>7</v>
      </c>
      <c r="G4225" t="s">
        <v>109</v>
      </c>
      <c r="H4225" s="62">
        <v>2049</v>
      </c>
      <c r="I4225">
        <v>-33.737400000000001</v>
      </c>
    </row>
    <row r="4226" spans="1:9">
      <c r="A4226" t="s">
        <v>104</v>
      </c>
      <c r="B4226" t="s">
        <v>105</v>
      </c>
      <c r="C4226" t="s">
        <v>80</v>
      </c>
      <c r="D4226" t="s">
        <v>92</v>
      </c>
      <c r="E4226" t="s">
        <v>94</v>
      </c>
      <c r="F4226" t="s">
        <v>7</v>
      </c>
      <c r="G4226" t="s">
        <v>109</v>
      </c>
      <c r="H4226" s="62">
        <v>2049</v>
      </c>
      <c r="I4226">
        <v>82.836799999999997</v>
      </c>
    </row>
    <row r="4227" spans="1:9">
      <c r="A4227" t="s">
        <v>104</v>
      </c>
      <c r="B4227" t="s">
        <v>105</v>
      </c>
      <c r="C4227" t="s">
        <v>80</v>
      </c>
      <c r="D4227" t="s">
        <v>92</v>
      </c>
      <c r="E4227" t="s">
        <v>110</v>
      </c>
      <c r="F4227" t="s">
        <v>7</v>
      </c>
      <c r="G4227" t="s">
        <v>109</v>
      </c>
      <c r="H4227" s="62">
        <v>2049</v>
      </c>
      <c r="I4227">
        <v>3.3681000000000001</v>
      </c>
    </row>
    <row r="4228" spans="1:9">
      <c r="A4228" t="s">
        <v>104</v>
      </c>
      <c r="B4228" t="s">
        <v>105</v>
      </c>
      <c r="C4228" t="s">
        <v>80</v>
      </c>
      <c r="D4228" t="s">
        <v>92</v>
      </c>
      <c r="E4228" t="s">
        <v>95</v>
      </c>
      <c r="F4228" t="s">
        <v>7</v>
      </c>
      <c r="G4228" t="s">
        <v>109</v>
      </c>
      <c r="H4228" s="62">
        <v>2049</v>
      </c>
      <c r="I4228">
        <v>65.352099999999993</v>
      </c>
    </row>
    <row r="4229" spans="1:9">
      <c r="A4229" t="s">
        <v>104</v>
      </c>
      <c r="B4229" t="s">
        <v>105</v>
      </c>
      <c r="C4229" t="s">
        <v>80</v>
      </c>
      <c r="D4229" t="s">
        <v>96</v>
      </c>
      <c r="E4229" t="s">
        <v>92</v>
      </c>
      <c r="F4229" t="s">
        <v>7</v>
      </c>
      <c r="G4229" t="s">
        <v>109</v>
      </c>
      <c r="H4229" s="62">
        <v>2049</v>
      </c>
      <c r="I4229">
        <v>25.561199999999999</v>
      </c>
    </row>
    <row r="4230" spans="1:9">
      <c r="A4230" t="s">
        <v>104</v>
      </c>
      <c r="B4230" t="s">
        <v>105</v>
      </c>
      <c r="C4230" t="s">
        <v>80</v>
      </c>
      <c r="D4230" t="s">
        <v>96</v>
      </c>
      <c r="E4230" t="s">
        <v>89</v>
      </c>
      <c r="F4230" t="s">
        <v>7</v>
      </c>
      <c r="G4230" t="s">
        <v>109</v>
      </c>
      <c r="H4230" s="62">
        <v>2049</v>
      </c>
      <c r="I4230">
        <v>13.0746</v>
      </c>
    </row>
    <row r="4231" spans="1:9">
      <c r="A4231" t="s">
        <v>104</v>
      </c>
      <c r="B4231" t="s">
        <v>105</v>
      </c>
      <c r="C4231" t="s">
        <v>80</v>
      </c>
      <c r="D4231" t="s">
        <v>97</v>
      </c>
      <c r="E4231" t="s">
        <v>98</v>
      </c>
      <c r="F4231" t="s">
        <v>7</v>
      </c>
      <c r="G4231" t="s">
        <v>109</v>
      </c>
      <c r="H4231" s="62">
        <v>2049</v>
      </c>
      <c r="I4231">
        <v>58.5931</v>
      </c>
    </row>
    <row r="4232" spans="1:9">
      <c r="A4232" t="s">
        <v>104</v>
      </c>
      <c r="B4232" t="s">
        <v>105</v>
      </c>
      <c r="C4232" t="s">
        <v>80</v>
      </c>
      <c r="D4232" t="s">
        <v>97</v>
      </c>
      <c r="E4232" t="s">
        <v>99</v>
      </c>
      <c r="F4232" t="s">
        <v>7</v>
      </c>
      <c r="G4232" t="s">
        <v>109</v>
      </c>
      <c r="H4232" s="62">
        <v>2049</v>
      </c>
      <c r="I4232">
        <v>0.83020000000000005</v>
      </c>
    </row>
    <row r="4233" spans="1:9">
      <c r="A4233" t="s">
        <v>104</v>
      </c>
      <c r="B4233" t="s">
        <v>105</v>
      </c>
      <c r="C4233" t="s">
        <v>80</v>
      </c>
      <c r="D4233" t="s">
        <v>100</v>
      </c>
      <c r="E4233" t="s">
        <v>101</v>
      </c>
      <c r="F4233" t="s">
        <v>7</v>
      </c>
      <c r="G4233" t="s">
        <v>109</v>
      </c>
      <c r="H4233" s="62">
        <v>2049</v>
      </c>
      <c r="I4233">
        <v>46.945300000000003</v>
      </c>
    </row>
    <row r="4234" spans="1:9">
      <c r="A4234" t="s">
        <v>104</v>
      </c>
      <c r="B4234" t="s">
        <v>105</v>
      </c>
      <c r="C4234" t="s">
        <v>80</v>
      </c>
      <c r="D4234" t="s">
        <v>100</v>
      </c>
      <c r="E4234" t="s">
        <v>102</v>
      </c>
      <c r="F4234" t="s">
        <v>7</v>
      </c>
      <c r="G4234" t="s">
        <v>109</v>
      </c>
      <c r="H4234" s="62">
        <v>2049</v>
      </c>
      <c r="I4234">
        <v>10.515000000000001</v>
      </c>
    </row>
    <row r="4235" spans="1:9">
      <c r="A4235" t="s">
        <v>104</v>
      </c>
      <c r="B4235" t="s">
        <v>105</v>
      </c>
      <c r="C4235" t="s">
        <v>80</v>
      </c>
      <c r="D4235" t="s">
        <v>100</v>
      </c>
      <c r="E4235" t="s">
        <v>111</v>
      </c>
      <c r="F4235" t="s">
        <v>7</v>
      </c>
      <c r="G4235" t="s">
        <v>109</v>
      </c>
      <c r="H4235" s="62">
        <v>2049</v>
      </c>
      <c r="I4235">
        <v>0</v>
      </c>
    </row>
    <row r="4236" spans="1:9">
      <c r="A4236" t="s">
        <v>104</v>
      </c>
      <c r="B4236" t="s">
        <v>105</v>
      </c>
      <c r="C4236" t="s">
        <v>80</v>
      </c>
      <c r="D4236" t="s">
        <v>100</v>
      </c>
      <c r="E4236" t="s">
        <v>112</v>
      </c>
      <c r="F4236" t="s">
        <v>7</v>
      </c>
      <c r="G4236" t="s">
        <v>109</v>
      </c>
      <c r="H4236" s="62">
        <v>2049</v>
      </c>
      <c r="I4236">
        <v>0</v>
      </c>
    </row>
    <row r="4237" spans="1:9">
      <c r="A4237" t="s">
        <v>104</v>
      </c>
      <c r="B4237" t="s">
        <v>105</v>
      </c>
      <c r="C4237" t="s">
        <v>80</v>
      </c>
      <c r="D4237" t="s">
        <v>83</v>
      </c>
      <c r="E4237" t="s">
        <v>84</v>
      </c>
      <c r="F4237" t="s">
        <v>7</v>
      </c>
      <c r="G4237" t="s">
        <v>109</v>
      </c>
      <c r="H4237" s="62">
        <v>2049</v>
      </c>
      <c r="I4237">
        <v>6.8747999999999996</v>
      </c>
    </row>
    <row r="4238" spans="1:9">
      <c r="A4238" t="s">
        <v>104</v>
      </c>
      <c r="B4238" t="s">
        <v>105</v>
      </c>
      <c r="C4238" t="s">
        <v>80</v>
      </c>
      <c r="D4238" t="s">
        <v>83</v>
      </c>
      <c r="E4238" t="s">
        <v>85</v>
      </c>
      <c r="F4238" t="s">
        <v>7</v>
      </c>
      <c r="G4238" t="s">
        <v>109</v>
      </c>
      <c r="H4238" s="62">
        <v>2049</v>
      </c>
      <c r="I4238">
        <v>5.8216999999999999</v>
      </c>
    </row>
    <row r="4239" spans="1:9">
      <c r="A4239" t="s">
        <v>104</v>
      </c>
      <c r="B4239" t="s">
        <v>105</v>
      </c>
      <c r="C4239" t="s">
        <v>80</v>
      </c>
      <c r="D4239" t="s">
        <v>86</v>
      </c>
      <c r="E4239" t="s">
        <v>106</v>
      </c>
      <c r="F4239" t="s">
        <v>7</v>
      </c>
      <c r="G4239" t="s">
        <v>109</v>
      </c>
      <c r="H4239" s="62">
        <v>2049</v>
      </c>
      <c r="I4239">
        <v>4.0422000000000002</v>
      </c>
    </row>
    <row r="4240" spans="1:9">
      <c r="A4240" t="s">
        <v>104</v>
      </c>
      <c r="B4240" t="s">
        <v>105</v>
      </c>
      <c r="C4240" t="s">
        <v>80</v>
      </c>
      <c r="D4240" t="s">
        <v>86</v>
      </c>
      <c r="E4240" t="s">
        <v>87</v>
      </c>
      <c r="F4240" t="s">
        <v>7</v>
      </c>
      <c r="G4240" t="s">
        <v>109</v>
      </c>
      <c r="H4240" s="62">
        <v>2049</v>
      </c>
      <c r="I4240">
        <v>23.9846</v>
      </c>
    </row>
    <row r="4241" spans="1:9">
      <c r="A4241" t="s">
        <v>104</v>
      </c>
      <c r="B4241" t="s">
        <v>105</v>
      </c>
      <c r="C4241" t="s">
        <v>80</v>
      </c>
      <c r="D4241" t="s">
        <v>103</v>
      </c>
      <c r="E4241" t="s">
        <v>92</v>
      </c>
      <c r="F4241" t="s">
        <v>7</v>
      </c>
      <c r="G4241" t="s">
        <v>109</v>
      </c>
      <c r="H4241" s="62">
        <v>2049</v>
      </c>
      <c r="I4241">
        <v>16.8748</v>
      </c>
    </row>
    <row r="4242" spans="1:9">
      <c r="A4242" t="s">
        <v>104</v>
      </c>
      <c r="B4242" t="s">
        <v>105</v>
      </c>
      <c r="C4242" t="s">
        <v>80</v>
      </c>
      <c r="D4242" t="s">
        <v>103</v>
      </c>
      <c r="E4242" t="s">
        <v>89</v>
      </c>
      <c r="F4242" t="s">
        <v>7</v>
      </c>
      <c r="G4242" t="s">
        <v>109</v>
      </c>
      <c r="H4242" s="62">
        <v>2049</v>
      </c>
      <c r="I4242">
        <v>81.020700000000005</v>
      </c>
    </row>
    <row r="4243" spans="1:9">
      <c r="A4243" t="s">
        <v>104</v>
      </c>
      <c r="B4243" t="s">
        <v>105</v>
      </c>
      <c r="C4243" t="s">
        <v>107</v>
      </c>
      <c r="D4243" t="s">
        <v>107</v>
      </c>
      <c r="E4243" t="s">
        <v>107</v>
      </c>
      <c r="F4243" t="s">
        <v>7</v>
      </c>
      <c r="G4243" t="s">
        <v>109</v>
      </c>
      <c r="H4243" s="62">
        <v>2050</v>
      </c>
      <c r="I4243">
        <v>273.06020000000001</v>
      </c>
    </row>
    <row r="4244" spans="1:9">
      <c r="A4244" t="s">
        <v>104</v>
      </c>
      <c r="B4244" t="s">
        <v>105</v>
      </c>
      <c r="C4244" t="s">
        <v>107</v>
      </c>
      <c r="D4244" t="s">
        <v>108</v>
      </c>
      <c r="E4244" t="s">
        <v>108</v>
      </c>
      <c r="F4244" t="s">
        <v>7</v>
      </c>
      <c r="G4244" t="s">
        <v>109</v>
      </c>
      <c r="H4244" s="62">
        <v>2050</v>
      </c>
      <c r="I4244">
        <v>0.72929999999999995</v>
      </c>
    </row>
    <row r="4245" spans="1:9">
      <c r="A4245" t="s">
        <v>104</v>
      </c>
      <c r="B4245" t="s">
        <v>105</v>
      </c>
      <c r="C4245" t="s">
        <v>80</v>
      </c>
      <c r="D4245" t="s">
        <v>80</v>
      </c>
      <c r="E4245" t="s">
        <v>80</v>
      </c>
      <c r="F4245" t="s">
        <v>7</v>
      </c>
      <c r="G4245" t="s">
        <v>109</v>
      </c>
      <c r="H4245" s="62">
        <v>2050</v>
      </c>
      <c r="I4245">
        <v>272.33089999999999</v>
      </c>
    </row>
    <row r="4246" spans="1:9">
      <c r="A4246" t="s">
        <v>104</v>
      </c>
      <c r="B4246" t="s">
        <v>105</v>
      </c>
      <c r="C4246" t="s">
        <v>80</v>
      </c>
      <c r="D4246" t="s">
        <v>89</v>
      </c>
      <c r="E4246" t="s">
        <v>90</v>
      </c>
      <c r="F4246" t="s">
        <v>7</v>
      </c>
      <c r="G4246" t="s">
        <v>109</v>
      </c>
      <c r="H4246" s="62">
        <v>2050</v>
      </c>
      <c r="I4246">
        <v>-24.538699999999999</v>
      </c>
    </row>
    <row r="4247" spans="1:9">
      <c r="A4247" t="s">
        <v>104</v>
      </c>
      <c r="B4247" t="s">
        <v>105</v>
      </c>
      <c r="C4247" t="s">
        <v>80</v>
      </c>
      <c r="D4247" t="s">
        <v>89</v>
      </c>
      <c r="E4247" t="s">
        <v>91</v>
      </c>
      <c r="F4247" t="s">
        <v>7</v>
      </c>
      <c r="G4247" t="s">
        <v>109</v>
      </c>
      <c r="H4247" s="62">
        <v>2050</v>
      </c>
      <c r="I4247">
        <v>6.8339999999999996</v>
      </c>
    </row>
    <row r="4248" spans="1:9">
      <c r="A4248" t="s">
        <v>104</v>
      </c>
      <c r="B4248" t="s">
        <v>105</v>
      </c>
      <c r="C4248" t="s">
        <v>80</v>
      </c>
      <c r="D4248" t="s">
        <v>92</v>
      </c>
      <c r="E4248" t="s">
        <v>93</v>
      </c>
      <c r="F4248" t="s">
        <v>7</v>
      </c>
      <c r="G4248" t="s">
        <v>109</v>
      </c>
      <c r="H4248" s="62">
        <v>2050</v>
      </c>
      <c r="I4248">
        <v>-36.698999999999998</v>
      </c>
    </row>
    <row r="4249" spans="1:9">
      <c r="A4249" t="s">
        <v>104</v>
      </c>
      <c r="B4249" t="s">
        <v>105</v>
      </c>
      <c r="C4249" t="s">
        <v>80</v>
      </c>
      <c r="D4249" t="s">
        <v>92</v>
      </c>
      <c r="E4249" t="s">
        <v>94</v>
      </c>
      <c r="F4249" t="s">
        <v>7</v>
      </c>
      <c r="G4249" t="s">
        <v>109</v>
      </c>
      <c r="H4249" s="62">
        <v>2050</v>
      </c>
      <c r="I4249">
        <v>83.005600000000001</v>
      </c>
    </row>
    <row r="4250" spans="1:9">
      <c r="A4250" t="s">
        <v>104</v>
      </c>
      <c r="B4250" t="s">
        <v>105</v>
      </c>
      <c r="C4250" t="s">
        <v>80</v>
      </c>
      <c r="D4250" t="s">
        <v>92</v>
      </c>
      <c r="E4250" t="s">
        <v>110</v>
      </c>
      <c r="F4250" t="s">
        <v>7</v>
      </c>
      <c r="G4250" t="s">
        <v>109</v>
      </c>
      <c r="H4250" s="62">
        <v>2050</v>
      </c>
      <c r="I4250">
        <v>3.1297999999999999</v>
      </c>
    </row>
    <row r="4251" spans="1:9">
      <c r="A4251" t="s">
        <v>104</v>
      </c>
      <c r="B4251" t="s">
        <v>105</v>
      </c>
      <c r="C4251" t="s">
        <v>80</v>
      </c>
      <c r="D4251" t="s">
        <v>92</v>
      </c>
      <c r="E4251" t="s">
        <v>95</v>
      </c>
      <c r="F4251" t="s">
        <v>7</v>
      </c>
      <c r="G4251" t="s">
        <v>109</v>
      </c>
      <c r="H4251" s="62">
        <v>2050</v>
      </c>
      <c r="I4251">
        <v>66.599000000000004</v>
      </c>
    </row>
    <row r="4252" spans="1:9">
      <c r="A4252" t="s">
        <v>104</v>
      </c>
      <c r="B4252" t="s">
        <v>105</v>
      </c>
      <c r="C4252" t="s">
        <v>80</v>
      </c>
      <c r="D4252" t="s">
        <v>96</v>
      </c>
      <c r="E4252" t="s">
        <v>92</v>
      </c>
      <c r="F4252" t="s">
        <v>7</v>
      </c>
      <c r="G4252" t="s">
        <v>109</v>
      </c>
      <c r="H4252" s="62">
        <v>2050</v>
      </c>
      <c r="I4252">
        <v>25.3401</v>
      </c>
    </row>
    <row r="4253" spans="1:9">
      <c r="A4253" t="s">
        <v>104</v>
      </c>
      <c r="B4253" t="s">
        <v>105</v>
      </c>
      <c r="C4253" t="s">
        <v>80</v>
      </c>
      <c r="D4253" t="s">
        <v>96</v>
      </c>
      <c r="E4253" t="s">
        <v>89</v>
      </c>
      <c r="F4253" t="s">
        <v>7</v>
      </c>
      <c r="G4253" t="s">
        <v>109</v>
      </c>
      <c r="H4253" s="62">
        <v>2050</v>
      </c>
      <c r="I4253">
        <v>13.396599999999999</v>
      </c>
    </row>
    <row r="4254" spans="1:9">
      <c r="A4254" t="s">
        <v>104</v>
      </c>
      <c r="B4254" t="s">
        <v>105</v>
      </c>
      <c r="C4254" t="s">
        <v>80</v>
      </c>
      <c r="D4254" t="s">
        <v>97</v>
      </c>
      <c r="E4254" t="s">
        <v>98</v>
      </c>
      <c r="F4254" t="s">
        <v>7</v>
      </c>
      <c r="G4254" t="s">
        <v>109</v>
      </c>
      <c r="H4254" s="62">
        <v>2050</v>
      </c>
      <c r="I4254">
        <v>61.912500000000001</v>
      </c>
    </row>
    <row r="4255" spans="1:9">
      <c r="A4255" t="s">
        <v>104</v>
      </c>
      <c r="B4255" t="s">
        <v>105</v>
      </c>
      <c r="C4255" t="s">
        <v>80</v>
      </c>
      <c r="D4255" t="s">
        <v>97</v>
      </c>
      <c r="E4255" t="s">
        <v>99</v>
      </c>
      <c r="F4255" t="s">
        <v>7</v>
      </c>
      <c r="G4255" t="s">
        <v>109</v>
      </c>
      <c r="H4255" s="62">
        <v>2050</v>
      </c>
      <c r="I4255">
        <v>0.91690000000000005</v>
      </c>
    </row>
    <row r="4256" spans="1:9">
      <c r="A4256" t="s">
        <v>104</v>
      </c>
      <c r="B4256" t="s">
        <v>105</v>
      </c>
      <c r="C4256" t="s">
        <v>80</v>
      </c>
      <c r="D4256" t="s">
        <v>100</v>
      </c>
      <c r="E4256" t="s">
        <v>101</v>
      </c>
      <c r="F4256" t="s">
        <v>7</v>
      </c>
      <c r="G4256" t="s">
        <v>109</v>
      </c>
      <c r="H4256" s="62">
        <v>2050</v>
      </c>
      <c r="I4256">
        <v>48.594900000000003</v>
      </c>
    </row>
    <row r="4257" spans="1:9">
      <c r="A4257" t="s">
        <v>104</v>
      </c>
      <c r="B4257" t="s">
        <v>105</v>
      </c>
      <c r="C4257" t="s">
        <v>80</v>
      </c>
      <c r="D4257" t="s">
        <v>100</v>
      </c>
      <c r="E4257" t="s">
        <v>102</v>
      </c>
      <c r="F4257" t="s">
        <v>7</v>
      </c>
      <c r="G4257" t="s">
        <v>109</v>
      </c>
      <c r="H4257" s="62">
        <v>2050</v>
      </c>
      <c r="I4257">
        <v>11.0318</v>
      </c>
    </row>
    <row r="4258" spans="1:9">
      <c r="A4258" t="s">
        <v>104</v>
      </c>
      <c r="B4258" t="s">
        <v>105</v>
      </c>
      <c r="C4258" t="s">
        <v>80</v>
      </c>
      <c r="D4258" t="s">
        <v>100</v>
      </c>
      <c r="E4258" t="s">
        <v>111</v>
      </c>
      <c r="F4258" t="s">
        <v>7</v>
      </c>
      <c r="G4258" t="s">
        <v>109</v>
      </c>
      <c r="H4258" s="62">
        <v>2050</v>
      </c>
      <c r="I4258">
        <v>0</v>
      </c>
    </row>
    <row r="4259" spans="1:9">
      <c r="A4259" t="s">
        <v>104</v>
      </c>
      <c r="B4259" t="s">
        <v>105</v>
      </c>
      <c r="C4259" t="s">
        <v>80</v>
      </c>
      <c r="D4259" t="s">
        <v>100</v>
      </c>
      <c r="E4259" t="s">
        <v>112</v>
      </c>
      <c r="F4259" t="s">
        <v>7</v>
      </c>
      <c r="G4259" t="s">
        <v>109</v>
      </c>
      <c r="H4259" s="62">
        <v>2050</v>
      </c>
      <c r="I4259">
        <v>0</v>
      </c>
    </row>
    <row r="4260" spans="1:9">
      <c r="A4260" t="s">
        <v>104</v>
      </c>
      <c r="B4260" t="s">
        <v>105</v>
      </c>
      <c r="C4260" t="s">
        <v>80</v>
      </c>
      <c r="D4260" t="s">
        <v>83</v>
      </c>
      <c r="E4260" t="s">
        <v>84</v>
      </c>
      <c r="F4260" t="s">
        <v>7</v>
      </c>
      <c r="G4260" t="s">
        <v>109</v>
      </c>
      <c r="H4260" s="62">
        <v>2050</v>
      </c>
      <c r="I4260">
        <v>6.9283999999999999</v>
      </c>
    </row>
    <row r="4261" spans="1:9">
      <c r="A4261" t="s">
        <v>104</v>
      </c>
      <c r="B4261" t="s">
        <v>105</v>
      </c>
      <c r="C4261" t="s">
        <v>80</v>
      </c>
      <c r="D4261" t="s">
        <v>83</v>
      </c>
      <c r="E4261" t="s">
        <v>85</v>
      </c>
      <c r="F4261" t="s">
        <v>7</v>
      </c>
      <c r="G4261" t="s">
        <v>109</v>
      </c>
      <c r="H4261" s="62">
        <v>2050</v>
      </c>
      <c r="I4261">
        <v>5.8788999999999998</v>
      </c>
    </row>
    <row r="4262" spans="1:9">
      <c r="A4262" t="s">
        <v>104</v>
      </c>
      <c r="B4262" t="s">
        <v>105</v>
      </c>
      <c r="C4262" t="s">
        <v>80</v>
      </c>
      <c r="D4262" t="s">
        <v>86</v>
      </c>
      <c r="E4262" t="s">
        <v>106</v>
      </c>
      <c r="F4262" t="s">
        <v>7</v>
      </c>
      <c r="G4262" t="s">
        <v>109</v>
      </c>
      <c r="H4262" s="62">
        <v>2050</v>
      </c>
      <c r="I4262">
        <v>4.0797999999999996</v>
      </c>
    </row>
    <row r="4263" spans="1:9">
      <c r="A4263" t="s">
        <v>104</v>
      </c>
      <c r="B4263" t="s">
        <v>105</v>
      </c>
      <c r="C4263" t="s">
        <v>80</v>
      </c>
      <c r="D4263" t="s">
        <v>86</v>
      </c>
      <c r="E4263" t="s">
        <v>87</v>
      </c>
      <c r="F4263" t="s">
        <v>7</v>
      </c>
      <c r="G4263" t="s">
        <v>109</v>
      </c>
      <c r="H4263" s="62">
        <v>2050</v>
      </c>
      <c r="I4263">
        <v>25.7852</v>
      </c>
    </row>
    <row r="4264" spans="1:9">
      <c r="A4264" t="s">
        <v>104</v>
      </c>
      <c r="B4264" t="s">
        <v>105</v>
      </c>
      <c r="C4264" t="s">
        <v>80</v>
      </c>
      <c r="D4264" t="s">
        <v>103</v>
      </c>
      <c r="E4264" t="s">
        <v>92</v>
      </c>
      <c r="F4264" t="s">
        <v>7</v>
      </c>
      <c r="G4264" t="s">
        <v>109</v>
      </c>
      <c r="H4264" s="62">
        <v>2050</v>
      </c>
      <c r="I4264">
        <v>17.5244</v>
      </c>
    </row>
    <row r="4265" spans="1:9">
      <c r="A4265" t="s">
        <v>104</v>
      </c>
      <c r="B4265" t="s">
        <v>105</v>
      </c>
      <c r="C4265" t="s">
        <v>80</v>
      </c>
      <c r="D4265" t="s">
        <v>103</v>
      </c>
      <c r="E4265" t="s">
        <v>89</v>
      </c>
      <c r="F4265" t="s">
        <v>7</v>
      </c>
      <c r="G4265" t="s">
        <v>109</v>
      </c>
      <c r="H4265" s="62">
        <v>2050</v>
      </c>
      <c r="I4265">
        <v>83.603200000000001</v>
      </c>
    </row>
    <row r="4266" spans="1:9">
      <c r="A4266" t="s">
        <v>104</v>
      </c>
      <c r="B4266" t="s">
        <v>105</v>
      </c>
      <c r="C4266" t="s">
        <v>107</v>
      </c>
      <c r="D4266" t="s">
        <v>107</v>
      </c>
      <c r="E4266" t="s">
        <v>107</v>
      </c>
      <c r="F4266" t="s">
        <v>7</v>
      </c>
      <c r="G4266" t="s">
        <v>109</v>
      </c>
      <c r="H4266" s="62">
        <v>2051</v>
      </c>
      <c r="I4266">
        <v>275.8467</v>
      </c>
    </row>
    <row r="4267" spans="1:9">
      <c r="A4267" t="s">
        <v>104</v>
      </c>
      <c r="B4267" t="s">
        <v>105</v>
      </c>
      <c r="C4267" t="s">
        <v>107</v>
      </c>
      <c r="D4267" t="s">
        <v>108</v>
      </c>
      <c r="E4267" t="s">
        <v>108</v>
      </c>
      <c r="F4267" t="s">
        <v>7</v>
      </c>
      <c r="G4267" t="s">
        <v>109</v>
      </c>
      <c r="H4267" s="62">
        <v>2051</v>
      </c>
      <c r="I4267">
        <v>0.73329999999999995</v>
      </c>
    </row>
    <row r="4268" spans="1:9">
      <c r="A4268" t="s">
        <v>104</v>
      </c>
      <c r="B4268" t="s">
        <v>105</v>
      </c>
      <c r="C4268" t="s">
        <v>80</v>
      </c>
      <c r="D4268" t="s">
        <v>80</v>
      </c>
      <c r="E4268" t="s">
        <v>80</v>
      </c>
      <c r="F4268" t="s">
        <v>7</v>
      </c>
      <c r="G4268" t="s">
        <v>109</v>
      </c>
      <c r="H4268" s="62">
        <v>2051</v>
      </c>
      <c r="I4268">
        <v>275.11340000000001</v>
      </c>
    </row>
    <row r="4269" spans="1:9">
      <c r="A4269" t="s">
        <v>104</v>
      </c>
      <c r="B4269" t="s">
        <v>105</v>
      </c>
      <c r="C4269" t="s">
        <v>80</v>
      </c>
      <c r="D4269" t="s">
        <v>89</v>
      </c>
      <c r="E4269" t="s">
        <v>90</v>
      </c>
      <c r="F4269" t="s">
        <v>7</v>
      </c>
      <c r="G4269" t="s">
        <v>109</v>
      </c>
      <c r="H4269" s="62">
        <v>2051</v>
      </c>
      <c r="I4269">
        <v>-26.470199999999998</v>
      </c>
    </row>
    <row r="4270" spans="1:9">
      <c r="A4270" t="s">
        <v>104</v>
      </c>
      <c r="B4270" t="s">
        <v>105</v>
      </c>
      <c r="C4270" t="s">
        <v>80</v>
      </c>
      <c r="D4270" t="s">
        <v>89</v>
      </c>
      <c r="E4270" t="s">
        <v>91</v>
      </c>
      <c r="F4270" t="s">
        <v>7</v>
      </c>
      <c r="G4270" t="s">
        <v>109</v>
      </c>
      <c r="H4270" s="62">
        <v>2051</v>
      </c>
      <c r="I4270">
        <v>7.8803000000000001</v>
      </c>
    </row>
    <row r="4271" spans="1:9">
      <c r="A4271" t="s">
        <v>104</v>
      </c>
      <c r="B4271" t="s">
        <v>105</v>
      </c>
      <c r="C4271" t="s">
        <v>80</v>
      </c>
      <c r="D4271" t="s">
        <v>92</v>
      </c>
      <c r="E4271" t="s">
        <v>93</v>
      </c>
      <c r="F4271" t="s">
        <v>7</v>
      </c>
      <c r="G4271" t="s">
        <v>109</v>
      </c>
      <c r="H4271" s="62">
        <v>2051</v>
      </c>
      <c r="I4271">
        <v>-39.324399999999997</v>
      </c>
    </row>
    <row r="4272" spans="1:9">
      <c r="A4272" t="s">
        <v>104</v>
      </c>
      <c r="B4272" t="s">
        <v>105</v>
      </c>
      <c r="C4272" t="s">
        <v>80</v>
      </c>
      <c r="D4272" t="s">
        <v>92</v>
      </c>
      <c r="E4272" t="s">
        <v>94</v>
      </c>
      <c r="F4272" t="s">
        <v>7</v>
      </c>
      <c r="G4272" t="s">
        <v>109</v>
      </c>
      <c r="H4272" s="62">
        <v>2051</v>
      </c>
      <c r="I4272">
        <v>83.277500000000003</v>
      </c>
    </row>
    <row r="4273" spans="1:9">
      <c r="A4273" t="s">
        <v>104</v>
      </c>
      <c r="B4273" t="s">
        <v>105</v>
      </c>
      <c r="C4273" t="s">
        <v>80</v>
      </c>
      <c r="D4273" t="s">
        <v>92</v>
      </c>
      <c r="E4273" t="s">
        <v>110</v>
      </c>
      <c r="F4273" t="s">
        <v>7</v>
      </c>
      <c r="G4273" t="s">
        <v>109</v>
      </c>
      <c r="H4273" s="62">
        <v>2051</v>
      </c>
      <c r="I4273">
        <v>2.9015</v>
      </c>
    </row>
    <row r="4274" spans="1:9">
      <c r="A4274" t="s">
        <v>104</v>
      </c>
      <c r="B4274" t="s">
        <v>105</v>
      </c>
      <c r="C4274" t="s">
        <v>80</v>
      </c>
      <c r="D4274" t="s">
        <v>92</v>
      </c>
      <c r="E4274" t="s">
        <v>95</v>
      </c>
      <c r="F4274" t="s">
        <v>7</v>
      </c>
      <c r="G4274" t="s">
        <v>109</v>
      </c>
      <c r="H4274" s="62">
        <v>2051</v>
      </c>
      <c r="I4274">
        <v>67.920500000000004</v>
      </c>
    </row>
    <row r="4275" spans="1:9">
      <c r="A4275" t="s">
        <v>104</v>
      </c>
      <c r="B4275" t="s">
        <v>105</v>
      </c>
      <c r="C4275" t="s">
        <v>80</v>
      </c>
      <c r="D4275" t="s">
        <v>96</v>
      </c>
      <c r="E4275" t="s">
        <v>92</v>
      </c>
      <c r="F4275" t="s">
        <v>7</v>
      </c>
      <c r="G4275" t="s">
        <v>109</v>
      </c>
      <c r="H4275" s="62">
        <v>2051</v>
      </c>
      <c r="I4275">
        <v>25.301500000000001</v>
      </c>
    </row>
    <row r="4276" spans="1:9">
      <c r="A4276" t="s">
        <v>104</v>
      </c>
      <c r="B4276" t="s">
        <v>105</v>
      </c>
      <c r="C4276" t="s">
        <v>80</v>
      </c>
      <c r="D4276" t="s">
        <v>96</v>
      </c>
      <c r="E4276" t="s">
        <v>89</v>
      </c>
      <c r="F4276" t="s">
        <v>7</v>
      </c>
      <c r="G4276" t="s">
        <v>109</v>
      </c>
      <c r="H4276" s="62">
        <v>2051</v>
      </c>
      <c r="I4276">
        <v>13.5434</v>
      </c>
    </row>
    <row r="4277" spans="1:9">
      <c r="A4277" t="s">
        <v>104</v>
      </c>
      <c r="B4277" t="s">
        <v>105</v>
      </c>
      <c r="C4277" t="s">
        <v>80</v>
      </c>
      <c r="D4277" t="s">
        <v>97</v>
      </c>
      <c r="E4277" t="s">
        <v>98</v>
      </c>
      <c r="F4277" t="s">
        <v>7</v>
      </c>
      <c r="G4277" t="s">
        <v>109</v>
      </c>
      <c r="H4277" s="62">
        <v>2051</v>
      </c>
      <c r="I4277">
        <v>65.236099999999993</v>
      </c>
    </row>
    <row r="4278" spans="1:9">
      <c r="A4278" t="s">
        <v>104</v>
      </c>
      <c r="B4278" t="s">
        <v>105</v>
      </c>
      <c r="C4278" t="s">
        <v>80</v>
      </c>
      <c r="D4278" t="s">
        <v>97</v>
      </c>
      <c r="E4278" t="s">
        <v>99</v>
      </c>
      <c r="F4278" t="s">
        <v>7</v>
      </c>
      <c r="G4278" t="s">
        <v>109</v>
      </c>
      <c r="H4278" s="62">
        <v>2051</v>
      </c>
      <c r="I4278">
        <v>0.96</v>
      </c>
    </row>
    <row r="4279" spans="1:9">
      <c r="A4279" t="s">
        <v>104</v>
      </c>
      <c r="B4279" t="s">
        <v>105</v>
      </c>
      <c r="C4279" t="s">
        <v>80</v>
      </c>
      <c r="D4279" t="s">
        <v>100</v>
      </c>
      <c r="E4279" t="s">
        <v>101</v>
      </c>
      <c r="F4279" t="s">
        <v>7</v>
      </c>
      <c r="G4279" t="s">
        <v>109</v>
      </c>
      <c r="H4279" s="62">
        <v>2051</v>
      </c>
      <c r="I4279">
        <v>49.379199999999997</v>
      </c>
    </row>
    <row r="4280" spans="1:9">
      <c r="A4280" t="s">
        <v>104</v>
      </c>
      <c r="B4280" t="s">
        <v>105</v>
      </c>
      <c r="C4280" t="s">
        <v>80</v>
      </c>
      <c r="D4280" t="s">
        <v>100</v>
      </c>
      <c r="E4280" t="s">
        <v>102</v>
      </c>
      <c r="F4280" t="s">
        <v>7</v>
      </c>
      <c r="G4280" t="s">
        <v>109</v>
      </c>
      <c r="H4280" s="62">
        <v>2051</v>
      </c>
      <c r="I4280">
        <v>11.5473</v>
      </c>
    </row>
    <row r="4281" spans="1:9">
      <c r="A4281" t="s">
        <v>104</v>
      </c>
      <c r="B4281" t="s">
        <v>105</v>
      </c>
      <c r="C4281" t="s">
        <v>80</v>
      </c>
      <c r="D4281" t="s">
        <v>100</v>
      </c>
      <c r="E4281" t="s">
        <v>111</v>
      </c>
      <c r="F4281" t="s">
        <v>7</v>
      </c>
      <c r="G4281" t="s">
        <v>109</v>
      </c>
      <c r="H4281" s="62">
        <v>2051</v>
      </c>
      <c r="I4281">
        <v>0</v>
      </c>
    </row>
    <row r="4282" spans="1:9">
      <c r="A4282" t="s">
        <v>104</v>
      </c>
      <c r="B4282" t="s">
        <v>105</v>
      </c>
      <c r="C4282" t="s">
        <v>80</v>
      </c>
      <c r="D4282" t="s">
        <v>100</v>
      </c>
      <c r="E4282" t="s">
        <v>112</v>
      </c>
      <c r="F4282" t="s">
        <v>7</v>
      </c>
      <c r="G4282" t="s">
        <v>109</v>
      </c>
      <c r="H4282" s="62">
        <v>2051</v>
      </c>
      <c r="I4282">
        <v>0</v>
      </c>
    </row>
    <row r="4283" spans="1:9">
      <c r="A4283" t="s">
        <v>104</v>
      </c>
      <c r="B4283" t="s">
        <v>105</v>
      </c>
      <c r="C4283" t="s">
        <v>80</v>
      </c>
      <c r="D4283" t="s">
        <v>83</v>
      </c>
      <c r="E4283" t="s">
        <v>84</v>
      </c>
      <c r="F4283" t="s">
        <v>7</v>
      </c>
      <c r="G4283" t="s">
        <v>109</v>
      </c>
      <c r="H4283" s="62">
        <v>2051</v>
      </c>
      <c r="I4283">
        <v>7.0071000000000003</v>
      </c>
    </row>
    <row r="4284" spans="1:9">
      <c r="A4284" t="s">
        <v>104</v>
      </c>
      <c r="B4284" t="s">
        <v>105</v>
      </c>
      <c r="C4284" t="s">
        <v>80</v>
      </c>
      <c r="D4284" t="s">
        <v>83</v>
      </c>
      <c r="E4284" t="s">
        <v>85</v>
      </c>
      <c r="F4284" t="s">
        <v>7</v>
      </c>
      <c r="G4284" t="s">
        <v>109</v>
      </c>
      <c r="H4284" s="62">
        <v>2051</v>
      </c>
      <c r="I4284">
        <v>5.9538000000000002</v>
      </c>
    </row>
    <row r="4285" spans="1:9">
      <c r="A4285" t="s">
        <v>104</v>
      </c>
      <c r="B4285" t="s">
        <v>105</v>
      </c>
      <c r="C4285" t="s">
        <v>80</v>
      </c>
      <c r="D4285" t="s">
        <v>86</v>
      </c>
      <c r="E4285" t="s">
        <v>106</v>
      </c>
      <c r="F4285" t="s">
        <v>7</v>
      </c>
      <c r="G4285" t="s">
        <v>109</v>
      </c>
      <c r="H4285" s="62">
        <v>2051</v>
      </c>
      <c r="I4285">
        <v>4.1174999999999997</v>
      </c>
    </row>
    <row r="4286" spans="1:9">
      <c r="A4286" t="s">
        <v>104</v>
      </c>
      <c r="B4286" t="s">
        <v>105</v>
      </c>
      <c r="C4286" t="s">
        <v>80</v>
      </c>
      <c r="D4286" t="s">
        <v>86</v>
      </c>
      <c r="E4286" t="s">
        <v>87</v>
      </c>
      <c r="F4286" t="s">
        <v>7</v>
      </c>
      <c r="G4286" t="s">
        <v>109</v>
      </c>
      <c r="H4286" s="62">
        <v>2051</v>
      </c>
      <c r="I4286">
        <v>27.326599999999999</v>
      </c>
    </row>
    <row r="4287" spans="1:9">
      <c r="A4287" t="s">
        <v>104</v>
      </c>
      <c r="B4287" t="s">
        <v>105</v>
      </c>
      <c r="C4287" t="s">
        <v>80</v>
      </c>
      <c r="D4287" t="s">
        <v>103</v>
      </c>
      <c r="E4287" t="s">
        <v>92</v>
      </c>
      <c r="F4287" t="s">
        <v>7</v>
      </c>
      <c r="G4287" t="s">
        <v>109</v>
      </c>
      <c r="H4287" s="62">
        <v>2051</v>
      </c>
      <c r="I4287">
        <v>18.194600000000001</v>
      </c>
    </row>
    <row r="4288" spans="1:9">
      <c r="A4288" t="s">
        <v>104</v>
      </c>
      <c r="B4288" t="s">
        <v>105</v>
      </c>
      <c r="C4288" t="s">
        <v>80</v>
      </c>
      <c r="D4288" t="s">
        <v>103</v>
      </c>
      <c r="E4288" t="s">
        <v>89</v>
      </c>
      <c r="F4288" t="s">
        <v>7</v>
      </c>
      <c r="G4288" t="s">
        <v>109</v>
      </c>
      <c r="H4288" s="62">
        <v>2051</v>
      </c>
      <c r="I4288">
        <v>86.096100000000007</v>
      </c>
    </row>
    <row r="4289" spans="1:9">
      <c r="A4289" t="s">
        <v>104</v>
      </c>
      <c r="B4289" t="s">
        <v>105</v>
      </c>
      <c r="C4289" t="s">
        <v>107</v>
      </c>
      <c r="D4289" t="s">
        <v>107</v>
      </c>
      <c r="E4289" t="s">
        <v>107</v>
      </c>
      <c r="F4289" t="s">
        <v>7</v>
      </c>
      <c r="G4289" t="s">
        <v>109</v>
      </c>
      <c r="H4289" s="62">
        <v>2052</v>
      </c>
      <c r="I4289">
        <v>279.63990000000001</v>
      </c>
    </row>
    <row r="4290" spans="1:9">
      <c r="A4290" t="s">
        <v>104</v>
      </c>
      <c r="B4290" t="s">
        <v>105</v>
      </c>
      <c r="C4290" t="s">
        <v>107</v>
      </c>
      <c r="D4290" t="s">
        <v>108</v>
      </c>
      <c r="E4290" t="s">
        <v>108</v>
      </c>
      <c r="F4290" t="s">
        <v>7</v>
      </c>
      <c r="G4290" t="s">
        <v>109</v>
      </c>
      <c r="H4290" s="62">
        <v>2052</v>
      </c>
      <c r="I4290">
        <v>0.74019999999999997</v>
      </c>
    </row>
    <row r="4291" spans="1:9">
      <c r="A4291" t="s">
        <v>104</v>
      </c>
      <c r="B4291" t="s">
        <v>105</v>
      </c>
      <c r="C4291" t="s">
        <v>80</v>
      </c>
      <c r="D4291" t="s">
        <v>80</v>
      </c>
      <c r="E4291" t="s">
        <v>80</v>
      </c>
      <c r="F4291" t="s">
        <v>7</v>
      </c>
      <c r="G4291" t="s">
        <v>109</v>
      </c>
      <c r="H4291" s="62">
        <v>2052</v>
      </c>
      <c r="I4291">
        <v>278.8997</v>
      </c>
    </row>
    <row r="4292" spans="1:9">
      <c r="A4292" t="s">
        <v>104</v>
      </c>
      <c r="B4292" t="s">
        <v>105</v>
      </c>
      <c r="C4292" t="s">
        <v>80</v>
      </c>
      <c r="D4292" t="s">
        <v>89</v>
      </c>
      <c r="E4292" t="s">
        <v>90</v>
      </c>
      <c r="F4292" t="s">
        <v>7</v>
      </c>
      <c r="G4292" t="s">
        <v>109</v>
      </c>
      <c r="H4292" s="62">
        <v>2052</v>
      </c>
      <c r="I4292">
        <v>-28.400300000000001</v>
      </c>
    </row>
    <row r="4293" spans="1:9">
      <c r="A4293" t="s">
        <v>104</v>
      </c>
      <c r="B4293" t="s">
        <v>105</v>
      </c>
      <c r="C4293" t="s">
        <v>80</v>
      </c>
      <c r="D4293" t="s">
        <v>89</v>
      </c>
      <c r="E4293" t="s">
        <v>91</v>
      </c>
      <c r="F4293" t="s">
        <v>7</v>
      </c>
      <c r="G4293" t="s">
        <v>109</v>
      </c>
      <c r="H4293" s="62">
        <v>2052</v>
      </c>
      <c r="I4293">
        <v>8.9803999999999995</v>
      </c>
    </row>
    <row r="4294" spans="1:9">
      <c r="A4294" t="s">
        <v>104</v>
      </c>
      <c r="B4294" t="s">
        <v>105</v>
      </c>
      <c r="C4294" t="s">
        <v>80</v>
      </c>
      <c r="D4294" t="s">
        <v>92</v>
      </c>
      <c r="E4294" t="s">
        <v>93</v>
      </c>
      <c r="F4294" t="s">
        <v>7</v>
      </c>
      <c r="G4294" t="s">
        <v>109</v>
      </c>
      <c r="H4294" s="62">
        <v>2052</v>
      </c>
      <c r="I4294">
        <v>-41.8187</v>
      </c>
    </row>
    <row r="4295" spans="1:9">
      <c r="A4295" t="s">
        <v>104</v>
      </c>
      <c r="B4295" t="s">
        <v>105</v>
      </c>
      <c r="C4295" t="s">
        <v>80</v>
      </c>
      <c r="D4295" t="s">
        <v>92</v>
      </c>
      <c r="E4295" t="s">
        <v>94</v>
      </c>
      <c r="F4295" t="s">
        <v>7</v>
      </c>
      <c r="G4295" t="s">
        <v>109</v>
      </c>
      <c r="H4295" s="62">
        <v>2052</v>
      </c>
      <c r="I4295">
        <v>83.562899999999999</v>
      </c>
    </row>
    <row r="4296" spans="1:9">
      <c r="A4296" t="s">
        <v>104</v>
      </c>
      <c r="B4296" t="s">
        <v>105</v>
      </c>
      <c r="C4296" t="s">
        <v>80</v>
      </c>
      <c r="D4296" t="s">
        <v>92</v>
      </c>
      <c r="E4296" t="s">
        <v>110</v>
      </c>
      <c r="F4296" t="s">
        <v>7</v>
      </c>
      <c r="G4296" t="s">
        <v>109</v>
      </c>
      <c r="H4296" s="62">
        <v>2052</v>
      </c>
      <c r="I4296">
        <v>2.7923</v>
      </c>
    </row>
    <row r="4297" spans="1:9">
      <c r="A4297" t="s">
        <v>104</v>
      </c>
      <c r="B4297" t="s">
        <v>105</v>
      </c>
      <c r="C4297" t="s">
        <v>80</v>
      </c>
      <c r="D4297" t="s">
        <v>92</v>
      </c>
      <c r="E4297" t="s">
        <v>95</v>
      </c>
      <c r="F4297" t="s">
        <v>7</v>
      </c>
      <c r="G4297" t="s">
        <v>109</v>
      </c>
      <c r="H4297" s="62">
        <v>2052</v>
      </c>
      <c r="I4297">
        <v>69.316400000000002</v>
      </c>
    </row>
    <row r="4298" spans="1:9">
      <c r="A4298" t="s">
        <v>104</v>
      </c>
      <c r="B4298" t="s">
        <v>105</v>
      </c>
      <c r="C4298" t="s">
        <v>80</v>
      </c>
      <c r="D4298" t="s">
        <v>96</v>
      </c>
      <c r="E4298" t="s">
        <v>92</v>
      </c>
      <c r="F4298" t="s">
        <v>7</v>
      </c>
      <c r="G4298" t="s">
        <v>109</v>
      </c>
      <c r="H4298" s="62">
        <v>2052</v>
      </c>
      <c r="I4298">
        <v>25.676600000000001</v>
      </c>
    </row>
    <row r="4299" spans="1:9">
      <c r="A4299" t="s">
        <v>104</v>
      </c>
      <c r="B4299" t="s">
        <v>105</v>
      </c>
      <c r="C4299" t="s">
        <v>80</v>
      </c>
      <c r="D4299" t="s">
        <v>96</v>
      </c>
      <c r="E4299" t="s">
        <v>89</v>
      </c>
      <c r="F4299" t="s">
        <v>7</v>
      </c>
      <c r="G4299" t="s">
        <v>109</v>
      </c>
      <c r="H4299" s="62">
        <v>2052</v>
      </c>
      <c r="I4299">
        <v>13.5733</v>
      </c>
    </row>
    <row r="4300" spans="1:9">
      <c r="A4300" t="s">
        <v>104</v>
      </c>
      <c r="B4300" t="s">
        <v>105</v>
      </c>
      <c r="C4300" t="s">
        <v>80</v>
      </c>
      <c r="D4300" t="s">
        <v>97</v>
      </c>
      <c r="E4300" t="s">
        <v>98</v>
      </c>
      <c r="F4300" t="s">
        <v>7</v>
      </c>
      <c r="G4300" t="s">
        <v>109</v>
      </c>
      <c r="H4300" s="62">
        <v>2052</v>
      </c>
      <c r="I4300">
        <v>68.790700000000001</v>
      </c>
    </row>
    <row r="4301" spans="1:9">
      <c r="A4301" t="s">
        <v>104</v>
      </c>
      <c r="B4301" t="s">
        <v>105</v>
      </c>
      <c r="C4301" t="s">
        <v>80</v>
      </c>
      <c r="D4301" t="s">
        <v>97</v>
      </c>
      <c r="E4301" t="s">
        <v>99</v>
      </c>
      <c r="F4301" t="s">
        <v>7</v>
      </c>
      <c r="G4301" t="s">
        <v>109</v>
      </c>
      <c r="H4301" s="62">
        <v>2052</v>
      </c>
      <c r="I4301">
        <v>1.0057</v>
      </c>
    </row>
    <row r="4302" spans="1:9">
      <c r="A4302" t="s">
        <v>104</v>
      </c>
      <c r="B4302" t="s">
        <v>105</v>
      </c>
      <c r="C4302" t="s">
        <v>80</v>
      </c>
      <c r="D4302" t="s">
        <v>100</v>
      </c>
      <c r="E4302" t="s">
        <v>101</v>
      </c>
      <c r="F4302" t="s">
        <v>7</v>
      </c>
      <c r="G4302" t="s">
        <v>109</v>
      </c>
      <c r="H4302" s="62">
        <v>2052</v>
      </c>
      <c r="I4302">
        <v>50.200299999999999</v>
      </c>
    </row>
    <row r="4303" spans="1:9">
      <c r="A4303" t="s">
        <v>104</v>
      </c>
      <c r="B4303" t="s">
        <v>105</v>
      </c>
      <c r="C4303" t="s">
        <v>80</v>
      </c>
      <c r="D4303" t="s">
        <v>100</v>
      </c>
      <c r="E4303" t="s">
        <v>102</v>
      </c>
      <c r="F4303" t="s">
        <v>7</v>
      </c>
      <c r="G4303" t="s">
        <v>109</v>
      </c>
      <c r="H4303" s="62">
        <v>2052</v>
      </c>
      <c r="I4303">
        <v>12.061999999999999</v>
      </c>
    </row>
    <row r="4304" spans="1:9">
      <c r="A4304" t="s">
        <v>104</v>
      </c>
      <c r="B4304" t="s">
        <v>105</v>
      </c>
      <c r="C4304" t="s">
        <v>80</v>
      </c>
      <c r="D4304" t="s">
        <v>100</v>
      </c>
      <c r="E4304" t="s">
        <v>111</v>
      </c>
      <c r="F4304" t="s">
        <v>7</v>
      </c>
      <c r="G4304" t="s">
        <v>109</v>
      </c>
      <c r="H4304" s="62">
        <v>2052</v>
      </c>
      <c r="I4304">
        <v>0</v>
      </c>
    </row>
    <row r="4305" spans="1:9">
      <c r="A4305" t="s">
        <v>104</v>
      </c>
      <c r="B4305" t="s">
        <v>105</v>
      </c>
      <c r="C4305" t="s">
        <v>80</v>
      </c>
      <c r="D4305" t="s">
        <v>100</v>
      </c>
      <c r="E4305" t="s">
        <v>112</v>
      </c>
      <c r="F4305" t="s">
        <v>7</v>
      </c>
      <c r="G4305" t="s">
        <v>109</v>
      </c>
      <c r="H4305" s="62">
        <v>2052</v>
      </c>
      <c r="I4305">
        <v>0</v>
      </c>
    </row>
    <row r="4306" spans="1:9">
      <c r="A4306" t="s">
        <v>104</v>
      </c>
      <c r="B4306" t="s">
        <v>105</v>
      </c>
      <c r="C4306" t="s">
        <v>80</v>
      </c>
      <c r="D4306" t="s">
        <v>83</v>
      </c>
      <c r="E4306" t="s">
        <v>84</v>
      </c>
      <c r="F4306" t="s">
        <v>7</v>
      </c>
      <c r="G4306" t="s">
        <v>109</v>
      </c>
      <c r="H4306" s="62">
        <v>2052</v>
      </c>
      <c r="I4306">
        <v>7.1104000000000003</v>
      </c>
    </row>
    <row r="4307" spans="1:9">
      <c r="A4307" t="s">
        <v>104</v>
      </c>
      <c r="B4307" t="s">
        <v>105</v>
      </c>
      <c r="C4307" t="s">
        <v>80</v>
      </c>
      <c r="D4307" t="s">
        <v>83</v>
      </c>
      <c r="E4307" t="s">
        <v>85</v>
      </c>
      <c r="F4307" t="s">
        <v>7</v>
      </c>
      <c r="G4307" t="s">
        <v>109</v>
      </c>
      <c r="H4307" s="62">
        <v>2052</v>
      </c>
      <c r="I4307">
        <v>6.0476000000000001</v>
      </c>
    </row>
    <row r="4308" spans="1:9">
      <c r="A4308" t="s">
        <v>104</v>
      </c>
      <c r="B4308" t="s">
        <v>105</v>
      </c>
      <c r="C4308" t="s">
        <v>80</v>
      </c>
      <c r="D4308" t="s">
        <v>86</v>
      </c>
      <c r="E4308" t="s">
        <v>106</v>
      </c>
      <c r="F4308" t="s">
        <v>7</v>
      </c>
      <c r="G4308" t="s">
        <v>109</v>
      </c>
      <c r="H4308" s="62">
        <v>2052</v>
      </c>
      <c r="I4308">
        <v>4.1665000000000001</v>
      </c>
    </row>
    <row r="4309" spans="1:9">
      <c r="A4309" t="s">
        <v>104</v>
      </c>
      <c r="B4309" t="s">
        <v>105</v>
      </c>
      <c r="C4309" t="s">
        <v>80</v>
      </c>
      <c r="D4309" t="s">
        <v>86</v>
      </c>
      <c r="E4309" t="s">
        <v>87</v>
      </c>
      <c r="F4309" t="s">
        <v>7</v>
      </c>
      <c r="G4309" t="s">
        <v>109</v>
      </c>
      <c r="H4309" s="62">
        <v>2052</v>
      </c>
      <c r="I4309">
        <v>28.671700000000001</v>
      </c>
    </row>
    <row r="4310" spans="1:9">
      <c r="A4310" t="s">
        <v>104</v>
      </c>
      <c r="B4310" t="s">
        <v>105</v>
      </c>
      <c r="C4310" t="s">
        <v>80</v>
      </c>
      <c r="D4310" t="s">
        <v>103</v>
      </c>
      <c r="E4310" t="s">
        <v>92</v>
      </c>
      <c r="F4310" t="s">
        <v>7</v>
      </c>
      <c r="G4310" t="s">
        <v>109</v>
      </c>
      <c r="H4310" s="62">
        <v>2052</v>
      </c>
      <c r="I4310">
        <v>18.9025</v>
      </c>
    </row>
    <row r="4311" spans="1:9">
      <c r="A4311" t="s">
        <v>104</v>
      </c>
      <c r="B4311" t="s">
        <v>105</v>
      </c>
      <c r="C4311" t="s">
        <v>80</v>
      </c>
      <c r="D4311" t="s">
        <v>103</v>
      </c>
      <c r="E4311" t="s">
        <v>89</v>
      </c>
      <c r="F4311" t="s">
        <v>7</v>
      </c>
      <c r="G4311" t="s">
        <v>109</v>
      </c>
      <c r="H4311" s="62">
        <v>2052</v>
      </c>
      <c r="I4311">
        <v>88.647499999999994</v>
      </c>
    </row>
    <row r="4312" spans="1:9">
      <c r="A4312" t="s">
        <v>104</v>
      </c>
      <c r="B4312" t="s">
        <v>105</v>
      </c>
      <c r="C4312" t="s">
        <v>107</v>
      </c>
      <c r="D4312" t="s">
        <v>107</v>
      </c>
      <c r="E4312" t="s">
        <v>107</v>
      </c>
      <c r="F4312" t="s">
        <v>7</v>
      </c>
      <c r="G4312" t="s">
        <v>109</v>
      </c>
      <c r="H4312" s="62">
        <v>2053</v>
      </c>
      <c r="I4312">
        <v>287.5213</v>
      </c>
    </row>
    <row r="4313" spans="1:9">
      <c r="A4313" t="s">
        <v>104</v>
      </c>
      <c r="B4313" t="s">
        <v>105</v>
      </c>
      <c r="C4313" t="s">
        <v>107</v>
      </c>
      <c r="D4313" t="s">
        <v>108</v>
      </c>
      <c r="E4313" t="s">
        <v>108</v>
      </c>
      <c r="F4313" t="s">
        <v>7</v>
      </c>
      <c r="G4313" t="s">
        <v>109</v>
      </c>
      <c r="H4313" s="62">
        <v>2053</v>
      </c>
      <c r="I4313">
        <v>0.74709999999999999</v>
      </c>
    </row>
    <row r="4314" spans="1:9">
      <c r="A4314" t="s">
        <v>104</v>
      </c>
      <c r="B4314" t="s">
        <v>105</v>
      </c>
      <c r="C4314" t="s">
        <v>80</v>
      </c>
      <c r="D4314" t="s">
        <v>80</v>
      </c>
      <c r="E4314" t="s">
        <v>80</v>
      </c>
      <c r="F4314" t="s">
        <v>7</v>
      </c>
      <c r="G4314" t="s">
        <v>109</v>
      </c>
      <c r="H4314" s="62">
        <v>2053</v>
      </c>
      <c r="I4314">
        <v>286.77420000000001</v>
      </c>
    </row>
    <row r="4315" spans="1:9">
      <c r="A4315" t="s">
        <v>104</v>
      </c>
      <c r="B4315" t="s">
        <v>105</v>
      </c>
      <c r="C4315" t="s">
        <v>80</v>
      </c>
      <c r="D4315" t="s">
        <v>89</v>
      </c>
      <c r="E4315" t="s">
        <v>90</v>
      </c>
      <c r="F4315" t="s">
        <v>7</v>
      </c>
      <c r="G4315" t="s">
        <v>109</v>
      </c>
      <c r="H4315" s="62">
        <v>2053</v>
      </c>
      <c r="I4315">
        <v>-30.2104</v>
      </c>
    </row>
    <row r="4316" spans="1:9">
      <c r="A4316" t="s">
        <v>104</v>
      </c>
      <c r="B4316" t="s">
        <v>105</v>
      </c>
      <c r="C4316" t="s">
        <v>80</v>
      </c>
      <c r="D4316" t="s">
        <v>89</v>
      </c>
      <c r="E4316" t="s">
        <v>91</v>
      </c>
      <c r="F4316" t="s">
        <v>7</v>
      </c>
      <c r="G4316" t="s">
        <v>109</v>
      </c>
      <c r="H4316" s="62">
        <v>2053</v>
      </c>
      <c r="I4316">
        <v>10.0722</v>
      </c>
    </row>
    <row r="4317" spans="1:9">
      <c r="A4317" t="s">
        <v>104</v>
      </c>
      <c r="B4317" t="s">
        <v>105</v>
      </c>
      <c r="C4317" t="s">
        <v>80</v>
      </c>
      <c r="D4317" t="s">
        <v>92</v>
      </c>
      <c r="E4317" t="s">
        <v>93</v>
      </c>
      <c r="F4317" t="s">
        <v>7</v>
      </c>
      <c r="G4317" t="s">
        <v>109</v>
      </c>
      <c r="H4317" s="62">
        <v>2053</v>
      </c>
      <c r="I4317">
        <v>-44.113</v>
      </c>
    </row>
    <row r="4318" spans="1:9">
      <c r="A4318" t="s">
        <v>104</v>
      </c>
      <c r="B4318" t="s">
        <v>105</v>
      </c>
      <c r="C4318" t="s">
        <v>80</v>
      </c>
      <c r="D4318" t="s">
        <v>92</v>
      </c>
      <c r="E4318" t="s">
        <v>94</v>
      </c>
      <c r="F4318" t="s">
        <v>7</v>
      </c>
      <c r="G4318" t="s">
        <v>109</v>
      </c>
      <c r="H4318" s="62">
        <v>2053</v>
      </c>
      <c r="I4318">
        <v>83.894099999999995</v>
      </c>
    </row>
    <row r="4319" spans="1:9">
      <c r="A4319" t="s">
        <v>104</v>
      </c>
      <c r="B4319" t="s">
        <v>105</v>
      </c>
      <c r="C4319" t="s">
        <v>80</v>
      </c>
      <c r="D4319" t="s">
        <v>92</v>
      </c>
      <c r="E4319" t="s">
        <v>110</v>
      </c>
      <c r="F4319" t="s">
        <v>7</v>
      </c>
      <c r="G4319" t="s">
        <v>109</v>
      </c>
      <c r="H4319" s="62">
        <v>2053</v>
      </c>
      <c r="I4319">
        <v>2.7923</v>
      </c>
    </row>
    <row r="4320" spans="1:9">
      <c r="A4320" t="s">
        <v>104</v>
      </c>
      <c r="B4320" t="s">
        <v>105</v>
      </c>
      <c r="C4320" t="s">
        <v>80</v>
      </c>
      <c r="D4320" t="s">
        <v>92</v>
      </c>
      <c r="E4320" t="s">
        <v>95</v>
      </c>
      <c r="F4320" t="s">
        <v>7</v>
      </c>
      <c r="G4320" t="s">
        <v>109</v>
      </c>
      <c r="H4320" s="62">
        <v>2053</v>
      </c>
      <c r="I4320">
        <v>70.787400000000005</v>
      </c>
    </row>
    <row r="4321" spans="1:9">
      <c r="A4321" t="s">
        <v>104</v>
      </c>
      <c r="B4321" t="s">
        <v>105</v>
      </c>
      <c r="C4321" t="s">
        <v>80</v>
      </c>
      <c r="D4321" t="s">
        <v>96</v>
      </c>
      <c r="E4321" t="s">
        <v>92</v>
      </c>
      <c r="F4321" t="s">
        <v>7</v>
      </c>
      <c r="G4321" t="s">
        <v>109</v>
      </c>
      <c r="H4321" s="62">
        <v>2053</v>
      </c>
      <c r="I4321">
        <v>26.008400000000002</v>
      </c>
    </row>
    <row r="4322" spans="1:9">
      <c r="A4322" t="s">
        <v>104</v>
      </c>
      <c r="B4322" t="s">
        <v>105</v>
      </c>
      <c r="C4322" t="s">
        <v>80</v>
      </c>
      <c r="D4322" t="s">
        <v>96</v>
      </c>
      <c r="E4322" t="s">
        <v>89</v>
      </c>
      <c r="F4322" t="s">
        <v>7</v>
      </c>
      <c r="G4322" t="s">
        <v>109</v>
      </c>
      <c r="H4322" s="62">
        <v>2053</v>
      </c>
      <c r="I4322">
        <v>13.5924</v>
      </c>
    </row>
    <row r="4323" spans="1:9">
      <c r="A4323" t="s">
        <v>104</v>
      </c>
      <c r="B4323" t="s">
        <v>105</v>
      </c>
      <c r="C4323" t="s">
        <v>80</v>
      </c>
      <c r="D4323" t="s">
        <v>97</v>
      </c>
      <c r="E4323" t="s">
        <v>98</v>
      </c>
      <c r="F4323" t="s">
        <v>7</v>
      </c>
      <c r="G4323" t="s">
        <v>109</v>
      </c>
      <c r="H4323" s="62">
        <v>2053</v>
      </c>
      <c r="I4323">
        <v>71.892200000000003</v>
      </c>
    </row>
    <row r="4324" spans="1:9">
      <c r="A4324" t="s">
        <v>104</v>
      </c>
      <c r="B4324" t="s">
        <v>105</v>
      </c>
      <c r="C4324" t="s">
        <v>80</v>
      </c>
      <c r="D4324" t="s">
        <v>97</v>
      </c>
      <c r="E4324" t="s">
        <v>99</v>
      </c>
      <c r="F4324" t="s">
        <v>7</v>
      </c>
      <c r="G4324" t="s">
        <v>109</v>
      </c>
      <c r="H4324" s="62">
        <v>2053</v>
      </c>
      <c r="I4324">
        <v>1.046</v>
      </c>
    </row>
    <row r="4325" spans="1:9">
      <c r="A4325" t="s">
        <v>104</v>
      </c>
      <c r="B4325" t="s">
        <v>105</v>
      </c>
      <c r="C4325" t="s">
        <v>80</v>
      </c>
      <c r="D4325" t="s">
        <v>100</v>
      </c>
      <c r="E4325" t="s">
        <v>101</v>
      </c>
      <c r="F4325" t="s">
        <v>7</v>
      </c>
      <c r="G4325" t="s">
        <v>109</v>
      </c>
      <c r="H4325" s="62">
        <v>2053</v>
      </c>
      <c r="I4325">
        <v>55.615099999999998</v>
      </c>
    </row>
    <row r="4326" spans="1:9">
      <c r="A4326" t="s">
        <v>104</v>
      </c>
      <c r="B4326" t="s">
        <v>105</v>
      </c>
      <c r="C4326" t="s">
        <v>80</v>
      </c>
      <c r="D4326" t="s">
        <v>100</v>
      </c>
      <c r="E4326" t="s">
        <v>102</v>
      </c>
      <c r="F4326" t="s">
        <v>7</v>
      </c>
      <c r="G4326" t="s">
        <v>109</v>
      </c>
      <c r="H4326" s="62">
        <v>2053</v>
      </c>
      <c r="I4326">
        <v>12.061999999999999</v>
      </c>
    </row>
    <row r="4327" spans="1:9">
      <c r="A4327" t="s">
        <v>104</v>
      </c>
      <c r="B4327" t="s">
        <v>105</v>
      </c>
      <c r="C4327" t="s">
        <v>80</v>
      </c>
      <c r="D4327" t="s">
        <v>100</v>
      </c>
      <c r="E4327" t="s">
        <v>111</v>
      </c>
      <c r="F4327" t="s">
        <v>7</v>
      </c>
      <c r="G4327" t="s">
        <v>109</v>
      </c>
      <c r="H4327" s="62">
        <v>2053</v>
      </c>
      <c r="I4327">
        <v>0</v>
      </c>
    </row>
    <row r="4328" spans="1:9">
      <c r="A4328" t="s">
        <v>104</v>
      </c>
      <c r="B4328" t="s">
        <v>105</v>
      </c>
      <c r="C4328" t="s">
        <v>80</v>
      </c>
      <c r="D4328" t="s">
        <v>100</v>
      </c>
      <c r="E4328" t="s">
        <v>112</v>
      </c>
      <c r="F4328" t="s">
        <v>7</v>
      </c>
      <c r="G4328" t="s">
        <v>109</v>
      </c>
      <c r="H4328" s="62">
        <v>2053</v>
      </c>
      <c r="I4328">
        <v>0</v>
      </c>
    </row>
    <row r="4329" spans="1:9">
      <c r="A4329" t="s">
        <v>104</v>
      </c>
      <c r="B4329" t="s">
        <v>105</v>
      </c>
      <c r="C4329" t="s">
        <v>80</v>
      </c>
      <c r="D4329" t="s">
        <v>83</v>
      </c>
      <c r="E4329" t="s">
        <v>84</v>
      </c>
      <c r="F4329" t="s">
        <v>7</v>
      </c>
      <c r="G4329" t="s">
        <v>109</v>
      </c>
      <c r="H4329" s="62">
        <v>2053</v>
      </c>
      <c r="I4329">
        <v>7.1985999999999999</v>
      </c>
    </row>
    <row r="4330" spans="1:9">
      <c r="A4330" t="s">
        <v>104</v>
      </c>
      <c r="B4330" t="s">
        <v>105</v>
      </c>
      <c r="C4330" t="s">
        <v>80</v>
      </c>
      <c r="D4330" t="s">
        <v>83</v>
      </c>
      <c r="E4330" t="s">
        <v>85</v>
      </c>
      <c r="F4330" t="s">
        <v>7</v>
      </c>
      <c r="G4330" t="s">
        <v>109</v>
      </c>
      <c r="H4330" s="62">
        <v>2053</v>
      </c>
      <c r="I4330">
        <v>6.1369999999999996</v>
      </c>
    </row>
    <row r="4331" spans="1:9">
      <c r="A4331" t="s">
        <v>104</v>
      </c>
      <c r="B4331" t="s">
        <v>105</v>
      </c>
      <c r="C4331" t="s">
        <v>80</v>
      </c>
      <c r="D4331" t="s">
        <v>86</v>
      </c>
      <c r="E4331" t="s">
        <v>106</v>
      </c>
      <c r="F4331" t="s">
        <v>7</v>
      </c>
      <c r="G4331" t="s">
        <v>109</v>
      </c>
      <c r="H4331" s="62">
        <v>2053</v>
      </c>
      <c r="I4331">
        <v>4.1928000000000001</v>
      </c>
    </row>
    <row r="4332" spans="1:9">
      <c r="A4332" t="s">
        <v>104</v>
      </c>
      <c r="B4332" t="s">
        <v>105</v>
      </c>
      <c r="C4332" t="s">
        <v>80</v>
      </c>
      <c r="D4332" t="s">
        <v>86</v>
      </c>
      <c r="E4332" t="s">
        <v>87</v>
      </c>
      <c r="F4332" t="s">
        <v>7</v>
      </c>
      <c r="G4332" t="s">
        <v>109</v>
      </c>
      <c r="H4332" s="62">
        <v>2053</v>
      </c>
      <c r="I4332">
        <v>29.847999999999999</v>
      </c>
    </row>
    <row r="4333" spans="1:9">
      <c r="A4333" t="s">
        <v>104</v>
      </c>
      <c r="B4333" t="s">
        <v>105</v>
      </c>
      <c r="C4333" t="s">
        <v>80</v>
      </c>
      <c r="D4333" t="s">
        <v>103</v>
      </c>
      <c r="E4333" t="s">
        <v>92</v>
      </c>
      <c r="F4333" t="s">
        <v>7</v>
      </c>
      <c r="G4333" t="s">
        <v>109</v>
      </c>
      <c r="H4333" s="62">
        <v>2053</v>
      </c>
      <c r="I4333">
        <v>19.569600000000001</v>
      </c>
    </row>
    <row r="4334" spans="1:9">
      <c r="A4334" t="s">
        <v>104</v>
      </c>
      <c r="B4334" t="s">
        <v>105</v>
      </c>
      <c r="C4334" t="s">
        <v>80</v>
      </c>
      <c r="D4334" t="s">
        <v>103</v>
      </c>
      <c r="E4334" t="s">
        <v>89</v>
      </c>
      <c r="F4334" t="s">
        <v>7</v>
      </c>
      <c r="G4334" t="s">
        <v>109</v>
      </c>
      <c r="H4334" s="62">
        <v>2053</v>
      </c>
      <c r="I4334">
        <v>90.972999999999999</v>
      </c>
    </row>
    <row r="4335" spans="1:9">
      <c r="A4335" t="s">
        <v>104</v>
      </c>
      <c r="B4335" t="s">
        <v>105</v>
      </c>
      <c r="C4335" t="s">
        <v>107</v>
      </c>
      <c r="D4335" t="s">
        <v>107</v>
      </c>
      <c r="E4335" t="s">
        <v>107</v>
      </c>
      <c r="F4335" t="s">
        <v>7</v>
      </c>
      <c r="G4335" t="s">
        <v>109</v>
      </c>
      <c r="H4335" s="62">
        <v>2054</v>
      </c>
      <c r="I4335">
        <v>290.35899999999998</v>
      </c>
    </row>
    <row r="4336" spans="1:9">
      <c r="A4336" t="s">
        <v>104</v>
      </c>
      <c r="B4336" t="s">
        <v>105</v>
      </c>
      <c r="C4336" t="s">
        <v>107</v>
      </c>
      <c r="D4336" t="s">
        <v>108</v>
      </c>
      <c r="E4336" t="s">
        <v>108</v>
      </c>
      <c r="F4336" t="s">
        <v>7</v>
      </c>
      <c r="G4336" t="s">
        <v>109</v>
      </c>
      <c r="H4336" s="62">
        <v>2054</v>
      </c>
      <c r="I4336">
        <v>0.75570000000000004</v>
      </c>
    </row>
    <row r="4337" spans="1:9">
      <c r="A4337" t="s">
        <v>104</v>
      </c>
      <c r="B4337" t="s">
        <v>105</v>
      </c>
      <c r="C4337" t="s">
        <v>80</v>
      </c>
      <c r="D4337" t="s">
        <v>80</v>
      </c>
      <c r="E4337" t="s">
        <v>80</v>
      </c>
      <c r="F4337" t="s">
        <v>7</v>
      </c>
      <c r="G4337" t="s">
        <v>109</v>
      </c>
      <c r="H4337" s="62">
        <v>2054</v>
      </c>
      <c r="I4337">
        <v>289.60329999999999</v>
      </c>
    </row>
    <row r="4338" spans="1:9">
      <c r="A4338" t="s">
        <v>104</v>
      </c>
      <c r="B4338" t="s">
        <v>105</v>
      </c>
      <c r="C4338" t="s">
        <v>80</v>
      </c>
      <c r="D4338" t="s">
        <v>89</v>
      </c>
      <c r="E4338" t="s">
        <v>90</v>
      </c>
      <c r="F4338" t="s">
        <v>7</v>
      </c>
      <c r="G4338" t="s">
        <v>109</v>
      </c>
      <c r="H4338" s="62">
        <v>2054</v>
      </c>
      <c r="I4338">
        <v>-31.950299999999999</v>
      </c>
    </row>
    <row r="4339" spans="1:9">
      <c r="A4339" t="s">
        <v>104</v>
      </c>
      <c r="B4339" t="s">
        <v>105</v>
      </c>
      <c r="C4339" t="s">
        <v>80</v>
      </c>
      <c r="D4339" t="s">
        <v>89</v>
      </c>
      <c r="E4339" t="s">
        <v>91</v>
      </c>
      <c r="F4339" t="s">
        <v>7</v>
      </c>
      <c r="G4339" t="s">
        <v>109</v>
      </c>
      <c r="H4339" s="62">
        <v>2054</v>
      </c>
      <c r="I4339">
        <v>11.233499999999999</v>
      </c>
    </row>
    <row r="4340" spans="1:9">
      <c r="A4340" t="s">
        <v>104</v>
      </c>
      <c r="B4340" t="s">
        <v>105</v>
      </c>
      <c r="C4340" t="s">
        <v>80</v>
      </c>
      <c r="D4340" t="s">
        <v>92</v>
      </c>
      <c r="E4340" t="s">
        <v>93</v>
      </c>
      <c r="F4340" t="s">
        <v>7</v>
      </c>
      <c r="G4340" t="s">
        <v>109</v>
      </c>
      <c r="H4340" s="62">
        <v>2054</v>
      </c>
      <c r="I4340">
        <v>-46.586199999999998</v>
      </c>
    </row>
    <row r="4341" spans="1:9">
      <c r="A4341" t="s">
        <v>104</v>
      </c>
      <c r="B4341" t="s">
        <v>105</v>
      </c>
      <c r="C4341" t="s">
        <v>80</v>
      </c>
      <c r="D4341" t="s">
        <v>92</v>
      </c>
      <c r="E4341" t="s">
        <v>94</v>
      </c>
      <c r="F4341" t="s">
        <v>7</v>
      </c>
      <c r="G4341" t="s">
        <v>109</v>
      </c>
      <c r="H4341" s="62">
        <v>2054</v>
      </c>
      <c r="I4341">
        <v>84.251000000000005</v>
      </c>
    </row>
    <row r="4342" spans="1:9">
      <c r="A4342" t="s">
        <v>104</v>
      </c>
      <c r="B4342" t="s">
        <v>105</v>
      </c>
      <c r="C4342" t="s">
        <v>80</v>
      </c>
      <c r="D4342" t="s">
        <v>92</v>
      </c>
      <c r="E4342" t="s">
        <v>110</v>
      </c>
      <c r="F4342" t="s">
        <v>7</v>
      </c>
      <c r="G4342" t="s">
        <v>109</v>
      </c>
      <c r="H4342" s="62">
        <v>2054</v>
      </c>
      <c r="I4342">
        <v>2.7923</v>
      </c>
    </row>
    <row r="4343" spans="1:9">
      <c r="A4343" t="s">
        <v>104</v>
      </c>
      <c r="B4343" t="s">
        <v>105</v>
      </c>
      <c r="C4343" t="s">
        <v>80</v>
      </c>
      <c r="D4343" t="s">
        <v>92</v>
      </c>
      <c r="E4343" t="s">
        <v>95</v>
      </c>
      <c r="F4343" t="s">
        <v>7</v>
      </c>
      <c r="G4343" t="s">
        <v>109</v>
      </c>
      <c r="H4343" s="62">
        <v>2054</v>
      </c>
      <c r="I4343">
        <v>72.319999999999993</v>
      </c>
    </row>
    <row r="4344" spans="1:9">
      <c r="A4344" t="s">
        <v>104</v>
      </c>
      <c r="B4344" t="s">
        <v>105</v>
      </c>
      <c r="C4344" t="s">
        <v>80</v>
      </c>
      <c r="D4344" t="s">
        <v>96</v>
      </c>
      <c r="E4344" t="s">
        <v>92</v>
      </c>
      <c r="F4344" t="s">
        <v>7</v>
      </c>
      <c r="G4344" t="s">
        <v>109</v>
      </c>
      <c r="H4344" s="62">
        <v>2054</v>
      </c>
      <c r="I4344">
        <v>26.389600000000002</v>
      </c>
    </row>
    <row r="4345" spans="1:9">
      <c r="A4345" t="s">
        <v>104</v>
      </c>
      <c r="B4345" t="s">
        <v>105</v>
      </c>
      <c r="C4345" t="s">
        <v>80</v>
      </c>
      <c r="D4345" t="s">
        <v>96</v>
      </c>
      <c r="E4345" t="s">
        <v>89</v>
      </c>
      <c r="F4345" t="s">
        <v>7</v>
      </c>
      <c r="G4345" t="s">
        <v>109</v>
      </c>
      <c r="H4345" s="62">
        <v>2054</v>
      </c>
      <c r="I4345">
        <v>13.624599999999999</v>
      </c>
    </row>
    <row r="4346" spans="1:9">
      <c r="A4346" t="s">
        <v>104</v>
      </c>
      <c r="B4346" t="s">
        <v>105</v>
      </c>
      <c r="C4346" t="s">
        <v>80</v>
      </c>
      <c r="D4346" t="s">
        <v>97</v>
      </c>
      <c r="E4346" t="s">
        <v>98</v>
      </c>
      <c r="F4346" t="s">
        <v>7</v>
      </c>
      <c r="G4346" t="s">
        <v>109</v>
      </c>
      <c r="H4346" s="62">
        <v>2054</v>
      </c>
      <c r="I4346">
        <v>75.220699999999994</v>
      </c>
    </row>
    <row r="4347" spans="1:9">
      <c r="A4347" t="s">
        <v>104</v>
      </c>
      <c r="B4347" t="s">
        <v>105</v>
      </c>
      <c r="C4347" t="s">
        <v>80</v>
      </c>
      <c r="D4347" t="s">
        <v>97</v>
      </c>
      <c r="E4347" t="s">
        <v>99</v>
      </c>
      <c r="F4347" t="s">
        <v>7</v>
      </c>
      <c r="G4347" t="s">
        <v>109</v>
      </c>
      <c r="H4347" s="62">
        <v>2054</v>
      </c>
      <c r="I4347">
        <v>1.089</v>
      </c>
    </row>
    <row r="4348" spans="1:9">
      <c r="A4348" t="s">
        <v>104</v>
      </c>
      <c r="B4348" t="s">
        <v>105</v>
      </c>
      <c r="C4348" t="s">
        <v>80</v>
      </c>
      <c r="D4348" t="s">
        <v>100</v>
      </c>
      <c r="E4348" t="s">
        <v>101</v>
      </c>
      <c r="F4348" t="s">
        <v>7</v>
      </c>
      <c r="G4348" t="s">
        <v>109</v>
      </c>
      <c r="H4348" s="62">
        <v>2054</v>
      </c>
      <c r="I4348">
        <v>55.615099999999998</v>
      </c>
    </row>
    <row r="4349" spans="1:9">
      <c r="A4349" t="s">
        <v>104</v>
      </c>
      <c r="B4349" t="s">
        <v>105</v>
      </c>
      <c r="C4349" t="s">
        <v>80</v>
      </c>
      <c r="D4349" t="s">
        <v>100</v>
      </c>
      <c r="E4349" t="s">
        <v>102</v>
      </c>
      <c r="F4349" t="s">
        <v>7</v>
      </c>
      <c r="G4349" t="s">
        <v>109</v>
      </c>
      <c r="H4349" s="62">
        <v>2054</v>
      </c>
      <c r="I4349">
        <v>12.061999999999999</v>
      </c>
    </row>
    <row r="4350" spans="1:9">
      <c r="A4350" t="s">
        <v>104</v>
      </c>
      <c r="B4350" t="s">
        <v>105</v>
      </c>
      <c r="C4350" t="s">
        <v>80</v>
      </c>
      <c r="D4350" t="s">
        <v>100</v>
      </c>
      <c r="E4350" t="s">
        <v>111</v>
      </c>
      <c r="F4350" t="s">
        <v>7</v>
      </c>
      <c r="G4350" t="s">
        <v>109</v>
      </c>
      <c r="H4350" s="62">
        <v>2054</v>
      </c>
      <c r="I4350">
        <v>0</v>
      </c>
    </row>
    <row r="4351" spans="1:9">
      <c r="A4351" t="s">
        <v>104</v>
      </c>
      <c r="B4351" t="s">
        <v>105</v>
      </c>
      <c r="C4351" t="s">
        <v>80</v>
      </c>
      <c r="D4351" t="s">
        <v>100</v>
      </c>
      <c r="E4351" t="s">
        <v>112</v>
      </c>
      <c r="F4351" t="s">
        <v>7</v>
      </c>
      <c r="G4351" t="s">
        <v>109</v>
      </c>
      <c r="H4351" s="62">
        <v>2054</v>
      </c>
      <c r="I4351">
        <v>0</v>
      </c>
    </row>
    <row r="4352" spans="1:9">
      <c r="A4352" t="s">
        <v>104</v>
      </c>
      <c r="B4352" t="s">
        <v>105</v>
      </c>
      <c r="C4352" t="s">
        <v>80</v>
      </c>
      <c r="D4352" t="s">
        <v>83</v>
      </c>
      <c r="E4352" t="s">
        <v>84</v>
      </c>
      <c r="F4352" t="s">
        <v>7</v>
      </c>
      <c r="G4352" t="s">
        <v>109</v>
      </c>
      <c r="H4352" s="62">
        <v>2054</v>
      </c>
      <c r="I4352">
        <v>7.3034999999999997</v>
      </c>
    </row>
    <row r="4353" spans="1:9">
      <c r="A4353" t="s">
        <v>104</v>
      </c>
      <c r="B4353" t="s">
        <v>105</v>
      </c>
      <c r="C4353" t="s">
        <v>80</v>
      </c>
      <c r="D4353" t="s">
        <v>83</v>
      </c>
      <c r="E4353" t="s">
        <v>85</v>
      </c>
      <c r="F4353" t="s">
        <v>7</v>
      </c>
      <c r="G4353" t="s">
        <v>109</v>
      </c>
      <c r="H4353" s="62">
        <v>2054</v>
      </c>
      <c r="I4353">
        <v>6.2385000000000002</v>
      </c>
    </row>
    <row r="4354" spans="1:9">
      <c r="A4354" t="s">
        <v>104</v>
      </c>
      <c r="B4354" t="s">
        <v>105</v>
      </c>
      <c r="C4354" t="s">
        <v>80</v>
      </c>
      <c r="D4354" t="s">
        <v>86</v>
      </c>
      <c r="E4354" t="s">
        <v>106</v>
      </c>
      <c r="F4354" t="s">
        <v>7</v>
      </c>
      <c r="G4354" t="s">
        <v>109</v>
      </c>
      <c r="H4354" s="62">
        <v>2054</v>
      </c>
      <c r="I4354">
        <v>4.2305000000000001</v>
      </c>
    </row>
    <row r="4355" spans="1:9">
      <c r="A4355" t="s">
        <v>104</v>
      </c>
      <c r="B4355" t="s">
        <v>105</v>
      </c>
      <c r="C4355" t="s">
        <v>80</v>
      </c>
      <c r="D4355" t="s">
        <v>86</v>
      </c>
      <c r="E4355" t="s">
        <v>87</v>
      </c>
      <c r="F4355" t="s">
        <v>7</v>
      </c>
      <c r="G4355" t="s">
        <v>109</v>
      </c>
      <c r="H4355" s="62">
        <v>2054</v>
      </c>
      <c r="I4355">
        <v>31.1221</v>
      </c>
    </row>
    <row r="4356" spans="1:9">
      <c r="A4356" t="s">
        <v>104</v>
      </c>
      <c r="B4356" t="s">
        <v>105</v>
      </c>
      <c r="C4356" t="s">
        <v>80</v>
      </c>
      <c r="D4356" t="s">
        <v>103</v>
      </c>
      <c r="E4356" t="s">
        <v>92</v>
      </c>
      <c r="F4356" t="s">
        <v>7</v>
      </c>
      <c r="G4356" t="s">
        <v>109</v>
      </c>
      <c r="H4356" s="62">
        <v>2054</v>
      </c>
      <c r="I4356">
        <v>20.226299999999998</v>
      </c>
    </row>
    <row r="4357" spans="1:9">
      <c r="A4357" t="s">
        <v>104</v>
      </c>
      <c r="B4357" t="s">
        <v>105</v>
      </c>
      <c r="C4357" t="s">
        <v>80</v>
      </c>
      <c r="D4357" t="s">
        <v>103</v>
      </c>
      <c r="E4357" t="s">
        <v>89</v>
      </c>
      <c r="F4357" t="s">
        <v>7</v>
      </c>
      <c r="G4357" t="s">
        <v>109</v>
      </c>
      <c r="H4357" s="62">
        <v>2054</v>
      </c>
      <c r="I4357">
        <v>93.261600000000001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C3A2C-15F3-4871-9940-6BCBB404A46B}">
  <dimension ref="A1:I208"/>
  <sheetViews>
    <sheetView topLeftCell="A107" workbookViewId="0">
      <selection activeCell="M144" sqref="M144"/>
    </sheetView>
  </sheetViews>
  <sheetFormatPr defaultRowHeight="14"/>
  <cols>
    <col min="1" max="1" width="14" bestFit="1" customWidth="1"/>
    <col min="2" max="2" width="10.33203125" bestFit="1" customWidth="1"/>
    <col min="3" max="3" width="18.08203125" bestFit="1" customWidth="1"/>
    <col min="4" max="4" width="26.08203125" bestFit="1" customWidth="1"/>
    <col min="5" max="5" width="20.33203125" bestFit="1" customWidth="1"/>
    <col min="7" max="7" width="19.08203125" bestFit="1" customWidth="1"/>
    <col min="9" max="9" width="22" bestFit="1" customWidth="1"/>
  </cols>
  <sheetData>
    <row r="1" spans="1:9">
      <c r="A1" s="61" t="s">
        <v>69</v>
      </c>
      <c r="B1" s="61" t="s">
        <v>70</v>
      </c>
      <c r="C1" s="61" t="s">
        <v>71</v>
      </c>
      <c r="D1" s="61" t="s">
        <v>72</v>
      </c>
      <c r="E1" s="61" t="s">
        <v>73</v>
      </c>
      <c r="F1" s="61" t="s">
        <v>74</v>
      </c>
      <c r="G1" s="61" t="s">
        <v>75</v>
      </c>
      <c r="H1" s="61" t="s">
        <v>76</v>
      </c>
      <c r="I1" s="61" t="s">
        <v>77</v>
      </c>
    </row>
    <row r="2" spans="1:9">
      <c r="A2" t="s">
        <v>78</v>
      </c>
      <c r="B2" t="s">
        <v>79</v>
      </c>
      <c r="C2" t="s">
        <v>80</v>
      </c>
      <c r="D2" t="s">
        <v>80</v>
      </c>
      <c r="E2" t="s">
        <v>80</v>
      </c>
      <c r="F2" t="s">
        <v>81</v>
      </c>
      <c r="G2" t="s">
        <v>82</v>
      </c>
      <c r="H2" s="62">
        <v>2019</v>
      </c>
      <c r="I2">
        <v>17.420200000000001</v>
      </c>
    </row>
    <row r="3" spans="1:9">
      <c r="A3" t="s">
        <v>78</v>
      </c>
      <c r="B3" t="s">
        <v>79</v>
      </c>
      <c r="C3" t="s">
        <v>80</v>
      </c>
      <c r="D3" t="s">
        <v>83</v>
      </c>
      <c r="E3" t="s">
        <v>84</v>
      </c>
      <c r="F3" t="s">
        <v>81</v>
      </c>
      <c r="G3" t="s">
        <v>82</v>
      </c>
      <c r="H3" s="62">
        <v>2019</v>
      </c>
      <c r="I3">
        <v>0.79390000000000005</v>
      </c>
    </row>
    <row r="4" spans="1:9">
      <c r="A4" t="s">
        <v>78</v>
      </c>
      <c r="B4" t="s">
        <v>79</v>
      </c>
      <c r="C4" t="s">
        <v>80</v>
      </c>
      <c r="D4" t="s">
        <v>83</v>
      </c>
      <c r="E4" t="s">
        <v>85</v>
      </c>
      <c r="F4" t="s">
        <v>81</v>
      </c>
      <c r="G4" t="s">
        <v>82</v>
      </c>
      <c r="H4" s="62">
        <v>2019</v>
      </c>
      <c r="I4">
        <v>0.60270000000000001</v>
      </c>
    </row>
    <row r="5" spans="1:9">
      <c r="A5" t="s">
        <v>78</v>
      </c>
      <c r="B5" t="s">
        <v>79</v>
      </c>
      <c r="C5" t="s">
        <v>80</v>
      </c>
      <c r="D5" t="s">
        <v>86</v>
      </c>
      <c r="E5" t="s">
        <v>87</v>
      </c>
      <c r="F5" t="s">
        <v>81</v>
      </c>
      <c r="G5" t="s">
        <v>82</v>
      </c>
      <c r="H5" s="62">
        <v>2019</v>
      </c>
      <c r="I5">
        <v>2.1299999999999999E-2</v>
      </c>
    </row>
    <row r="6" spans="1:9">
      <c r="A6" t="s">
        <v>78</v>
      </c>
      <c r="B6" t="s">
        <v>79</v>
      </c>
      <c r="C6" t="s">
        <v>80</v>
      </c>
      <c r="D6" t="s">
        <v>80</v>
      </c>
      <c r="E6" t="s">
        <v>80</v>
      </c>
      <c r="F6" t="s">
        <v>81</v>
      </c>
      <c r="G6" t="s">
        <v>82</v>
      </c>
      <c r="H6" s="62">
        <v>2020</v>
      </c>
      <c r="I6">
        <v>17.664300000000001</v>
      </c>
    </row>
    <row r="7" spans="1:9">
      <c r="A7" t="s">
        <v>78</v>
      </c>
      <c r="B7" t="s">
        <v>79</v>
      </c>
      <c r="C7" t="s">
        <v>80</v>
      </c>
      <c r="D7" t="s">
        <v>83</v>
      </c>
      <c r="E7" t="s">
        <v>84</v>
      </c>
      <c r="F7" t="s">
        <v>81</v>
      </c>
      <c r="G7" t="s">
        <v>82</v>
      </c>
      <c r="H7" s="62">
        <v>2020</v>
      </c>
      <c r="I7">
        <v>0.79369999999999996</v>
      </c>
    </row>
    <row r="8" spans="1:9">
      <c r="A8" t="s">
        <v>78</v>
      </c>
      <c r="B8" t="s">
        <v>79</v>
      </c>
      <c r="C8" t="s">
        <v>80</v>
      </c>
      <c r="D8" t="s">
        <v>83</v>
      </c>
      <c r="E8" t="s">
        <v>85</v>
      </c>
      <c r="F8" t="s">
        <v>81</v>
      </c>
      <c r="G8" t="s">
        <v>82</v>
      </c>
      <c r="H8" s="62">
        <v>2020</v>
      </c>
      <c r="I8">
        <v>0.5988</v>
      </c>
    </row>
    <row r="9" spans="1:9">
      <c r="A9" t="s">
        <v>78</v>
      </c>
      <c r="B9" t="s">
        <v>79</v>
      </c>
      <c r="C9" t="s">
        <v>80</v>
      </c>
      <c r="D9" t="s">
        <v>86</v>
      </c>
      <c r="E9" t="s">
        <v>87</v>
      </c>
      <c r="F9" t="s">
        <v>81</v>
      </c>
      <c r="G9" t="s">
        <v>82</v>
      </c>
      <c r="H9" s="62">
        <v>2020</v>
      </c>
      <c r="I9">
        <v>3.9E-2</v>
      </c>
    </row>
    <row r="10" spans="1:9">
      <c r="A10" t="s">
        <v>78</v>
      </c>
      <c r="B10" t="s">
        <v>79</v>
      </c>
      <c r="C10" t="s">
        <v>80</v>
      </c>
      <c r="D10" t="s">
        <v>80</v>
      </c>
      <c r="E10" t="s">
        <v>80</v>
      </c>
      <c r="F10" t="s">
        <v>81</v>
      </c>
      <c r="G10" t="s">
        <v>82</v>
      </c>
      <c r="H10" s="62">
        <v>2021</v>
      </c>
      <c r="I10">
        <v>17.543800000000001</v>
      </c>
    </row>
    <row r="11" spans="1:9">
      <c r="A11" t="s">
        <v>78</v>
      </c>
      <c r="B11" t="s">
        <v>79</v>
      </c>
      <c r="C11" t="s">
        <v>80</v>
      </c>
      <c r="D11" t="s">
        <v>83</v>
      </c>
      <c r="E11" t="s">
        <v>84</v>
      </c>
      <c r="F11" t="s">
        <v>81</v>
      </c>
      <c r="G11" t="s">
        <v>82</v>
      </c>
      <c r="H11" s="62">
        <v>2021</v>
      </c>
      <c r="I11">
        <v>0.8347</v>
      </c>
    </row>
    <row r="12" spans="1:9">
      <c r="A12" t="s">
        <v>78</v>
      </c>
      <c r="B12" t="s">
        <v>79</v>
      </c>
      <c r="C12" t="s">
        <v>80</v>
      </c>
      <c r="D12" t="s">
        <v>83</v>
      </c>
      <c r="E12" t="s">
        <v>85</v>
      </c>
      <c r="F12" t="s">
        <v>81</v>
      </c>
      <c r="G12" t="s">
        <v>82</v>
      </c>
      <c r="H12" s="62">
        <v>2021</v>
      </c>
      <c r="I12">
        <v>0.58420000000000005</v>
      </c>
    </row>
    <row r="13" spans="1:9">
      <c r="A13" t="s">
        <v>78</v>
      </c>
      <c r="B13" t="s">
        <v>79</v>
      </c>
      <c r="C13" t="s">
        <v>80</v>
      </c>
      <c r="D13" t="s">
        <v>86</v>
      </c>
      <c r="E13" t="s">
        <v>87</v>
      </c>
      <c r="F13" t="s">
        <v>81</v>
      </c>
      <c r="G13" t="s">
        <v>82</v>
      </c>
      <c r="H13" s="62">
        <v>2021</v>
      </c>
      <c r="I13">
        <v>5.7099999999999998E-2</v>
      </c>
    </row>
    <row r="14" spans="1:9">
      <c r="A14" t="s">
        <v>78</v>
      </c>
      <c r="B14" t="s">
        <v>79</v>
      </c>
      <c r="C14" t="s">
        <v>80</v>
      </c>
      <c r="D14" t="s">
        <v>80</v>
      </c>
      <c r="E14" t="s">
        <v>80</v>
      </c>
      <c r="F14" t="s">
        <v>81</v>
      </c>
      <c r="G14" t="s">
        <v>82</v>
      </c>
      <c r="H14" s="62">
        <v>2022</v>
      </c>
      <c r="I14">
        <v>17.8474</v>
      </c>
    </row>
    <row r="15" spans="1:9">
      <c r="A15" t="s">
        <v>78</v>
      </c>
      <c r="B15" t="s">
        <v>79</v>
      </c>
      <c r="C15" t="s">
        <v>80</v>
      </c>
      <c r="D15" t="s">
        <v>83</v>
      </c>
      <c r="E15" t="s">
        <v>84</v>
      </c>
      <c r="F15" t="s">
        <v>81</v>
      </c>
      <c r="G15" t="s">
        <v>82</v>
      </c>
      <c r="H15" s="62">
        <v>2022</v>
      </c>
      <c r="I15">
        <v>0.75590000000000002</v>
      </c>
    </row>
    <row r="16" spans="1:9">
      <c r="A16" t="s">
        <v>78</v>
      </c>
      <c r="B16" t="s">
        <v>79</v>
      </c>
      <c r="C16" t="s">
        <v>80</v>
      </c>
      <c r="D16" t="s">
        <v>83</v>
      </c>
      <c r="E16" t="s">
        <v>85</v>
      </c>
      <c r="F16" t="s">
        <v>81</v>
      </c>
      <c r="G16" t="s">
        <v>82</v>
      </c>
      <c r="H16" s="62">
        <v>2022</v>
      </c>
      <c r="I16">
        <v>0.55679999999999996</v>
      </c>
    </row>
    <row r="17" spans="1:9">
      <c r="A17" t="s">
        <v>78</v>
      </c>
      <c r="B17" t="s">
        <v>79</v>
      </c>
      <c r="C17" t="s">
        <v>80</v>
      </c>
      <c r="D17" t="s">
        <v>86</v>
      </c>
      <c r="E17" t="s">
        <v>87</v>
      </c>
      <c r="F17" t="s">
        <v>81</v>
      </c>
      <c r="G17" t="s">
        <v>82</v>
      </c>
      <c r="H17" s="62">
        <v>2022</v>
      </c>
      <c r="I17">
        <v>7.0900000000000005E-2</v>
      </c>
    </row>
    <row r="18" spans="1:9">
      <c r="A18" t="s">
        <v>78</v>
      </c>
      <c r="B18" t="s">
        <v>79</v>
      </c>
      <c r="C18" t="s">
        <v>80</v>
      </c>
      <c r="D18" t="s">
        <v>80</v>
      </c>
      <c r="E18" t="s">
        <v>80</v>
      </c>
      <c r="F18" t="s">
        <v>81</v>
      </c>
      <c r="G18" t="s">
        <v>82</v>
      </c>
      <c r="H18" s="62">
        <v>2023</v>
      </c>
      <c r="I18">
        <v>17.302299999999999</v>
      </c>
    </row>
    <row r="19" spans="1:9">
      <c r="A19" t="s">
        <v>78</v>
      </c>
      <c r="B19" t="s">
        <v>79</v>
      </c>
      <c r="C19" t="s">
        <v>80</v>
      </c>
      <c r="D19" t="s">
        <v>83</v>
      </c>
      <c r="E19" t="s">
        <v>84</v>
      </c>
      <c r="F19" t="s">
        <v>81</v>
      </c>
      <c r="G19" t="s">
        <v>82</v>
      </c>
      <c r="H19" s="62">
        <v>2023</v>
      </c>
      <c r="I19">
        <v>0.84830000000000005</v>
      </c>
    </row>
    <row r="20" spans="1:9">
      <c r="A20" t="s">
        <v>78</v>
      </c>
      <c r="B20" t="s">
        <v>79</v>
      </c>
      <c r="C20" t="s">
        <v>80</v>
      </c>
      <c r="D20" t="s">
        <v>83</v>
      </c>
      <c r="E20" t="s">
        <v>85</v>
      </c>
      <c r="F20" t="s">
        <v>81</v>
      </c>
      <c r="G20" t="s">
        <v>82</v>
      </c>
      <c r="H20" s="62">
        <v>2023</v>
      </c>
      <c r="I20">
        <v>0.67649999999999999</v>
      </c>
    </row>
    <row r="21" spans="1:9">
      <c r="A21" t="s">
        <v>78</v>
      </c>
      <c r="B21" t="s">
        <v>79</v>
      </c>
      <c r="C21" t="s">
        <v>80</v>
      </c>
      <c r="D21" t="s">
        <v>86</v>
      </c>
      <c r="E21" t="s">
        <v>87</v>
      </c>
      <c r="F21" t="s">
        <v>81</v>
      </c>
      <c r="G21" t="s">
        <v>82</v>
      </c>
      <c r="H21" s="62">
        <v>2023</v>
      </c>
      <c r="I21">
        <v>7.7899999999999997E-2</v>
      </c>
    </row>
    <row r="22" spans="1:9">
      <c r="A22" t="s">
        <v>78</v>
      </c>
      <c r="B22" t="s">
        <v>79</v>
      </c>
      <c r="C22" t="s">
        <v>80</v>
      </c>
      <c r="D22" t="s">
        <v>80</v>
      </c>
      <c r="E22" t="s">
        <v>80</v>
      </c>
      <c r="F22" t="s">
        <v>81</v>
      </c>
      <c r="G22" t="s">
        <v>88</v>
      </c>
      <c r="H22" s="62">
        <v>2024</v>
      </c>
      <c r="I22">
        <v>17.8002</v>
      </c>
    </row>
    <row r="23" spans="1:9">
      <c r="A23" t="s">
        <v>78</v>
      </c>
      <c r="B23" t="s">
        <v>79</v>
      </c>
      <c r="C23" t="s">
        <v>80</v>
      </c>
      <c r="D23" t="s">
        <v>89</v>
      </c>
      <c r="E23" t="s">
        <v>90</v>
      </c>
      <c r="F23" t="s">
        <v>81</v>
      </c>
      <c r="G23" t="s">
        <v>88</v>
      </c>
      <c r="H23" s="62">
        <v>2024</v>
      </c>
      <c r="I23">
        <v>3.2682000000000002</v>
      </c>
    </row>
    <row r="24" spans="1:9">
      <c r="A24" t="s">
        <v>78</v>
      </c>
      <c r="B24" t="s">
        <v>79</v>
      </c>
      <c r="C24" t="s">
        <v>80</v>
      </c>
      <c r="D24" t="s">
        <v>89</v>
      </c>
      <c r="E24" t="s">
        <v>91</v>
      </c>
      <c r="F24" t="s">
        <v>81</v>
      </c>
      <c r="G24" t="s">
        <v>88</v>
      </c>
      <c r="H24" s="62">
        <v>2024</v>
      </c>
      <c r="I24">
        <v>-1.8700000000000001E-2</v>
      </c>
    </row>
    <row r="25" spans="1:9">
      <c r="A25" t="s">
        <v>78</v>
      </c>
      <c r="B25" t="s">
        <v>79</v>
      </c>
      <c r="C25" t="s">
        <v>80</v>
      </c>
      <c r="D25" t="s">
        <v>92</v>
      </c>
      <c r="E25" t="s">
        <v>93</v>
      </c>
      <c r="F25" t="s">
        <v>81</v>
      </c>
      <c r="G25" t="s">
        <v>88</v>
      </c>
      <c r="H25" s="62">
        <v>2024</v>
      </c>
      <c r="I25">
        <v>-7.51E-2</v>
      </c>
    </row>
    <row r="26" spans="1:9">
      <c r="A26" t="s">
        <v>78</v>
      </c>
      <c r="B26" t="s">
        <v>79</v>
      </c>
      <c r="C26" t="s">
        <v>80</v>
      </c>
      <c r="D26" t="s">
        <v>92</v>
      </c>
      <c r="E26" t="s">
        <v>94</v>
      </c>
      <c r="F26" t="s">
        <v>81</v>
      </c>
      <c r="G26" t="s">
        <v>88</v>
      </c>
      <c r="H26" s="62">
        <v>2024</v>
      </c>
      <c r="I26">
        <v>7.8776999999999999</v>
      </c>
    </row>
    <row r="27" spans="1:9">
      <c r="A27" t="s">
        <v>78</v>
      </c>
      <c r="B27" t="s">
        <v>79</v>
      </c>
      <c r="C27" t="s">
        <v>80</v>
      </c>
      <c r="D27" t="s">
        <v>92</v>
      </c>
      <c r="E27" t="s">
        <v>95</v>
      </c>
      <c r="F27" t="s">
        <v>81</v>
      </c>
      <c r="G27" t="s">
        <v>88</v>
      </c>
      <c r="H27" s="62">
        <v>2024</v>
      </c>
      <c r="I27">
        <v>5.2283999999999997</v>
      </c>
    </row>
    <row r="28" spans="1:9">
      <c r="A28" t="s">
        <v>78</v>
      </c>
      <c r="B28" t="s">
        <v>79</v>
      </c>
      <c r="C28" t="s">
        <v>80</v>
      </c>
      <c r="D28" t="s">
        <v>96</v>
      </c>
      <c r="E28" t="s">
        <v>92</v>
      </c>
      <c r="F28" t="s">
        <v>81</v>
      </c>
      <c r="G28" t="s">
        <v>88</v>
      </c>
      <c r="H28" s="62">
        <v>2024</v>
      </c>
      <c r="I28">
        <v>8.6999999999999994E-3</v>
      </c>
    </row>
    <row r="29" spans="1:9">
      <c r="A29" t="s">
        <v>78</v>
      </c>
      <c r="B29" t="s">
        <v>79</v>
      </c>
      <c r="C29" t="s">
        <v>80</v>
      </c>
      <c r="D29" t="s">
        <v>96</v>
      </c>
      <c r="E29" t="s">
        <v>89</v>
      </c>
      <c r="F29" t="s">
        <v>81</v>
      </c>
      <c r="G29" t="s">
        <v>88</v>
      </c>
      <c r="H29" s="62">
        <v>2024</v>
      </c>
      <c r="I29">
        <v>1.9E-3</v>
      </c>
    </row>
    <row r="30" spans="1:9">
      <c r="A30" t="s">
        <v>78</v>
      </c>
      <c r="B30" t="s">
        <v>79</v>
      </c>
      <c r="C30" t="s">
        <v>80</v>
      </c>
      <c r="D30" t="s">
        <v>97</v>
      </c>
      <c r="E30" t="s">
        <v>98</v>
      </c>
      <c r="F30" t="s">
        <v>81</v>
      </c>
      <c r="G30" t="s">
        <v>88</v>
      </c>
      <c r="H30" s="62">
        <v>2024</v>
      </c>
      <c r="I30">
        <v>5.0999999999999997E-2</v>
      </c>
    </row>
    <row r="31" spans="1:9">
      <c r="A31" t="s">
        <v>78</v>
      </c>
      <c r="B31" t="s">
        <v>79</v>
      </c>
      <c r="C31" t="s">
        <v>80</v>
      </c>
      <c r="D31" t="s">
        <v>97</v>
      </c>
      <c r="E31" t="s">
        <v>99</v>
      </c>
      <c r="F31" t="s">
        <v>81</v>
      </c>
      <c r="G31" t="s">
        <v>88</v>
      </c>
      <c r="H31" s="62">
        <v>2024</v>
      </c>
      <c r="I31">
        <v>0</v>
      </c>
    </row>
    <row r="32" spans="1:9">
      <c r="A32" t="s">
        <v>78</v>
      </c>
      <c r="B32" t="s">
        <v>79</v>
      </c>
      <c r="C32" t="s">
        <v>80</v>
      </c>
      <c r="D32" t="s">
        <v>100</v>
      </c>
      <c r="E32" t="s">
        <v>101</v>
      </c>
      <c r="F32" t="s">
        <v>81</v>
      </c>
      <c r="G32" t="s">
        <v>88</v>
      </c>
      <c r="H32" s="62">
        <v>2024</v>
      </c>
      <c r="I32">
        <v>2.9999999999999997E-4</v>
      </c>
    </row>
    <row r="33" spans="1:9">
      <c r="A33" t="s">
        <v>78</v>
      </c>
      <c r="B33" t="s">
        <v>79</v>
      </c>
      <c r="C33" t="s">
        <v>80</v>
      </c>
      <c r="D33" t="s">
        <v>100</v>
      </c>
      <c r="E33" t="s">
        <v>102</v>
      </c>
      <c r="F33" t="s">
        <v>81</v>
      </c>
      <c r="G33" t="s">
        <v>88</v>
      </c>
      <c r="H33" s="62">
        <v>2024</v>
      </c>
      <c r="I33">
        <v>0</v>
      </c>
    </row>
    <row r="34" spans="1:9">
      <c r="A34" t="s">
        <v>78</v>
      </c>
      <c r="B34" t="s">
        <v>79</v>
      </c>
      <c r="C34" t="s">
        <v>80</v>
      </c>
      <c r="D34" t="s">
        <v>83</v>
      </c>
      <c r="E34" t="s">
        <v>84</v>
      </c>
      <c r="F34" t="s">
        <v>81</v>
      </c>
      <c r="G34" t="s">
        <v>88</v>
      </c>
      <c r="H34" s="62">
        <v>2024</v>
      </c>
      <c r="I34">
        <v>0.96450000000000002</v>
      </c>
    </row>
    <row r="35" spans="1:9">
      <c r="A35" t="s">
        <v>78</v>
      </c>
      <c r="B35" t="s">
        <v>79</v>
      </c>
      <c r="C35" t="s">
        <v>80</v>
      </c>
      <c r="D35" t="s">
        <v>83</v>
      </c>
      <c r="E35" t="s">
        <v>85</v>
      </c>
      <c r="F35" t="s">
        <v>81</v>
      </c>
      <c r="G35" t="s">
        <v>88</v>
      </c>
      <c r="H35" s="62">
        <v>2024</v>
      </c>
      <c r="I35">
        <v>0.47039999999999998</v>
      </c>
    </row>
    <row r="36" spans="1:9">
      <c r="A36" t="s">
        <v>78</v>
      </c>
      <c r="B36" t="s">
        <v>79</v>
      </c>
      <c r="C36" t="s">
        <v>80</v>
      </c>
      <c r="D36" t="s">
        <v>86</v>
      </c>
      <c r="E36" t="s">
        <v>87</v>
      </c>
      <c r="F36" t="s">
        <v>81</v>
      </c>
      <c r="G36" t="s">
        <v>88</v>
      </c>
      <c r="H36" s="62">
        <v>2024</v>
      </c>
      <c r="I36">
        <v>9.3899999999999997E-2</v>
      </c>
    </row>
    <row r="37" spans="1:9">
      <c r="A37" t="s">
        <v>78</v>
      </c>
      <c r="B37" t="s">
        <v>79</v>
      </c>
      <c r="C37" t="s">
        <v>80</v>
      </c>
      <c r="D37" t="s">
        <v>103</v>
      </c>
      <c r="E37" t="s">
        <v>92</v>
      </c>
      <c r="F37" t="s">
        <v>81</v>
      </c>
      <c r="G37" t="s">
        <v>88</v>
      </c>
      <c r="H37" s="62">
        <v>2024</v>
      </c>
      <c r="I37">
        <v>0.46229999999999999</v>
      </c>
    </row>
    <row r="38" spans="1:9">
      <c r="A38" t="s">
        <v>78</v>
      </c>
      <c r="B38" t="s">
        <v>79</v>
      </c>
      <c r="C38" t="s">
        <v>80</v>
      </c>
      <c r="D38" t="s">
        <v>103</v>
      </c>
      <c r="E38" t="s">
        <v>89</v>
      </c>
      <c r="F38" t="s">
        <v>81</v>
      </c>
      <c r="G38" t="s">
        <v>88</v>
      </c>
      <c r="H38" s="62">
        <v>2024</v>
      </c>
      <c r="I38">
        <v>3.0407000000000002</v>
      </c>
    </row>
    <row r="39" spans="1:9">
      <c r="A39" t="s">
        <v>78</v>
      </c>
      <c r="B39" t="s">
        <v>79</v>
      </c>
      <c r="C39" t="s">
        <v>80</v>
      </c>
      <c r="D39" t="s">
        <v>80</v>
      </c>
      <c r="E39" t="s">
        <v>80</v>
      </c>
      <c r="F39" t="s">
        <v>81</v>
      </c>
      <c r="G39" t="s">
        <v>88</v>
      </c>
      <c r="H39" s="62">
        <v>2025</v>
      </c>
      <c r="I39">
        <v>18.0182</v>
      </c>
    </row>
    <row r="40" spans="1:9">
      <c r="A40" t="s">
        <v>78</v>
      </c>
      <c r="B40" t="s">
        <v>79</v>
      </c>
      <c r="C40" t="s">
        <v>80</v>
      </c>
      <c r="D40" t="s">
        <v>89</v>
      </c>
      <c r="E40" t="s">
        <v>90</v>
      </c>
      <c r="F40" t="s">
        <v>81</v>
      </c>
      <c r="G40" t="s">
        <v>88</v>
      </c>
      <c r="H40" s="62">
        <v>2025</v>
      </c>
      <c r="I40">
        <v>3.0188000000000001</v>
      </c>
    </row>
    <row r="41" spans="1:9">
      <c r="A41" t="s">
        <v>78</v>
      </c>
      <c r="B41" t="s">
        <v>79</v>
      </c>
      <c r="C41" t="s">
        <v>80</v>
      </c>
      <c r="D41" t="s">
        <v>89</v>
      </c>
      <c r="E41" t="s">
        <v>91</v>
      </c>
      <c r="F41" t="s">
        <v>81</v>
      </c>
      <c r="G41" t="s">
        <v>88</v>
      </c>
      <c r="H41" s="62">
        <v>2025</v>
      </c>
      <c r="I41">
        <v>-2.24E-2</v>
      </c>
    </row>
    <row r="42" spans="1:9">
      <c r="A42" t="s">
        <v>78</v>
      </c>
      <c r="B42" t="s">
        <v>79</v>
      </c>
      <c r="C42" t="s">
        <v>80</v>
      </c>
      <c r="D42" t="s">
        <v>92</v>
      </c>
      <c r="E42" t="s">
        <v>93</v>
      </c>
      <c r="F42" t="s">
        <v>81</v>
      </c>
      <c r="G42" t="s">
        <v>88</v>
      </c>
      <c r="H42" s="62">
        <v>2025</v>
      </c>
      <c r="I42">
        <v>-9.9900000000000003E-2</v>
      </c>
    </row>
    <row r="43" spans="1:9">
      <c r="A43" t="s">
        <v>78</v>
      </c>
      <c r="B43" t="s">
        <v>79</v>
      </c>
      <c r="C43" t="s">
        <v>80</v>
      </c>
      <c r="D43" t="s">
        <v>92</v>
      </c>
      <c r="E43" t="s">
        <v>94</v>
      </c>
      <c r="F43" t="s">
        <v>81</v>
      </c>
      <c r="G43" t="s">
        <v>88</v>
      </c>
      <c r="H43" s="62">
        <v>2025</v>
      </c>
      <c r="I43">
        <v>7.8676000000000004</v>
      </c>
    </row>
    <row r="44" spans="1:9">
      <c r="A44" t="s">
        <v>78</v>
      </c>
      <c r="B44" t="s">
        <v>79</v>
      </c>
      <c r="C44" t="s">
        <v>80</v>
      </c>
      <c r="D44" t="s">
        <v>92</v>
      </c>
      <c r="E44" t="s">
        <v>95</v>
      </c>
      <c r="F44" t="s">
        <v>81</v>
      </c>
      <c r="G44" t="s">
        <v>88</v>
      </c>
      <c r="H44" s="62">
        <v>2025</v>
      </c>
      <c r="I44">
        <v>5.6265999999999998</v>
      </c>
    </row>
    <row r="45" spans="1:9">
      <c r="A45" t="s">
        <v>78</v>
      </c>
      <c r="B45" t="s">
        <v>79</v>
      </c>
      <c r="C45" t="s">
        <v>80</v>
      </c>
      <c r="D45" t="s">
        <v>96</v>
      </c>
      <c r="E45" t="s">
        <v>92</v>
      </c>
      <c r="F45" t="s">
        <v>81</v>
      </c>
      <c r="G45" t="s">
        <v>88</v>
      </c>
      <c r="H45" s="62">
        <v>2025</v>
      </c>
      <c r="I45">
        <v>6.1400000000000003E-2</v>
      </c>
    </row>
    <row r="46" spans="1:9">
      <c r="A46" t="s">
        <v>78</v>
      </c>
      <c r="B46" t="s">
        <v>79</v>
      </c>
      <c r="C46" t="s">
        <v>80</v>
      </c>
      <c r="D46" t="s">
        <v>96</v>
      </c>
      <c r="E46" t="s">
        <v>89</v>
      </c>
      <c r="F46" t="s">
        <v>81</v>
      </c>
      <c r="G46" t="s">
        <v>88</v>
      </c>
      <c r="H46" s="62">
        <v>2025</v>
      </c>
      <c r="I46">
        <v>1.4200000000000001E-2</v>
      </c>
    </row>
    <row r="47" spans="1:9">
      <c r="A47" t="s">
        <v>78</v>
      </c>
      <c r="B47" t="s">
        <v>79</v>
      </c>
      <c r="C47" t="s">
        <v>80</v>
      </c>
      <c r="D47" t="s">
        <v>97</v>
      </c>
      <c r="E47" t="s">
        <v>98</v>
      </c>
      <c r="F47" t="s">
        <v>81</v>
      </c>
      <c r="G47" t="s">
        <v>88</v>
      </c>
      <c r="H47" s="62">
        <v>2025</v>
      </c>
      <c r="I47">
        <v>9.6100000000000005E-2</v>
      </c>
    </row>
    <row r="48" spans="1:9">
      <c r="A48" t="s">
        <v>78</v>
      </c>
      <c r="B48" t="s">
        <v>79</v>
      </c>
      <c r="C48" t="s">
        <v>80</v>
      </c>
      <c r="D48" t="s">
        <v>97</v>
      </c>
      <c r="E48" t="s">
        <v>99</v>
      </c>
      <c r="F48" t="s">
        <v>81</v>
      </c>
      <c r="G48" t="s">
        <v>88</v>
      </c>
      <c r="H48" s="62">
        <v>2025</v>
      </c>
      <c r="I48">
        <v>0</v>
      </c>
    </row>
    <row r="49" spans="1:9">
      <c r="A49" t="s">
        <v>78</v>
      </c>
      <c r="B49" t="s">
        <v>79</v>
      </c>
      <c r="C49" t="s">
        <v>80</v>
      </c>
      <c r="D49" t="s">
        <v>100</v>
      </c>
      <c r="E49" t="s">
        <v>101</v>
      </c>
      <c r="F49" t="s">
        <v>81</v>
      </c>
      <c r="G49" t="s">
        <v>88</v>
      </c>
      <c r="H49" s="62">
        <v>2025</v>
      </c>
      <c r="I49">
        <v>1.1999999999999999E-3</v>
      </c>
    </row>
    <row r="50" spans="1:9">
      <c r="A50" t="s">
        <v>78</v>
      </c>
      <c r="B50" t="s">
        <v>79</v>
      </c>
      <c r="C50" t="s">
        <v>80</v>
      </c>
      <c r="D50" t="s">
        <v>100</v>
      </c>
      <c r="E50" t="s">
        <v>102</v>
      </c>
      <c r="F50" t="s">
        <v>81</v>
      </c>
      <c r="G50" t="s">
        <v>88</v>
      </c>
      <c r="H50" s="62">
        <v>2025</v>
      </c>
      <c r="I50">
        <v>0</v>
      </c>
    </row>
    <row r="51" spans="1:9">
      <c r="A51" t="s">
        <v>78</v>
      </c>
      <c r="B51" t="s">
        <v>79</v>
      </c>
      <c r="C51" t="s">
        <v>80</v>
      </c>
      <c r="D51" t="s">
        <v>83</v>
      </c>
      <c r="E51" t="s">
        <v>84</v>
      </c>
      <c r="F51" t="s">
        <v>81</v>
      </c>
      <c r="G51" t="s">
        <v>88</v>
      </c>
      <c r="H51" s="62">
        <v>2025</v>
      </c>
      <c r="I51">
        <v>0.9778</v>
      </c>
    </row>
    <row r="52" spans="1:9">
      <c r="A52" t="s">
        <v>78</v>
      </c>
      <c r="B52" t="s">
        <v>79</v>
      </c>
      <c r="C52" t="s">
        <v>80</v>
      </c>
      <c r="D52" t="s">
        <v>83</v>
      </c>
      <c r="E52" t="s">
        <v>85</v>
      </c>
      <c r="F52" t="s">
        <v>81</v>
      </c>
      <c r="G52" t="s">
        <v>88</v>
      </c>
      <c r="H52" s="62">
        <v>2025</v>
      </c>
      <c r="I52">
        <v>0.47689999999999999</v>
      </c>
    </row>
    <row r="53" spans="1:9">
      <c r="A53" t="s">
        <v>78</v>
      </c>
      <c r="B53" t="s">
        <v>79</v>
      </c>
      <c r="C53" t="s">
        <v>80</v>
      </c>
      <c r="D53" t="s">
        <v>86</v>
      </c>
      <c r="E53" t="s">
        <v>87</v>
      </c>
      <c r="F53" t="s">
        <v>81</v>
      </c>
      <c r="G53" t="s">
        <v>88</v>
      </c>
      <c r="H53" s="62">
        <v>2025</v>
      </c>
      <c r="I53">
        <v>0.12230000000000001</v>
      </c>
    </row>
    <row r="54" spans="1:9">
      <c r="A54" t="s">
        <v>78</v>
      </c>
      <c r="B54" t="s">
        <v>79</v>
      </c>
      <c r="C54" t="s">
        <v>80</v>
      </c>
      <c r="D54" t="s">
        <v>103</v>
      </c>
      <c r="E54" t="s">
        <v>92</v>
      </c>
      <c r="F54" t="s">
        <v>81</v>
      </c>
      <c r="G54" t="s">
        <v>88</v>
      </c>
      <c r="H54" s="62">
        <v>2025</v>
      </c>
      <c r="I54">
        <v>0.52539999999999998</v>
      </c>
    </row>
    <row r="55" spans="1:9">
      <c r="A55" t="s">
        <v>78</v>
      </c>
      <c r="B55" t="s">
        <v>79</v>
      </c>
      <c r="C55" t="s">
        <v>80</v>
      </c>
      <c r="D55" t="s">
        <v>103</v>
      </c>
      <c r="E55" t="s">
        <v>89</v>
      </c>
      <c r="F55" t="s">
        <v>81</v>
      </c>
      <c r="G55" t="s">
        <v>88</v>
      </c>
      <c r="H55" s="62">
        <v>2025</v>
      </c>
      <c r="I55">
        <v>3.4144000000000001</v>
      </c>
    </row>
    <row r="56" spans="1:9">
      <c r="A56" t="s">
        <v>78</v>
      </c>
      <c r="B56" t="s">
        <v>79</v>
      </c>
      <c r="C56" t="s">
        <v>80</v>
      </c>
      <c r="D56" t="s">
        <v>80</v>
      </c>
      <c r="E56" t="s">
        <v>80</v>
      </c>
      <c r="F56" t="s">
        <v>81</v>
      </c>
      <c r="G56" t="s">
        <v>88</v>
      </c>
      <c r="H56" s="62">
        <v>2026</v>
      </c>
      <c r="I56">
        <v>18.0824</v>
      </c>
    </row>
    <row r="57" spans="1:9">
      <c r="A57" t="s">
        <v>78</v>
      </c>
      <c r="B57" t="s">
        <v>79</v>
      </c>
      <c r="C57" t="s">
        <v>80</v>
      </c>
      <c r="D57" t="s">
        <v>89</v>
      </c>
      <c r="E57" t="s">
        <v>90</v>
      </c>
      <c r="F57" t="s">
        <v>81</v>
      </c>
      <c r="G57" t="s">
        <v>88</v>
      </c>
      <c r="H57" s="62">
        <v>2026</v>
      </c>
      <c r="I57">
        <v>2.7311000000000001</v>
      </c>
    </row>
    <row r="58" spans="1:9">
      <c r="A58" t="s">
        <v>78</v>
      </c>
      <c r="B58" t="s">
        <v>79</v>
      </c>
      <c r="C58" t="s">
        <v>80</v>
      </c>
      <c r="D58" t="s">
        <v>89</v>
      </c>
      <c r="E58" t="s">
        <v>91</v>
      </c>
      <c r="F58" t="s">
        <v>81</v>
      </c>
      <c r="G58" t="s">
        <v>88</v>
      </c>
      <c r="H58" s="62">
        <v>2026</v>
      </c>
      <c r="I58">
        <v>-2.6100000000000002E-2</v>
      </c>
    </row>
    <row r="59" spans="1:9">
      <c r="A59" t="s">
        <v>78</v>
      </c>
      <c r="B59" t="s">
        <v>79</v>
      </c>
      <c r="C59" t="s">
        <v>80</v>
      </c>
      <c r="D59" t="s">
        <v>92</v>
      </c>
      <c r="E59" t="s">
        <v>93</v>
      </c>
      <c r="F59" t="s">
        <v>81</v>
      </c>
      <c r="G59" t="s">
        <v>88</v>
      </c>
      <c r="H59" s="62">
        <v>2026</v>
      </c>
      <c r="I59">
        <v>-0.13020000000000001</v>
      </c>
    </row>
    <row r="60" spans="1:9">
      <c r="A60" t="s">
        <v>78</v>
      </c>
      <c r="B60" t="s">
        <v>79</v>
      </c>
      <c r="C60" t="s">
        <v>80</v>
      </c>
      <c r="D60" t="s">
        <v>92</v>
      </c>
      <c r="E60" t="s">
        <v>94</v>
      </c>
      <c r="F60" t="s">
        <v>81</v>
      </c>
      <c r="G60" t="s">
        <v>88</v>
      </c>
      <c r="H60" s="62">
        <v>2026</v>
      </c>
      <c r="I60">
        <v>7.8632999999999997</v>
      </c>
    </row>
    <row r="61" spans="1:9">
      <c r="A61" t="s">
        <v>78</v>
      </c>
      <c r="B61" t="s">
        <v>79</v>
      </c>
      <c r="C61" t="s">
        <v>80</v>
      </c>
      <c r="D61" t="s">
        <v>92</v>
      </c>
      <c r="E61" t="s">
        <v>95</v>
      </c>
      <c r="F61" t="s">
        <v>81</v>
      </c>
      <c r="G61" t="s">
        <v>88</v>
      </c>
      <c r="H61" s="62">
        <v>2026</v>
      </c>
      <c r="I61">
        <v>5.7782999999999998</v>
      </c>
    </row>
    <row r="62" spans="1:9">
      <c r="A62" t="s">
        <v>78</v>
      </c>
      <c r="B62" t="s">
        <v>79</v>
      </c>
      <c r="C62" t="s">
        <v>80</v>
      </c>
      <c r="D62" t="s">
        <v>96</v>
      </c>
      <c r="E62" t="s">
        <v>92</v>
      </c>
      <c r="F62" t="s">
        <v>81</v>
      </c>
      <c r="G62" t="s">
        <v>88</v>
      </c>
      <c r="H62" s="62">
        <v>2026</v>
      </c>
      <c r="I62">
        <v>0.1933</v>
      </c>
    </row>
    <row r="63" spans="1:9">
      <c r="A63" t="s">
        <v>78</v>
      </c>
      <c r="B63" t="s">
        <v>79</v>
      </c>
      <c r="C63" t="s">
        <v>80</v>
      </c>
      <c r="D63" t="s">
        <v>96</v>
      </c>
      <c r="E63" t="s">
        <v>89</v>
      </c>
      <c r="F63" t="s">
        <v>81</v>
      </c>
      <c r="G63" t="s">
        <v>88</v>
      </c>
      <c r="H63" s="62">
        <v>2026</v>
      </c>
      <c r="I63">
        <v>4.4499999999999998E-2</v>
      </c>
    </row>
    <row r="64" spans="1:9">
      <c r="A64" t="s">
        <v>78</v>
      </c>
      <c r="B64" t="s">
        <v>79</v>
      </c>
      <c r="C64" t="s">
        <v>80</v>
      </c>
      <c r="D64" t="s">
        <v>97</v>
      </c>
      <c r="E64" t="s">
        <v>98</v>
      </c>
      <c r="F64" t="s">
        <v>81</v>
      </c>
      <c r="G64" t="s">
        <v>88</v>
      </c>
      <c r="H64" s="62">
        <v>2026</v>
      </c>
      <c r="I64">
        <v>0.16420000000000001</v>
      </c>
    </row>
    <row r="65" spans="1:9">
      <c r="A65" t="s">
        <v>78</v>
      </c>
      <c r="B65" t="s">
        <v>79</v>
      </c>
      <c r="C65" t="s">
        <v>80</v>
      </c>
      <c r="D65" t="s">
        <v>97</v>
      </c>
      <c r="E65" t="s">
        <v>99</v>
      </c>
      <c r="F65" t="s">
        <v>81</v>
      </c>
      <c r="G65" t="s">
        <v>88</v>
      </c>
      <c r="H65" s="62">
        <v>2026</v>
      </c>
      <c r="I65">
        <v>0</v>
      </c>
    </row>
    <row r="66" spans="1:9">
      <c r="A66" t="s">
        <v>78</v>
      </c>
      <c r="B66" t="s">
        <v>79</v>
      </c>
      <c r="C66" t="s">
        <v>80</v>
      </c>
      <c r="D66" t="s">
        <v>100</v>
      </c>
      <c r="E66" t="s">
        <v>101</v>
      </c>
      <c r="F66" t="s">
        <v>81</v>
      </c>
      <c r="G66" t="s">
        <v>88</v>
      </c>
      <c r="H66" s="62">
        <v>2026</v>
      </c>
      <c r="I66">
        <v>1.5E-3</v>
      </c>
    </row>
    <row r="67" spans="1:9">
      <c r="A67" t="s">
        <v>78</v>
      </c>
      <c r="B67" t="s">
        <v>79</v>
      </c>
      <c r="C67" t="s">
        <v>80</v>
      </c>
      <c r="D67" t="s">
        <v>100</v>
      </c>
      <c r="E67" t="s">
        <v>102</v>
      </c>
      <c r="F67" t="s">
        <v>81</v>
      </c>
      <c r="G67" t="s">
        <v>88</v>
      </c>
      <c r="H67" s="62">
        <v>2026</v>
      </c>
      <c r="I67">
        <v>0</v>
      </c>
    </row>
    <row r="68" spans="1:9">
      <c r="A68" t="s">
        <v>78</v>
      </c>
      <c r="B68" t="s">
        <v>79</v>
      </c>
      <c r="C68" t="s">
        <v>80</v>
      </c>
      <c r="D68" t="s">
        <v>83</v>
      </c>
      <c r="E68" t="s">
        <v>84</v>
      </c>
      <c r="F68" t="s">
        <v>81</v>
      </c>
      <c r="G68" t="s">
        <v>88</v>
      </c>
      <c r="H68" s="62">
        <v>2026</v>
      </c>
      <c r="I68">
        <v>0.98309999999999997</v>
      </c>
    </row>
    <row r="69" spans="1:9">
      <c r="A69" t="s">
        <v>78</v>
      </c>
      <c r="B69" t="s">
        <v>79</v>
      </c>
      <c r="C69" t="s">
        <v>80</v>
      </c>
      <c r="D69" t="s">
        <v>83</v>
      </c>
      <c r="E69" t="s">
        <v>85</v>
      </c>
      <c r="F69" t="s">
        <v>81</v>
      </c>
      <c r="G69" t="s">
        <v>88</v>
      </c>
      <c r="H69" s="62">
        <v>2026</v>
      </c>
      <c r="I69">
        <v>0.47949999999999998</v>
      </c>
    </row>
    <row r="70" spans="1:9">
      <c r="A70" t="s">
        <v>78</v>
      </c>
      <c r="B70" t="s">
        <v>79</v>
      </c>
      <c r="C70" t="s">
        <v>80</v>
      </c>
      <c r="D70" t="s">
        <v>86</v>
      </c>
      <c r="E70" t="s">
        <v>87</v>
      </c>
      <c r="F70" t="s">
        <v>81</v>
      </c>
      <c r="G70" t="s">
        <v>88</v>
      </c>
      <c r="H70" s="62">
        <v>2026</v>
      </c>
      <c r="I70">
        <v>0.15629999999999999</v>
      </c>
    </row>
    <row r="71" spans="1:9">
      <c r="A71" t="s">
        <v>78</v>
      </c>
      <c r="B71" t="s">
        <v>79</v>
      </c>
      <c r="C71" t="s">
        <v>80</v>
      </c>
      <c r="D71" t="s">
        <v>103</v>
      </c>
      <c r="E71" t="s">
        <v>92</v>
      </c>
      <c r="F71" t="s">
        <v>81</v>
      </c>
      <c r="G71" t="s">
        <v>88</v>
      </c>
      <c r="H71" s="62">
        <v>2026</v>
      </c>
      <c r="I71">
        <v>0.6018</v>
      </c>
    </row>
    <row r="72" spans="1:9">
      <c r="A72" t="s">
        <v>78</v>
      </c>
      <c r="B72" t="s">
        <v>79</v>
      </c>
      <c r="C72" t="s">
        <v>80</v>
      </c>
      <c r="D72" t="s">
        <v>103</v>
      </c>
      <c r="E72" t="s">
        <v>89</v>
      </c>
      <c r="F72" t="s">
        <v>81</v>
      </c>
      <c r="G72" t="s">
        <v>88</v>
      </c>
      <c r="H72" s="62">
        <v>2026</v>
      </c>
      <c r="I72">
        <v>3.7974999999999999</v>
      </c>
    </row>
    <row r="73" spans="1:9">
      <c r="A73" t="s">
        <v>78</v>
      </c>
      <c r="B73" t="s">
        <v>79</v>
      </c>
      <c r="C73" t="s">
        <v>80</v>
      </c>
      <c r="D73" t="s">
        <v>80</v>
      </c>
      <c r="E73" t="s">
        <v>80</v>
      </c>
      <c r="F73" t="s">
        <v>81</v>
      </c>
      <c r="G73" t="s">
        <v>88</v>
      </c>
      <c r="H73" s="62">
        <v>2027</v>
      </c>
      <c r="I73">
        <v>18.287199999999999</v>
      </c>
    </row>
    <row r="74" spans="1:9">
      <c r="A74" t="s">
        <v>78</v>
      </c>
      <c r="B74" t="s">
        <v>79</v>
      </c>
      <c r="C74" t="s">
        <v>80</v>
      </c>
      <c r="D74" t="s">
        <v>89</v>
      </c>
      <c r="E74" t="s">
        <v>90</v>
      </c>
      <c r="F74" t="s">
        <v>81</v>
      </c>
      <c r="G74" t="s">
        <v>88</v>
      </c>
      <c r="H74" s="62">
        <v>2027</v>
      </c>
      <c r="I74">
        <v>2.4112</v>
      </c>
    </row>
    <row r="75" spans="1:9">
      <c r="A75" t="s">
        <v>78</v>
      </c>
      <c r="B75" t="s">
        <v>79</v>
      </c>
      <c r="C75" t="s">
        <v>80</v>
      </c>
      <c r="D75" t="s">
        <v>89</v>
      </c>
      <c r="E75" t="s">
        <v>91</v>
      </c>
      <c r="F75" t="s">
        <v>81</v>
      </c>
      <c r="G75" t="s">
        <v>88</v>
      </c>
      <c r="H75" s="62">
        <v>2027</v>
      </c>
      <c r="I75">
        <v>-2.8500000000000001E-2</v>
      </c>
    </row>
    <row r="76" spans="1:9">
      <c r="A76" t="s">
        <v>78</v>
      </c>
      <c r="B76" t="s">
        <v>79</v>
      </c>
      <c r="C76" t="s">
        <v>80</v>
      </c>
      <c r="D76" t="s">
        <v>92</v>
      </c>
      <c r="E76" t="s">
        <v>93</v>
      </c>
      <c r="F76" t="s">
        <v>81</v>
      </c>
      <c r="G76" t="s">
        <v>88</v>
      </c>
      <c r="H76" s="62">
        <v>2027</v>
      </c>
      <c r="I76">
        <v>-0.16289999999999999</v>
      </c>
    </row>
    <row r="77" spans="1:9">
      <c r="A77" t="s">
        <v>78</v>
      </c>
      <c r="B77" t="s">
        <v>79</v>
      </c>
      <c r="C77" t="s">
        <v>80</v>
      </c>
      <c r="D77" t="s">
        <v>92</v>
      </c>
      <c r="E77" t="s">
        <v>94</v>
      </c>
      <c r="F77" t="s">
        <v>81</v>
      </c>
      <c r="G77" t="s">
        <v>88</v>
      </c>
      <c r="H77" s="62">
        <v>2027</v>
      </c>
      <c r="I77">
        <v>7.8677999999999999</v>
      </c>
    </row>
    <row r="78" spans="1:9">
      <c r="A78" t="s">
        <v>78</v>
      </c>
      <c r="B78" t="s">
        <v>79</v>
      </c>
      <c r="C78" t="s">
        <v>80</v>
      </c>
      <c r="D78" t="s">
        <v>92</v>
      </c>
      <c r="E78" t="s">
        <v>95</v>
      </c>
      <c r="F78" t="s">
        <v>81</v>
      </c>
      <c r="G78" t="s">
        <v>88</v>
      </c>
      <c r="H78" s="62">
        <v>2027</v>
      </c>
      <c r="I78">
        <v>5.9222000000000001</v>
      </c>
    </row>
    <row r="79" spans="1:9">
      <c r="A79" t="s">
        <v>78</v>
      </c>
      <c r="B79" t="s">
        <v>79</v>
      </c>
      <c r="C79" t="s">
        <v>80</v>
      </c>
      <c r="D79" t="s">
        <v>96</v>
      </c>
      <c r="E79" t="s">
        <v>92</v>
      </c>
      <c r="F79" t="s">
        <v>81</v>
      </c>
      <c r="G79" t="s">
        <v>88</v>
      </c>
      <c r="H79" s="62">
        <v>2027</v>
      </c>
      <c r="I79">
        <v>0.44900000000000001</v>
      </c>
    </row>
    <row r="80" spans="1:9">
      <c r="A80" t="s">
        <v>78</v>
      </c>
      <c r="B80" t="s">
        <v>79</v>
      </c>
      <c r="C80" t="s">
        <v>80</v>
      </c>
      <c r="D80" t="s">
        <v>96</v>
      </c>
      <c r="E80" t="s">
        <v>89</v>
      </c>
      <c r="F80" t="s">
        <v>81</v>
      </c>
      <c r="G80" t="s">
        <v>88</v>
      </c>
      <c r="H80" s="62">
        <v>2027</v>
      </c>
      <c r="I80">
        <v>9.0700000000000003E-2</v>
      </c>
    </row>
    <row r="81" spans="1:9">
      <c r="A81" t="s">
        <v>78</v>
      </c>
      <c r="B81" t="s">
        <v>79</v>
      </c>
      <c r="C81" t="s">
        <v>80</v>
      </c>
      <c r="D81" t="s">
        <v>97</v>
      </c>
      <c r="E81" t="s">
        <v>98</v>
      </c>
      <c r="F81" t="s">
        <v>81</v>
      </c>
      <c r="G81" t="s">
        <v>88</v>
      </c>
      <c r="H81" s="62">
        <v>2027</v>
      </c>
      <c r="I81">
        <v>0.25440000000000002</v>
      </c>
    </row>
    <row r="82" spans="1:9">
      <c r="A82" t="s">
        <v>78</v>
      </c>
      <c r="B82" t="s">
        <v>79</v>
      </c>
      <c r="C82" t="s">
        <v>80</v>
      </c>
      <c r="D82" t="s">
        <v>97</v>
      </c>
      <c r="E82" t="s">
        <v>99</v>
      </c>
      <c r="F82" t="s">
        <v>81</v>
      </c>
      <c r="G82" t="s">
        <v>88</v>
      </c>
      <c r="H82" s="62">
        <v>2027</v>
      </c>
      <c r="I82">
        <v>0</v>
      </c>
    </row>
    <row r="83" spans="1:9">
      <c r="A83" t="s">
        <v>78</v>
      </c>
      <c r="B83" t="s">
        <v>79</v>
      </c>
      <c r="C83" t="s">
        <v>80</v>
      </c>
      <c r="D83" t="s">
        <v>100</v>
      </c>
      <c r="E83" t="s">
        <v>101</v>
      </c>
      <c r="F83" t="s">
        <v>81</v>
      </c>
      <c r="G83" t="s">
        <v>88</v>
      </c>
      <c r="H83" s="62">
        <v>2027</v>
      </c>
      <c r="I83">
        <v>1.5E-3</v>
      </c>
    </row>
    <row r="84" spans="1:9">
      <c r="A84" t="s">
        <v>78</v>
      </c>
      <c r="B84" t="s">
        <v>79</v>
      </c>
      <c r="C84" t="s">
        <v>80</v>
      </c>
      <c r="D84" t="s">
        <v>100</v>
      </c>
      <c r="E84" t="s">
        <v>102</v>
      </c>
      <c r="F84" t="s">
        <v>81</v>
      </c>
      <c r="G84" t="s">
        <v>88</v>
      </c>
      <c r="H84" s="62">
        <v>2027</v>
      </c>
      <c r="I84">
        <v>0</v>
      </c>
    </row>
    <row r="85" spans="1:9">
      <c r="A85" t="s">
        <v>78</v>
      </c>
      <c r="B85" t="s">
        <v>79</v>
      </c>
      <c r="C85" t="s">
        <v>80</v>
      </c>
      <c r="D85" t="s">
        <v>83</v>
      </c>
      <c r="E85" t="s">
        <v>84</v>
      </c>
      <c r="F85" t="s">
        <v>81</v>
      </c>
      <c r="G85" t="s">
        <v>88</v>
      </c>
      <c r="H85" s="62">
        <v>2027</v>
      </c>
      <c r="I85">
        <v>0.996</v>
      </c>
    </row>
    <row r="86" spans="1:9">
      <c r="A86" t="s">
        <v>78</v>
      </c>
      <c r="B86" t="s">
        <v>79</v>
      </c>
      <c r="C86" t="s">
        <v>80</v>
      </c>
      <c r="D86" t="s">
        <v>83</v>
      </c>
      <c r="E86" t="s">
        <v>85</v>
      </c>
      <c r="F86" t="s">
        <v>81</v>
      </c>
      <c r="G86" t="s">
        <v>88</v>
      </c>
      <c r="H86" s="62">
        <v>2027</v>
      </c>
      <c r="I86">
        <v>0.48580000000000001</v>
      </c>
    </row>
    <row r="87" spans="1:9">
      <c r="A87" t="s">
        <v>78</v>
      </c>
      <c r="B87" t="s">
        <v>79</v>
      </c>
      <c r="C87" t="s">
        <v>80</v>
      </c>
      <c r="D87" t="s">
        <v>86</v>
      </c>
      <c r="E87" t="s">
        <v>87</v>
      </c>
      <c r="F87" t="s">
        <v>81</v>
      </c>
      <c r="G87" t="s">
        <v>88</v>
      </c>
      <c r="H87" s="62">
        <v>2027</v>
      </c>
      <c r="I87">
        <v>0.19139999999999999</v>
      </c>
    </row>
    <row r="88" spans="1:9">
      <c r="A88" t="s">
        <v>78</v>
      </c>
      <c r="B88" t="s">
        <v>79</v>
      </c>
      <c r="C88" t="s">
        <v>80</v>
      </c>
      <c r="D88" t="s">
        <v>103</v>
      </c>
      <c r="E88" t="s">
        <v>92</v>
      </c>
      <c r="F88" t="s">
        <v>81</v>
      </c>
      <c r="G88" t="s">
        <v>88</v>
      </c>
      <c r="H88" s="62">
        <v>2027</v>
      </c>
      <c r="I88">
        <v>0.67910000000000004</v>
      </c>
    </row>
    <row r="89" spans="1:9">
      <c r="A89" t="s">
        <v>78</v>
      </c>
      <c r="B89" t="s">
        <v>79</v>
      </c>
      <c r="C89" t="s">
        <v>80</v>
      </c>
      <c r="D89" t="s">
        <v>103</v>
      </c>
      <c r="E89" t="s">
        <v>89</v>
      </c>
      <c r="F89" t="s">
        <v>81</v>
      </c>
      <c r="G89" t="s">
        <v>88</v>
      </c>
      <c r="H89" s="62">
        <v>2027</v>
      </c>
      <c r="I89">
        <v>4.1868999999999996</v>
      </c>
    </row>
    <row r="90" spans="1:9">
      <c r="A90" t="s">
        <v>78</v>
      </c>
      <c r="B90" t="s">
        <v>79</v>
      </c>
      <c r="C90" t="s">
        <v>80</v>
      </c>
      <c r="D90" t="s">
        <v>80</v>
      </c>
      <c r="E90" t="s">
        <v>80</v>
      </c>
      <c r="F90" t="s">
        <v>81</v>
      </c>
      <c r="G90" t="s">
        <v>88</v>
      </c>
      <c r="H90" s="62">
        <v>2028</v>
      </c>
      <c r="I90">
        <v>18.53</v>
      </c>
    </row>
    <row r="91" spans="1:9">
      <c r="A91" t="s">
        <v>78</v>
      </c>
      <c r="B91" t="s">
        <v>79</v>
      </c>
      <c r="C91" t="s">
        <v>80</v>
      </c>
      <c r="D91" t="s">
        <v>89</v>
      </c>
      <c r="E91" t="s">
        <v>90</v>
      </c>
      <c r="F91" t="s">
        <v>81</v>
      </c>
      <c r="G91" t="s">
        <v>88</v>
      </c>
      <c r="H91" s="62">
        <v>2028</v>
      </c>
      <c r="I91">
        <v>2.0474000000000001</v>
      </c>
    </row>
    <row r="92" spans="1:9">
      <c r="A92" t="s">
        <v>78</v>
      </c>
      <c r="B92" t="s">
        <v>79</v>
      </c>
      <c r="C92" t="s">
        <v>80</v>
      </c>
      <c r="D92" t="s">
        <v>89</v>
      </c>
      <c r="E92" t="s">
        <v>91</v>
      </c>
      <c r="F92" t="s">
        <v>81</v>
      </c>
      <c r="G92" t="s">
        <v>88</v>
      </c>
      <c r="H92" s="62">
        <v>2028</v>
      </c>
      <c r="I92">
        <v>-2.92E-2</v>
      </c>
    </row>
    <row r="93" spans="1:9">
      <c r="A93" t="s">
        <v>78</v>
      </c>
      <c r="B93" t="s">
        <v>79</v>
      </c>
      <c r="C93" t="s">
        <v>80</v>
      </c>
      <c r="D93" t="s">
        <v>92</v>
      </c>
      <c r="E93" t="s">
        <v>93</v>
      </c>
      <c r="F93" t="s">
        <v>81</v>
      </c>
      <c r="G93" t="s">
        <v>88</v>
      </c>
      <c r="H93" s="62">
        <v>2028</v>
      </c>
      <c r="I93">
        <v>-0.19739999999999999</v>
      </c>
    </row>
    <row r="94" spans="1:9">
      <c r="A94" t="s">
        <v>78</v>
      </c>
      <c r="B94" t="s">
        <v>79</v>
      </c>
      <c r="C94" t="s">
        <v>80</v>
      </c>
      <c r="D94" t="s">
        <v>92</v>
      </c>
      <c r="E94" t="s">
        <v>94</v>
      </c>
      <c r="F94" t="s">
        <v>81</v>
      </c>
      <c r="G94" t="s">
        <v>88</v>
      </c>
      <c r="H94" s="62">
        <v>2028</v>
      </c>
      <c r="I94">
        <v>7.8891</v>
      </c>
    </row>
    <row r="95" spans="1:9">
      <c r="A95" t="s">
        <v>78</v>
      </c>
      <c r="B95" t="s">
        <v>79</v>
      </c>
      <c r="C95" t="s">
        <v>80</v>
      </c>
      <c r="D95" t="s">
        <v>92</v>
      </c>
      <c r="E95" t="s">
        <v>95</v>
      </c>
      <c r="F95" t="s">
        <v>81</v>
      </c>
      <c r="G95" t="s">
        <v>88</v>
      </c>
      <c r="H95" s="62">
        <v>2028</v>
      </c>
      <c r="I95">
        <v>5.9518000000000004</v>
      </c>
    </row>
    <row r="96" spans="1:9">
      <c r="A96" t="s">
        <v>78</v>
      </c>
      <c r="B96" t="s">
        <v>79</v>
      </c>
      <c r="C96" t="s">
        <v>80</v>
      </c>
      <c r="D96" t="s">
        <v>96</v>
      </c>
      <c r="E96" t="s">
        <v>92</v>
      </c>
      <c r="F96" t="s">
        <v>81</v>
      </c>
      <c r="G96" t="s">
        <v>88</v>
      </c>
      <c r="H96" s="62">
        <v>2028</v>
      </c>
      <c r="I96">
        <v>0.84470000000000001</v>
      </c>
    </row>
    <row r="97" spans="1:9">
      <c r="A97" t="s">
        <v>78</v>
      </c>
      <c r="B97" t="s">
        <v>79</v>
      </c>
      <c r="C97" t="s">
        <v>80</v>
      </c>
      <c r="D97" t="s">
        <v>96</v>
      </c>
      <c r="E97" t="s">
        <v>89</v>
      </c>
      <c r="F97" t="s">
        <v>81</v>
      </c>
      <c r="G97" t="s">
        <v>88</v>
      </c>
      <c r="H97" s="62">
        <v>2028</v>
      </c>
      <c r="I97">
        <v>0.15260000000000001</v>
      </c>
    </row>
    <row r="98" spans="1:9">
      <c r="A98" t="s">
        <v>78</v>
      </c>
      <c r="B98" t="s">
        <v>79</v>
      </c>
      <c r="C98" t="s">
        <v>80</v>
      </c>
      <c r="D98" t="s">
        <v>97</v>
      </c>
      <c r="E98" t="s">
        <v>98</v>
      </c>
      <c r="F98" t="s">
        <v>81</v>
      </c>
      <c r="G98" t="s">
        <v>88</v>
      </c>
      <c r="H98" s="62">
        <v>2028</v>
      </c>
      <c r="I98">
        <v>0.36549999999999999</v>
      </c>
    </row>
    <row r="99" spans="1:9">
      <c r="A99" t="s">
        <v>78</v>
      </c>
      <c r="B99" t="s">
        <v>79</v>
      </c>
      <c r="C99" t="s">
        <v>80</v>
      </c>
      <c r="D99" t="s">
        <v>97</v>
      </c>
      <c r="E99" t="s">
        <v>99</v>
      </c>
      <c r="F99" t="s">
        <v>81</v>
      </c>
      <c r="G99" t="s">
        <v>88</v>
      </c>
      <c r="H99" s="62">
        <v>2028</v>
      </c>
      <c r="I99">
        <v>0</v>
      </c>
    </row>
    <row r="100" spans="1:9">
      <c r="A100" t="s">
        <v>78</v>
      </c>
      <c r="B100" t="s">
        <v>79</v>
      </c>
      <c r="C100" t="s">
        <v>80</v>
      </c>
      <c r="D100" t="s">
        <v>100</v>
      </c>
      <c r="E100" t="s">
        <v>101</v>
      </c>
      <c r="F100" t="s">
        <v>81</v>
      </c>
      <c r="G100" t="s">
        <v>88</v>
      </c>
      <c r="H100" s="62">
        <v>2028</v>
      </c>
      <c r="I100">
        <v>1.5E-3</v>
      </c>
    </row>
    <row r="101" spans="1:9">
      <c r="A101" t="s">
        <v>78</v>
      </c>
      <c r="B101" t="s">
        <v>79</v>
      </c>
      <c r="C101" t="s">
        <v>80</v>
      </c>
      <c r="D101" t="s">
        <v>100</v>
      </c>
      <c r="E101" t="s">
        <v>102</v>
      </c>
      <c r="F101" t="s">
        <v>81</v>
      </c>
      <c r="G101" t="s">
        <v>88</v>
      </c>
      <c r="H101" s="62">
        <v>2028</v>
      </c>
      <c r="I101">
        <v>0</v>
      </c>
    </row>
    <row r="102" spans="1:9">
      <c r="A102" t="s">
        <v>78</v>
      </c>
      <c r="B102" t="s">
        <v>79</v>
      </c>
      <c r="C102" t="s">
        <v>80</v>
      </c>
      <c r="D102" t="s">
        <v>83</v>
      </c>
      <c r="E102" t="s">
        <v>84</v>
      </c>
      <c r="F102" t="s">
        <v>81</v>
      </c>
      <c r="G102" t="s">
        <v>88</v>
      </c>
      <c r="H102" s="62">
        <v>2028</v>
      </c>
      <c r="I102">
        <v>1.0109999999999999</v>
      </c>
    </row>
    <row r="103" spans="1:9">
      <c r="A103" t="s">
        <v>78</v>
      </c>
      <c r="B103" t="s">
        <v>79</v>
      </c>
      <c r="C103" t="s">
        <v>80</v>
      </c>
      <c r="D103" t="s">
        <v>83</v>
      </c>
      <c r="E103" t="s">
        <v>85</v>
      </c>
      <c r="F103" t="s">
        <v>81</v>
      </c>
      <c r="G103" t="s">
        <v>88</v>
      </c>
      <c r="H103" s="62">
        <v>2028</v>
      </c>
      <c r="I103">
        <v>0.49309999999999998</v>
      </c>
    </row>
    <row r="104" spans="1:9">
      <c r="A104" t="s">
        <v>78</v>
      </c>
      <c r="B104" t="s">
        <v>79</v>
      </c>
      <c r="C104" t="s">
        <v>80</v>
      </c>
      <c r="D104" t="s">
        <v>86</v>
      </c>
      <c r="E104" t="s">
        <v>87</v>
      </c>
      <c r="F104" t="s">
        <v>81</v>
      </c>
      <c r="G104" t="s">
        <v>88</v>
      </c>
      <c r="H104" s="62">
        <v>2028</v>
      </c>
      <c r="I104">
        <v>0.2266</v>
      </c>
    </row>
    <row r="105" spans="1:9">
      <c r="A105" t="s">
        <v>78</v>
      </c>
      <c r="B105" t="s">
        <v>79</v>
      </c>
      <c r="C105" t="s">
        <v>80</v>
      </c>
      <c r="D105" t="s">
        <v>103</v>
      </c>
      <c r="E105" t="s">
        <v>92</v>
      </c>
      <c r="F105" t="s">
        <v>81</v>
      </c>
      <c r="G105" t="s">
        <v>88</v>
      </c>
      <c r="H105" s="62">
        <v>2028</v>
      </c>
      <c r="I105">
        <v>0.75649999999999995</v>
      </c>
    </row>
    <row r="106" spans="1:9">
      <c r="A106" t="s">
        <v>78</v>
      </c>
      <c r="B106" t="s">
        <v>79</v>
      </c>
      <c r="C106" t="s">
        <v>80</v>
      </c>
      <c r="D106" t="s">
        <v>103</v>
      </c>
      <c r="E106" t="s">
        <v>89</v>
      </c>
      <c r="F106" t="s">
        <v>81</v>
      </c>
      <c r="G106" t="s">
        <v>88</v>
      </c>
      <c r="H106" s="62">
        <v>2028</v>
      </c>
      <c r="I106">
        <v>4.5869</v>
      </c>
    </row>
    <row r="107" spans="1:9">
      <c r="A107" t="s">
        <v>78</v>
      </c>
      <c r="B107" t="s">
        <v>79</v>
      </c>
      <c r="C107" t="s">
        <v>80</v>
      </c>
      <c r="D107" t="s">
        <v>80</v>
      </c>
      <c r="E107" t="s">
        <v>80</v>
      </c>
      <c r="F107" t="s">
        <v>81</v>
      </c>
      <c r="G107" t="s">
        <v>88</v>
      </c>
      <c r="H107" s="62">
        <v>2029</v>
      </c>
      <c r="I107">
        <v>19.188199999999998</v>
      </c>
    </row>
    <row r="108" spans="1:9">
      <c r="A108" t="s">
        <v>78</v>
      </c>
      <c r="B108" t="s">
        <v>79</v>
      </c>
      <c r="C108" t="s">
        <v>80</v>
      </c>
      <c r="D108" t="s">
        <v>89</v>
      </c>
      <c r="E108" t="s">
        <v>90</v>
      </c>
      <c r="F108" t="s">
        <v>81</v>
      </c>
      <c r="G108" t="s">
        <v>88</v>
      </c>
      <c r="H108" s="62">
        <v>2029</v>
      </c>
      <c r="I108">
        <v>1.6594</v>
      </c>
    </row>
    <row r="109" spans="1:9">
      <c r="A109" t="s">
        <v>78</v>
      </c>
      <c r="B109" t="s">
        <v>79</v>
      </c>
      <c r="C109" t="s">
        <v>80</v>
      </c>
      <c r="D109" t="s">
        <v>89</v>
      </c>
      <c r="E109" t="s">
        <v>91</v>
      </c>
      <c r="F109" t="s">
        <v>81</v>
      </c>
      <c r="G109" t="s">
        <v>88</v>
      </c>
      <c r="H109" s="62">
        <v>2029</v>
      </c>
      <c r="I109">
        <v>-2.76E-2</v>
      </c>
    </row>
    <row r="110" spans="1:9">
      <c r="A110" t="s">
        <v>78</v>
      </c>
      <c r="B110" t="s">
        <v>79</v>
      </c>
      <c r="C110" t="s">
        <v>80</v>
      </c>
      <c r="D110" t="s">
        <v>92</v>
      </c>
      <c r="E110" t="s">
        <v>93</v>
      </c>
      <c r="F110" t="s">
        <v>81</v>
      </c>
      <c r="G110" t="s">
        <v>88</v>
      </c>
      <c r="H110" s="62">
        <v>2029</v>
      </c>
      <c r="I110">
        <v>-0.23350000000000001</v>
      </c>
    </row>
    <row r="111" spans="1:9">
      <c r="A111" t="s">
        <v>78</v>
      </c>
      <c r="B111" t="s">
        <v>79</v>
      </c>
      <c r="C111" t="s">
        <v>80</v>
      </c>
      <c r="D111" t="s">
        <v>92</v>
      </c>
      <c r="E111" t="s">
        <v>94</v>
      </c>
      <c r="F111" t="s">
        <v>81</v>
      </c>
      <c r="G111" t="s">
        <v>88</v>
      </c>
      <c r="H111" s="62">
        <v>2029</v>
      </c>
      <c r="I111">
        <v>7.9230999999999998</v>
      </c>
    </row>
    <row r="112" spans="1:9">
      <c r="A112" t="s">
        <v>78</v>
      </c>
      <c r="B112" t="s">
        <v>79</v>
      </c>
      <c r="C112" t="s">
        <v>80</v>
      </c>
      <c r="D112" t="s">
        <v>92</v>
      </c>
      <c r="E112" t="s">
        <v>95</v>
      </c>
      <c r="F112" t="s">
        <v>81</v>
      </c>
      <c r="G112" t="s">
        <v>88</v>
      </c>
      <c r="H112" s="62">
        <v>2029</v>
      </c>
      <c r="I112">
        <v>6.1131000000000002</v>
      </c>
    </row>
    <row r="113" spans="1:9">
      <c r="A113" t="s">
        <v>78</v>
      </c>
      <c r="B113" t="s">
        <v>79</v>
      </c>
      <c r="C113" t="s">
        <v>80</v>
      </c>
      <c r="D113" t="s">
        <v>96</v>
      </c>
      <c r="E113" t="s">
        <v>92</v>
      </c>
      <c r="F113" t="s">
        <v>81</v>
      </c>
      <c r="G113" t="s">
        <v>88</v>
      </c>
      <c r="H113" s="62">
        <v>2029</v>
      </c>
      <c r="I113">
        <v>1.4138999999999999</v>
      </c>
    </row>
    <row r="114" spans="1:9">
      <c r="A114" t="s">
        <v>78</v>
      </c>
      <c r="B114" t="s">
        <v>79</v>
      </c>
      <c r="C114" t="s">
        <v>80</v>
      </c>
      <c r="D114" t="s">
        <v>96</v>
      </c>
      <c r="E114" t="s">
        <v>89</v>
      </c>
      <c r="F114" t="s">
        <v>81</v>
      </c>
      <c r="G114" t="s">
        <v>88</v>
      </c>
      <c r="H114" s="62">
        <v>2029</v>
      </c>
      <c r="I114">
        <v>0.22509999999999999</v>
      </c>
    </row>
    <row r="115" spans="1:9">
      <c r="A115" t="s">
        <v>78</v>
      </c>
      <c r="B115" t="s">
        <v>79</v>
      </c>
      <c r="C115" t="s">
        <v>80</v>
      </c>
      <c r="D115" t="s">
        <v>97</v>
      </c>
      <c r="E115" t="s">
        <v>98</v>
      </c>
      <c r="F115" t="s">
        <v>81</v>
      </c>
      <c r="G115" t="s">
        <v>88</v>
      </c>
      <c r="H115" s="62">
        <v>2029</v>
      </c>
      <c r="I115">
        <v>0.49330000000000002</v>
      </c>
    </row>
    <row r="116" spans="1:9">
      <c r="A116" t="s">
        <v>78</v>
      </c>
      <c r="B116" t="s">
        <v>79</v>
      </c>
      <c r="C116" t="s">
        <v>80</v>
      </c>
      <c r="D116" t="s">
        <v>97</v>
      </c>
      <c r="E116" t="s">
        <v>99</v>
      </c>
      <c r="F116" t="s">
        <v>81</v>
      </c>
      <c r="G116" t="s">
        <v>88</v>
      </c>
      <c r="H116" s="62">
        <v>2029</v>
      </c>
      <c r="I116">
        <v>0</v>
      </c>
    </row>
    <row r="117" spans="1:9">
      <c r="A117" t="s">
        <v>78</v>
      </c>
      <c r="B117" t="s">
        <v>79</v>
      </c>
      <c r="C117" t="s">
        <v>80</v>
      </c>
      <c r="D117" t="s">
        <v>100</v>
      </c>
      <c r="E117" t="s">
        <v>101</v>
      </c>
      <c r="F117" t="s">
        <v>81</v>
      </c>
      <c r="G117" t="s">
        <v>88</v>
      </c>
      <c r="H117" s="62">
        <v>2029</v>
      </c>
      <c r="I117">
        <v>1.8599999999999998E-2</v>
      </c>
    </row>
    <row r="118" spans="1:9">
      <c r="A118" t="s">
        <v>78</v>
      </c>
      <c r="B118" t="s">
        <v>79</v>
      </c>
      <c r="C118" t="s">
        <v>80</v>
      </c>
      <c r="D118" t="s">
        <v>100</v>
      </c>
      <c r="E118" t="s">
        <v>102</v>
      </c>
      <c r="F118" t="s">
        <v>81</v>
      </c>
      <c r="G118" t="s">
        <v>88</v>
      </c>
      <c r="H118" s="62">
        <v>2029</v>
      </c>
      <c r="I118">
        <v>4.2999999999999997E-2</v>
      </c>
    </row>
    <row r="119" spans="1:9">
      <c r="A119" t="s">
        <v>78</v>
      </c>
      <c r="B119" t="s">
        <v>79</v>
      </c>
      <c r="C119" t="s">
        <v>80</v>
      </c>
      <c r="D119" t="s">
        <v>83</v>
      </c>
      <c r="E119" t="s">
        <v>84</v>
      </c>
      <c r="F119" t="s">
        <v>81</v>
      </c>
      <c r="G119" t="s">
        <v>88</v>
      </c>
      <c r="H119" s="62">
        <v>2029</v>
      </c>
      <c r="I119">
        <v>1.0483</v>
      </c>
    </row>
    <row r="120" spans="1:9">
      <c r="A120" t="s">
        <v>78</v>
      </c>
      <c r="B120" t="s">
        <v>79</v>
      </c>
      <c r="C120" t="s">
        <v>80</v>
      </c>
      <c r="D120" t="s">
        <v>83</v>
      </c>
      <c r="E120" t="s">
        <v>85</v>
      </c>
      <c r="F120" t="s">
        <v>81</v>
      </c>
      <c r="G120" t="s">
        <v>88</v>
      </c>
      <c r="H120" s="62">
        <v>2029</v>
      </c>
      <c r="I120">
        <v>0.51129999999999998</v>
      </c>
    </row>
    <row r="121" spans="1:9">
      <c r="A121" t="s">
        <v>78</v>
      </c>
      <c r="B121" t="s">
        <v>79</v>
      </c>
      <c r="C121" t="s">
        <v>80</v>
      </c>
      <c r="D121" t="s">
        <v>86</v>
      </c>
      <c r="E121" t="s">
        <v>87</v>
      </c>
      <c r="F121" t="s">
        <v>81</v>
      </c>
      <c r="G121" t="s">
        <v>88</v>
      </c>
      <c r="H121" s="62">
        <v>2029</v>
      </c>
      <c r="I121">
        <v>0.26100000000000001</v>
      </c>
    </row>
    <row r="122" spans="1:9">
      <c r="A122" t="s">
        <v>78</v>
      </c>
      <c r="B122" t="s">
        <v>79</v>
      </c>
      <c r="C122" t="s">
        <v>80</v>
      </c>
      <c r="D122" t="s">
        <v>103</v>
      </c>
      <c r="E122" t="s">
        <v>92</v>
      </c>
      <c r="F122" t="s">
        <v>81</v>
      </c>
      <c r="G122" t="s">
        <v>88</v>
      </c>
      <c r="H122" s="62">
        <v>2029</v>
      </c>
      <c r="I122">
        <v>0.83079999999999998</v>
      </c>
    </row>
    <row r="123" spans="1:9">
      <c r="A123" t="s">
        <v>78</v>
      </c>
      <c r="B123" t="s">
        <v>79</v>
      </c>
      <c r="C123" t="s">
        <v>80</v>
      </c>
      <c r="D123" t="s">
        <v>103</v>
      </c>
      <c r="E123" t="s">
        <v>89</v>
      </c>
      <c r="F123" t="s">
        <v>81</v>
      </c>
      <c r="G123" t="s">
        <v>88</v>
      </c>
      <c r="H123" s="62">
        <v>2029</v>
      </c>
      <c r="I123">
        <v>4.9953000000000003</v>
      </c>
    </row>
    <row r="124" spans="1:9">
      <c r="A124" t="s">
        <v>78</v>
      </c>
      <c r="B124" t="s">
        <v>79</v>
      </c>
      <c r="C124" t="s">
        <v>80</v>
      </c>
      <c r="D124" t="s">
        <v>80</v>
      </c>
      <c r="E124" t="s">
        <v>80</v>
      </c>
      <c r="F124" t="s">
        <v>81</v>
      </c>
      <c r="G124" t="s">
        <v>88</v>
      </c>
      <c r="H124" s="62">
        <v>2030</v>
      </c>
      <c r="I124">
        <v>20.799700000000001</v>
      </c>
    </row>
    <row r="125" spans="1:9">
      <c r="A125" t="s">
        <v>78</v>
      </c>
      <c r="B125" t="s">
        <v>79</v>
      </c>
      <c r="C125" t="s">
        <v>80</v>
      </c>
      <c r="D125" t="s">
        <v>89</v>
      </c>
      <c r="E125" t="s">
        <v>90</v>
      </c>
      <c r="F125" t="s">
        <v>81</v>
      </c>
      <c r="G125" t="s">
        <v>88</v>
      </c>
      <c r="H125" s="62">
        <v>2030</v>
      </c>
      <c r="I125">
        <v>1.3045</v>
      </c>
    </row>
    <row r="126" spans="1:9">
      <c r="A126" t="s">
        <v>78</v>
      </c>
      <c r="B126" t="s">
        <v>79</v>
      </c>
      <c r="C126" t="s">
        <v>80</v>
      </c>
      <c r="D126" t="s">
        <v>89</v>
      </c>
      <c r="E126" t="s">
        <v>91</v>
      </c>
      <c r="F126" t="s">
        <v>81</v>
      </c>
      <c r="G126" t="s">
        <v>88</v>
      </c>
      <c r="H126" s="62">
        <v>2030</v>
      </c>
      <c r="I126">
        <v>-2.5000000000000001E-2</v>
      </c>
    </row>
    <row r="127" spans="1:9">
      <c r="A127" t="s">
        <v>78</v>
      </c>
      <c r="B127" t="s">
        <v>79</v>
      </c>
      <c r="C127" t="s">
        <v>80</v>
      </c>
      <c r="D127" t="s">
        <v>92</v>
      </c>
      <c r="E127" t="s">
        <v>93</v>
      </c>
      <c r="F127" t="s">
        <v>81</v>
      </c>
      <c r="G127" t="s">
        <v>88</v>
      </c>
      <c r="H127" s="62">
        <v>2030</v>
      </c>
      <c r="I127">
        <v>-0.27100000000000002</v>
      </c>
    </row>
    <row r="128" spans="1:9">
      <c r="A128" t="s">
        <v>78</v>
      </c>
      <c r="B128" t="s">
        <v>79</v>
      </c>
      <c r="C128" t="s">
        <v>80</v>
      </c>
      <c r="D128" t="s">
        <v>92</v>
      </c>
      <c r="E128" t="s">
        <v>94</v>
      </c>
      <c r="F128" t="s">
        <v>81</v>
      </c>
      <c r="G128" t="s">
        <v>88</v>
      </c>
      <c r="H128" s="62">
        <v>2030</v>
      </c>
      <c r="I128">
        <v>7.9703999999999997</v>
      </c>
    </row>
    <row r="129" spans="1:9">
      <c r="A129" t="s">
        <v>78</v>
      </c>
      <c r="B129" t="s">
        <v>79</v>
      </c>
      <c r="C129" t="s">
        <v>80</v>
      </c>
      <c r="D129" t="s">
        <v>92</v>
      </c>
      <c r="E129" t="s">
        <v>95</v>
      </c>
      <c r="F129" t="s">
        <v>81</v>
      </c>
      <c r="G129" t="s">
        <v>88</v>
      </c>
      <c r="H129" s="62">
        <v>2030</v>
      </c>
      <c r="I129">
        <v>6.17</v>
      </c>
    </row>
    <row r="130" spans="1:9">
      <c r="A130" t="s">
        <v>78</v>
      </c>
      <c r="B130" t="s">
        <v>79</v>
      </c>
      <c r="C130" t="s">
        <v>80</v>
      </c>
      <c r="D130" t="s">
        <v>96</v>
      </c>
      <c r="E130" t="s">
        <v>92</v>
      </c>
      <c r="F130" t="s">
        <v>81</v>
      </c>
      <c r="G130" t="s">
        <v>88</v>
      </c>
      <c r="H130" s="62">
        <v>2030</v>
      </c>
      <c r="I130">
        <v>2.7450000000000001</v>
      </c>
    </row>
    <row r="131" spans="1:9">
      <c r="A131" t="s">
        <v>78</v>
      </c>
      <c r="B131" t="s">
        <v>79</v>
      </c>
      <c r="C131" t="s">
        <v>80</v>
      </c>
      <c r="D131" t="s">
        <v>96</v>
      </c>
      <c r="E131" t="s">
        <v>89</v>
      </c>
      <c r="F131" t="s">
        <v>81</v>
      </c>
      <c r="G131" t="s">
        <v>88</v>
      </c>
      <c r="H131" s="62">
        <v>2030</v>
      </c>
      <c r="I131">
        <v>0.28610000000000002</v>
      </c>
    </row>
    <row r="132" spans="1:9">
      <c r="A132" t="s">
        <v>78</v>
      </c>
      <c r="B132" t="s">
        <v>79</v>
      </c>
      <c r="C132" t="s">
        <v>80</v>
      </c>
      <c r="D132" t="s">
        <v>97</v>
      </c>
      <c r="E132" t="s">
        <v>98</v>
      </c>
      <c r="F132" t="s">
        <v>81</v>
      </c>
      <c r="G132" t="s">
        <v>88</v>
      </c>
      <c r="H132" s="62">
        <v>2030</v>
      </c>
      <c r="I132">
        <v>0.64429999999999998</v>
      </c>
    </row>
    <row r="133" spans="1:9">
      <c r="A133" t="s">
        <v>78</v>
      </c>
      <c r="B133" t="s">
        <v>79</v>
      </c>
      <c r="C133" t="s">
        <v>80</v>
      </c>
      <c r="D133" t="s">
        <v>97</v>
      </c>
      <c r="E133" t="s">
        <v>99</v>
      </c>
      <c r="F133" t="s">
        <v>81</v>
      </c>
      <c r="G133" t="s">
        <v>88</v>
      </c>
      <c r="H133" s="62">
        <v>2030</v>
      </c>
      <c r="I133">
        <v>1E-4</v>
      </c>
    </row>
    <row r="134" spans="1:9">
      <c r="A134" t="s">
        <v>78</v>
      </c>
      <c r="B134" t="s">
        <v>79</v>
      </c>
      <c r="C134" t="s">
        <v>80</v>
      </c>
      <c r="D134" t="s">
        <v>100</v>
      </c>
      <c r="E134" t="s">
        <v>101</v>
      </c>
      <c r="F134" t="s">
        <v>81</v>
      </c>
      <c r="G134" t="s">
        <v>88</v>
      </c>
      <c r="H134" s="62">
        <v>2030</v>
      </c>
      <c r="I134">
        <v>7.6600000000000001E-2</v>
      </c>
    </row>
    <row r="135" spans="1:9">
      <c r="A135" t="s">
        <v>78</v>
      </c>
      <c r="B135" t="s">
        <v>79</v>
      </c>
      <c r="C135" t="s">
        <v>80</v>
      </c>
      <c r="D135" t="s">
        <v>100</v>
      </c>
      <c r="E135" t="s">
        <v>102</v>
      </c>
      <c r="F135" t="s">
        <v>81</v>
      </c>
      <c r="G135" t="s">
        <v>88</v>
      </c>
      <c r="H135" s="62">
        <v>2030</v>
      </c>
      <c r="I135">
        <v>0.20710000000000001</v>
      </c>
    </row>
    <row r="136" spans="1:9">
      <c r="A136" t="s">
        <v>78</v>
      </c>
      <c r="B136" t="s">
        <v>79</v>
      </c>
      <c r="C136" t="s">
        <v>80</v>
      </c>
      <c r="D136" t="s">
        <v>83</v>
      </c>
      <c r="E136" t="s">
        <v>84</v>
      </c>
      <c r="F136" t="s">
        <v>81</v>
      </c>
      <c r="G136" t="s">
        <v>88</v>
      </c>
      <c r="H136" s="62">
        <v>2030</v>
      </c>
      <c r="I136">
        <v>1.1371</v>
      </c>
    </row>
    <row r="137" spans="1:9">
      <c r="A137" t="s">
        <v>78</v>
      </c>
      <c r="B137" t="s">
        <v>79</v>
      </c>
      <c r="C137" t="s">
        <v>80</v>
      </c>
      <c r="D137" t="s">
        <v>83</v>
      </c>
      <c r="E137" t="s">
        <v>85</v>
      </c>
      <c r="F137" t="s">
        <v>81</v>
      </c>
      <c r="G137" t="s">
        <v>88</v>
      </c>
      <c r="H137" s="62">
        <v>2030</v>
      </c>
      <c r="I137">
        <v>0.55459999999999998</v>
      </c>
    </row>
    <row r="138" spans="1:9">
      <c r="A138" t="s">
        <v>78</v>
      </c>
      <c r="B138" t="s">
        <v>79</v>
      </c>
      <c r="C138" t="s">
        <v>80</v>
      </c>
      <c r="D138" t="s">
        <v>86</v>
      </c>
      <c r="E138" t="s">
        <v>87</v>
      </c>
      <c r="F138" t="s">
        <v>81</v>
      </c>
      <c r="G138" t="s">
        <v>88</v>
      </c>
      <c r="H138" s="62">
        <v>2030</v>
      </c>
      <c r="I138">
        <v>0.29599999999999999</v>
      </c>
    </row>
    <row r="139" spans="1:9">
      <c r="A139" t="s">
        <v>78</v>
      </c>
      <c r="B139" t="s">
        <v>79</v>
      </c>
      <c r="C139" t="s">
        <v>80</v>
      </c>
      <c r="D139" t="s">
        <v>103</v>
      </c>
      <c r="E139" t="s">
        <v>92</v>
      </c>
      <c r="F139" t="s">
        <v>81</v>
      </c>
      <c r="G139" t="s">
        <v>88</v>
      </c>
      <c r="H139" s="62">
        <v>2030</v>
      </c>
      <c r="I139">
        <v>0.90090000000000003</v>
      </c>
    </row>
    <row r="140" spans="1:9">
      <c r="A140" t="s">
        <v>78</v>
      </c>
      <c r="B140" t="s">
        <v>79</v>
      </c>
      <c r="C140" t="s">
        <v>80</v>
      </c>
      <c r="D140" t="s">
        <v>103</v>
      </c>
      <c r="E140" t="s">
        <v>89</v>
      </c>
      <c r="F140" t="s">
        <v>81</v>
      </c>
      <c r="G140" t="s">
        <v>88</v>
      </c>
      <c r="H140" s="62">
        <v>2030</v>
      </c>
      <c r="I140">
        <v>5.4053000000000004</v>
      </c>
    </row>
    <row r="141" spans="1:9">
      <c r="A141" t="s">
        <v>78</v>
      </c>
      <c r="B141" t="s">
        <v>79</v>
      </c>
      <c r="C141" t="s">
        <v>80</v>
      </c>
      <c r="D141" t="s">
        <v>80</v>
      </c>
      <c r="E141" t="s">
        <v>80</v>
      </c>
      <c r="F141" t="s">
        <v>81</v>
      </c>
      <c r="G141" t="s">
        <v>88</v>
      </c>
      <c r="H141" s="62">
        <v>2031</v>
      </c>
      <c r="I141">
        <v>22.832899999999999</v>
      </c>
    </row>
    <row r="142" spans="1:9">
      <c r="A142" t="s">
        <v>78</v>
      </c>
      <c r="B142" t="s">
        <v>79</v>
      </c>
      <c r="C142" t="s">
        <v>80</v>
      </c>
      <c r="D142" t="s">
        <v>89</v>
      </c>
      <c r="E142" t="s">
        <v>90</v>
      </c>
      <c r="F142" t="s">
        <v>81</v>
      </c>
      <c r="G142" t="s">
        <v>88</v>
      </c>
      <c r="H142" s="62">
        <v>2031</v>
      </c>
      <c r="I142">
        <v>0.93710000000000004</v>
      </c>
    </row>
    <row r="143" spans="1:9">
      <c r="A143" t="s">
        <v>78</v>
      </c>
      <c r="B143" t="s">
        <v>79</v>
      </c>
      <c r="C143" t="s">
        <v>80</v>
      </c>
      <c r="D143" t="s">
        <v>89</v>
      </c>
      <c r="E143" t="s">
        <v>91</v>
      </c>
      <c r="F143" t="s">
        <v>81</v>
      </c>
      <c r="G143" t="s">
        <v>88</v>
      </c>
      <c r="H143" s="62">
        <v>2031</v>
      </c>
      <c r="I143">
        <v>-2.0500000000000001E-2</v>
      </c>
    </row>
    <row r="144" spans="1:9">
      <c r="A144" t="s">
        <v>78</v>
      </c>
      <c r="B144" t="s">
        <v>79</v>
      </c>
      <c r="C144" t="s">
        <v>80</v>
      </c>
      <c r="D144" t="s">
        <v>92</v>
      </c>
      <c r="E144" t="s">
        <v>93</v>
      </c>
      <c r="F144" t="s">
        <v>81</v>
      </c>
      <c r="G144" t="s">
        <v>88</v>
      </c>
      <c r="H144" s="62">
        <v>2031</v>
      </c>
      <c r="I144">
        <v>-0.31090000000000001</v>
      </c>
    </row>
    <row r="145" spans="1:9">
      <c r="A145" t="s">
        <v>78</v>
      </c>
      <c r="B145" t="s">
        <v>79</v>
      </c>
      <c r="C145" t="s">
        <v>80</v>
      </c>
      <c r="D145" t="s">
        <v>92</v>
      </c>
      <c r="E145" t="s">
        <v>94</v>
      </c>
      <c r="F145" t="s">
        <v>81</v>
      </c>
      <c r="G145" t="s">
        <v>88</v>
      </c>
      <c r="H145" s="62">
        <v>2031</v>
      </c>
      <c r="I145">
        <v>8.0327999999999999</v>
      </c>
    </row>
    <row r="146" spans="1:9">
      <c r="A146" t="s">
        <v>78</v>
      </c>
      <c r="B146" t="s">
        <v>79</v>
      </c>
      <c r="C146" t="s">
        <v>80</v>
      </c>
      <c r="D146" t="s">
        <v>92</v>
      </c>
      <c r="E146" t="s">
        <v>95</v>
      </c>
      <c r="F146" t="s">
        <v>81</v>
      </c>
      <c r="G146" t="s">
        <v>88</v>
      </c>
      <c r="H146" s="62">
        <v>2031</v>
      </c>
      <c r="I146">
        <v>6.2043999999999997</v>
      </c>
    </row>
    <row r="147" spans="1:9">
      <c r="A147" t="s">
        <v>78</v>
      </c>
      <c r="B147" t="s">
        <v>79</v>
      </c>
      <c r="C147" t="s">
        <v>80</v>
      </c>
      <c r="D147" t="s">
        <v>96</v>
      </c>
      <c r="E147" t="s">
        <v>92</v>
      </c>
      <c r="F147" t="s">
        <v>81</v>
      </c>
      <c r="G147" t="s">
        <v>88</v>
      </c>
      <c r="H147" s="62">
        <v>2031</v>
      </c>
      <c r="I147">
        <v>4.5042</v>
      </c>
    </row>
    <row r="148" spans="1:9">
      <c r="A148" t="s">
        <v>78</v>
      </c>
      <c r="B148" t="s">
        <v>79</v>
      </c>
      <c r="C148" t="s">
        <v>80</v>
      </c>
      <c r="D148" t="s">
        <v>96</v>
      </c>
      <c r="E148" t="s">
        <v>89</v>
      </c>
      <c r="F148" t="s">
        <v>81</v>
      </c>
      <c r="G148" t="s">
        <v>88</v>
      </c>
      <c r="H148" s="62">
        <v>2031</v>
      </c>
      <c r="I148">
        <v>0.32990000000000003</v>
      </c>
    </row>
    <row r="149" spans="1:9">
      <c r="A149" t="s">
        <v>78</v>
      </c>
      <c r="B149" t="s">
        <v>79</v>
      </c>
      <c r="C149" t="s">
        <v>80</v>
      </c>
      <c r="D149" t="s">
        <v>97</v>
      </c>
      <c r="E149" t="s">
        <v>98</v>
      </c>
      <c r="F149" t="s">
        <v>81</v>
      </c>
      <c r="G149" t="s">
        <v>88</v>
      </c>
      <c r="H149" s="62">
        <v>2031</v>
      </c>
      <c r="I149">
        <v>0.82010000000000005</v>
      </c>
    </row>
    <row r="150" spans="1:9">
      <c r="A150" t="s">
        <v>78</v>
      </c>
      <c r="B150" t="s">
        <v>79</v>
      </c>
      <c r="C150" t="s">
        <v>80</v>
      </c>
      <c r="D150" t="s">
        <v>97</v>
      </c>
      <c r="E150" t="s">
        <v>99</v>
      </c>
      <c r="F150" t="s">
        <v>81</v>
      </c>
      <c r="G150" t="s">
        <v>88</v>
      </c>
      <c r="H150" s="62">
        <v>2031</v>
      </c>
      <c r="I150">
        <v>8.0000000000000004E-4</v>
      </c>
    </row>
    <row r="151" spans="1:9">
      <c r="A151" t="s">
        <v>78</v>
      </c>
      <c r="B151" t="s">
        <v>79</v>
      </c>
      <c r="C151" t="s">
        <v>80</v>
      </c>
      <c r="D151" t="s">
        <v>100</v>
      </c>
      <c r="E151" t="s">
        <v>101</v>
      </c>
      <c r="F151" t="s">
        <v>81</v>
      </c>
      <c r="G151" t="s">
        <v>88</v>
      </c>
      <c r="H151" s="62">
        <v>2031</v>
      </c>
      <c r="I151">
        <v>9.8400000000000001E-2</v>
      </c>
    </row>
    <row r="152" spans="1:9">
      <c r="A152" t="s">
        <v>78</v>
      </c>
      <c r="B152" t="s">
        <v>79</v>
      </c>
      <c r="C152" t="s">
        <v>80</v>
      </c>
      <c r="D152" t="s">
        <v>100</v>
      </c>
      <c r="E152" t="s">
        <v>102</v>
      </c>
      <c r="F152" t="s">
        <v>81</v>
      </c>
      <c r="G152" t="s">
        <v>88</v>
      </c>
      <c r="H152" s="62">
        <v>2031</v>
      </c>
      <c r="I152">
        <v>0.37990000000000002</v>
      </c>
    </row>
    <row r="153" spans="1:9">
      <c r="A153" t="s">
        <v>78</v>
      </c>
      <c r="B153" t="s">
        <v>79</v>
      </c>
      <c r="C153" t="s">
        <v>80</v>
      </c>
      <c r="D153" t="s">
        <v>83</v>
      </c>
      <c r="E153" t="s">
        <v>84</v>
      </c>
      <c r="F153" t="s">
        <v>81</v>
      </c>
      <c r="G153" t="s">
        <v>88</v>
      </c>
      <c r="H153" s="62">
        <v>2031</v>
      </c>
      <c r="I153">
        <v>1.2485999999999999</v>
      </c>
    </row>
    <row r="154" spans="1:9">
      <c r="A154" t="s">
        <v>78</v>
      </c>
      <c r="B154" t="s">
        <v>79</v>
      </c>
      <c r="C154" t="s">
        <v>80</v>
      </c>
      <c r="D154" t="s">
        <v>83</v>
      </c>
      <c r="E154" t="s">
        <v>85</v>
      </c>
      <c r="F154" t="s">
        <v>81</v>
      </c>
      <c r="G154" t="s">
        <v>88</v>
      </c>
      <c r="H154" s="62">
        <v>2031</v>
      </c>
      <c r="I154">
        <v>0.60899999999999999</v>
      </c>
    </row>
    <row r="155" spans="1:9">
      <c r="A155" t="s">
        <v>78</v>
      </c>
      <c r="B155" t="s">
        <v>79</v>
      </c>
      <c r="C155" t="s">
        <v>80</v>
      </c>
      <c r="D155" t="s">
        <v>86</v>
      </c>
      <c r="E155" t="s">
        <v>87</v>
      </c>
      <c r="F155" t="s">
        <v>81</v>
      </c>
      <c r="G155" t="s">
        <v>88</v>
      </c>
      <c r="H155" s="62">
        <v>2031</v>
      </c>
      <c r="I155">
        <v>0.33139999999999997</v>
      </c>
    </row>
    <row r="156" spans="1:9">
      <c r="A156" t="s">
        <v>78</v>
      </c>
      <c r="B156" t="s">
        <v>79</v>
      </c>
      <c r="C156" t="s">
        <v>80</v>
      </c>
      <c r="D156" t="s">
        <v>103</v>
      </c>
      <c r="E156" t="s">
        <v>92</v>
      </c>
      <c r="F156" t="s">
        <v>81</v>
      </c>
      <c r="G156" t="s">
        <v>88</v>
      </c>
      <c r="H156" s="62">
        <v>2031</v>
      </c>
      <c r="I156">
        <v>0.97030000000000005</v>
      </c>
    </row>
    <row r="157" spans="1:9">
      <c r="A157" t="s">
        <v>78</v>
      </c>
      <c r="B157" t="s">
        <v>79</v>
      </c>
      <c r="C157" t="s">
        <v>80</v>
      </c>
      <c r="D157" t="s">
        <v>103</v>
      </c>
      <c r="E157" t="s">
        <v>89</v>
      </c>
      <c r="F157" t="s">
        <v>81</v>
      </c>
      <c r="G157" t="s">
        <v>88</v>
      </c>
      <c r="H157" s="62">
        <v>2031</v>
      </c>
      <c r="I157">
        <v>5.8474000000000004</v>
      </c>
    </row>
    <row r="158" spans="1:9">
      <c r="A158" t="s">
        <v>78</v>
      </c>
      <c r="B158" t="s">
        <v>79</v>
      </c>
      <c r="C158" t="s">
        <v>80</v>
      </c>
      <c r="D158" t="s">
        <v>80</v>
      </c>
      <c r="E158" t="s">
        <v>80</v>
      </c>
      <c r="F158" t="s">
        <v>81</v>
      </c>
      <c r="G158" t="s">
        <v>88</v>
      </c>
      <c r="H158" s="62">
        <v>2032</v>
      </c>
      <c r="I158">
        <v>24.4648</v>
      </c>
    </row>
    <row r="159" spans="1:9">
      <c r="A159" t="s">
        <v>78</v>
      </c>
      <c r="B159" t="s">
        <v>79</v>
      </c>
      <c r="C159" t="s">
        <v>80</v>
      </c>
      <c r="D159" t="s">
        <v>89</v>
      </c>
      <c r="E159" t="s">
        <v>90</v>
      </c>
      <c r="F159" t="s">
        <v>81</v>
      </c>
      <c r="G159" t="s">
        <v>88</v>
      </c>
      <c r="H159" s="62">
        <v>2032</v>
      </c>
      <c r="I159">
        <v>0.55189999999999995</v>
      </c>
    </row>
    <row r="160" spans="1:9">
      <c r="A160" t="s">
        <v>78</v>
      </c>
      <c r="B160" t="s">
        <v>79</v>
      </c>
      <c r="C160" t="s">
        <v>80</v>
      </c>
      <c r="D160" t="s">
        <v>89</v>
      </c>
      <c r="E160" t="s">
        <v>91</v>
      </c>
      <c r="F160" t="s">
        <v>81</v>
      </c>
      <c r="G160" t="s">
        <v>88</v>
      </c>
      <c r="H160" s="62">
        <v>2032</v>
      </c>
      <c r="I160">
        <v>-1.3599999999999999E-2</v>
      </c>
    </row>
    <row r="161" spans="1:9">
      <c r="A161" t="s">
        <v>78</v>
      </c>
      <c r="B161" t="s">
        <v>79</v>
      </c>
      <c r="C161" t="s">
        <v>80</v>
      </c>
      <c r="D161" t="s">
        <v>92</v>
      </c>
      <c r="E161" t="s">
        <v>93</v>
      </c>
      <c r="F161" t="s">
        <v>81</v>
      </c>
      <c r="G161" t="s">
        <v>88</v>
      </c>
      <c r="H161" s="62">
        <v>2032</v>
      </c>
      <c r="I161">
        <v>-0.35410000000000003</v>
      </c>
    </row>
    <row r="162" spans="1:9">
      <c r="A162" t="s">
        <v>78</v>
      </c>
      <c r="B162" t="s">
        <v>79</v>
      </c>
      <c r="C162" t="s">
        <v>80</v>
      </c>
      <c r="D162" t="s">
        <v>92</v>
      </c>
      <c r="E162" t="s">
        <v>94</v>
      </c>
      <c r="F162" t="s">
        <v>81</v>
      </c>
      <c r="G162" t="s">
        <v>88</v>
      </c>
      <c r="H162" s="62">
        <v>2032</v>
      </c>
      <c r="I162">
        <v>8.1216000000000008</v>
      </c>
    </row>
    <row r="163" spans="1:9">
      <c r="A163" t="s">
        <v>78</v>
      </c>
      <c r="B163" t="s">
        <v>79</v>
      </c>
      <c r="C163" t="s">
        <v>80</v>
      </c>
      <c r="D163" t="s">
        <v>92</v>
      </c>
      <c r="E163" t="s">
        <v>95</v>
      </c>
      <c r="F163" t="s">
        <v>81</v>
      </c>
      <c r="G163" t="s">
        <v>88</v>
      </c>
      <c r="H163" s="62">
        <v>2032</v>
      </c>
      <c r="I163">
        <v>6.2222</v>
      </c>
    </row>
    <row r="164" spans="1:9">
      <c r="A164" t="s">
        <v>78</v>
      </c>
      <c r="B164" t="s">
        <v>79</v>
      </c>
      <c r="C164" t="s">
        <v>80</v>
      </c>
      <c r="D164" t="s">
        <v>96</v>
      </c>
      <c r="E164" t="s">
        <v>92</v>
      </c>
      <c r="F164" t="s">
        <v>81</v>
      </c>
      <c r="G164" t="s">
        <v>88</v>
      </c>
      <c r="H164" s="62">
        <v>2032</v>
      </c>
      <c r="I164">
        <v>5.7760999999999996</v>
      </c>
    </row>
    <row r="165" spans="1:9">
      <c r="A165" t="s">
        <v>78</v>
      </c>
      <c r="B165" t="s">
        <v>79</v>
      </c>
      <c r="C165" t="s">
        <v>80</v>
      </c>
      <c r="D165" t="s">
        <v>96</v>
      </c>
      <c r="E165" t="s">
        <v>89</v>
      </c>
      <c r="F165" t="s">
        <v>81</v>
      </c>
      <c r="G165" t="s">
        <v>88</v>
      </c>
      <c r="H165" s="62">
        <v>2032</v>
      </c>
      <c r="I165">
        <v>0.37469999999999998</v>
      </c>
    </row>
    <row r="166" spans="1:9">
      <c r="A166" t="s">
        <v>78</v>
      </c>
      <c r="B166" t="s">
        <v>79</v>
      </c>
      <c r="C166" t="s">
        <v>80</v>
      </c>
      <c r="D166" t="s">
        <v>97</v>
      </c>
      <c r="E166" t="s">
        <v>98</v>
      </c>
      <c r="F166" t="s">
        <v>81</v>
      </c>
      <c r="G166" t="s">
        <v>88</v>
      </c>
      <c r="H166" s="62">
        <v>2032</v>
      </c>
      <c r="I166">
        <v>1.0177</v>
      </c>
    </row>
    <row r="167" spans="1:9">
      <c r="A167" t="s">
        <v>78</v>
      </c>
      <c r="B167" t="s">
        <v>79</v>
      </c>
      <c r="C167" t="s">
        <v>80</v>
      </c>
      <c r="D167" t="s">
        <v>97</v>
      </c>
      <c r="E167" t="s">
        <v>99</v>
      </c>
      <c r="F167" t="s">
        <v>81</v>
      </c>
      <c r="G167" t="s">
        <v>88</v>
      </c>
      <c r="H167" s="62">
        <v>2032</v>
      </c>
      <c r="I167">
        <v>2.0999999999999999E-3</v>
      </c>
    </row>
    <row r="168" spans="1:9">
      <c r="A168" t="s">
        <v>78</v>
      </c>
      <c r="B168" t="s">
        <v>79</v>
      </c>
      <c r="C168" t="s">
        <v>80</v>
      </c>
      <c r="D168" t="s">
        <v>100</v>
      </c>
      <c r="E168" t="s">
        <v>101</v>
      </c>
      <c r="F168" t="s">
        <v>81</v>
      </c>
      <c r="G168" t="s">
        <v>88</v>
      </c>
      <c r="H168" s="62">
        <v>2032</v>
      </c>
      <c r="I168">
        <v>0.12540000000000001</v>
      </c>
    </row>
    <row r="169" spans="1:9">
      <c r="A169" t="s">
        <v>78</v>
      </c>
      <c r="B169" t="s">
        <v>79</v>
      </c>
      <c r="C169" t="s">
        <v>80</v>
      </c>
      <c r="D169" t="s">
        <v>100</v>
      </c>
      <c r="E169" t="s">
        <v>102</v>
      </c>
      <c r="F169" t="s">
        <v>81</v>
      </c>
      <c r="G169" t="s">
        <v>88</v>
      </c>
      <c r="H169" s="62">
        <v>2032</v>
      </c>
      <c r="I169">
        <v>0.65159999999999996</v>
      </c>
    </row>
    <row r="170" spans="1:9">
      <c r="A170" t="s">
        <v>78</v>
      </c>
      <c r="B170" t="s">
        <v>79</v>
      </c>
      <c r="C170" t="s">
        <v>80</v>
      </c>
      <c r="D170" t="s">
        <v>83</v>
      </c>
      <c r="E170" t="s">
        <v>84</v>
      </c>
      <c r="F170" t="s">
        <v>81</v>
      </c>
      <c r="G170" t="s">
        <v>88</v>
      </c>
      <c r="H170" s="62">
        <v>2032</v>
      </c>
      <c r="I170">
        <v>1.3385</v>
      </c>
    </row>
    <row r="171" spans="1:9">
      <c r="A171" t="s">
        <v>78</v>
      </c>
      <c r="B171" t="s">
        <v>79</v>
      </c>
      <c r="C171" t="s">
        <v>80</v>
      </c>
      <c r="D171" t="s">
        <v>83</v>
      </c>
      <c r="E171" t="s">
        <v>85</v>
      </c>
      <c r="F171" t="s">
        <v>81</v>
      </c>
      <c r="G171" t="s">
        <v>88</v>
      </c>
      <c r="H171" s="62">
        <v>2032</v>
      </c>
      <c r="I171">
        <v>0.65290000000000004</v>
      </c>
    </row>
    <row r="172" spans="1:9">
      <c r="A172" t="s">
        <v>78</v>
      </c>
      <c r="B172" t="s">
        <v>79</v>
      </c>
      <c r="C172" t="s">
        <v>80</v>
      </c>
      <c r="D172" t="s">
        <v>86</v>
      </c>
      <c r="E172" t="s">
        <v>87</v>
      </c>
      <c r="F172" t="s">
        <v>81</v>
      </c>
      <c r="G172" t="s">
        <v>88</v>
      </c>
      <c r="H172" s="62">
        <v>2032</v>
      </c>
      <c r="I172">
        <v>0.36780000000000002</v>
      </c>
    </row>
    <row r="173" spans="1:9">
      <c r="A173" t="s">
        <v>78</v>
      </c>
      <c r="B173" t="s">
        <v>79</v>
      </c>
      <c r="C173" t="s">
        <v>80</v>
      </c>
      <c r="D173" t="s">
        <v>103</v>
      </c>
      <c r="E173" t="s">
        <v>92</v>
      </c>
      <c r="F173" t="s">
        <v>81</v>
      </c>
      <c r="G173" t="s">
        <v>88</v>
      </c>
      <c r="H173" s="62">
        <v>2032</v>
      </c>
      <c r="I173">
        <v>1.0399</v>
      </c>
    </row>
    <row r="174" spans="1:9">
      <c r="A174" t="s">
        <v>78</v>
      </c>
      <c r="B174" t="s">
        <v>79</v>
      </c>
      <c r="C174" t="s">
        <v>80</v>
      </c>
      <c r="D174" t="s">
        <v>103</v>
      </c>
      <c r="E174" t="s">
        <v>89</v>
      </c>
      <c r="F174" t="s">
        <v>81</v>
      </c>
      <c r="G174" t="s">
        <v>88</v>
      </c>
      <c r="H174" s="62">
        <v>2032</v>
      </c>
      <c r="I174">
        <v>6.3114999999999997</v>
      </c>
    </row>
    <row r="175" spans="1:9">
      <c r="A175" t="s">
        <v>78</v>
      </c>
      <c r="B175" t="s">
        <v>79</v>
      </c>
      <c r="C175" t="s">
        <v>80</v>
      </c>
      <c r="D175" t="s">
        <v>80</v>
      </c>
      <c r="E175" t="s">
        <v>80</v>
      </c>
      <c r="F175" t="s">
        <v>81</v>
      </c>
      <c r="G175" t="s">
        <v>88</v>
      </c>
      <c r="H175" s="62">
        <v>2033</v>
      </c>
      <c r="I175">
        <v>26.117899999999999</v>
      </c>
    </row>
    <row r="176" spans="1:9">
      <c r="A176" t="s">
        <v>78</v>
      </c>
      <c r="B176" t="s">
        <v>79</v>
      </c>
      <c r="C176" t="s">
        <v>80</v>
      </c>
      <c r="D176" t="s">
        <v>89</v>
      </c>
      <c r="E176" t="s">
        <v>90</v>
      </c>
      <c r="F176" t="s">
        <v>81</v>
      </c>
      <c r="G176" t="s">
        <v>88</v>
      </c>
      <c r="H176" s="62">
        <v>2033</v>
      </c>
      <c r="I176">
        <v>0.17480000000000001</v>
      </c>
    </row>
    <row r="177" spans="1:9">
      <c r="A177" t="s">
        <v>78</v>
      </c>
      <c r="B177" t="s">
        <v>79</v>
      </c>
      <c r="C177" t="s">
        <v>80</v>
      </c>
      <c r="D177" t="s">
        <v>89</v>
      </c>
      <c r="E177" t="s">
        <v>91</v>
      </c>
      <c r="F177" t="s">
        <v>81</v>
      </c>
      <c r="G177" t="s">
        <v>88</v>
      </c>
      <c r="H177" s="62">
        <v>2033</v>
      </c>
      <c r="I177">
        <v>-4.7999999999999996E-3</v>
      </c>
    </row>
    <row r="178" spans="1:9">
      <c r="A178" t="s">
        <v>78</v>
      </c>
      <c r="B178" t="s">
        <v>79</v>
      </c>
      <c r="C178" t="s">
        <v>80</v>
      </c>
      <c r="D178" t="s">
        <v>92</v>
      </c>
      <c r="E178" t="s">
        <v>93</v>
      </c>
      <c r="F178" t="s">
        <v>81</v>
      </c>
      <c r="G178" t="s">
        <v>88</v>
      </c>
      <c r="H178" s="62">
        <v>2033</v>
      </c>
      <c r="I178">
        <v>-0.3987</v>
      </c>
    </row>
    <row r="179" spans="1:9">
      <c r="A179" t="s">
        <v>78</v>
      </c>
      <c r="B179" t="s">
        <v>79</v>
      </c>
      <c r="C179" t="s">
        <v>80</v>
      </c>
      <c r="D179" t="s">
        <v>92</v>
      </c>
      <c r="E179" t="s">
        <v>94</v>
      </c>
      <c r="F179" t="s">
        <v>81</v>
      </c>
      <c r="G179" t="s">
        <v>88</v>
      </c>
      <c r="H179" s="62">
        <v>2033</v>
      </c>
      <c r="I179">
        <v>8.23</v>
      </c>
    </row>
    <row r="180" spans="1:9">
      <c r="A180" t="s">
        <v>78</v>
      </c>
      <c r="B180" t="s">
        <v>79</v>
      </c>
      <c r="C180" t="s">
        <v>80</v>
      </c>
      <c r="D180" t="s">
        <v>92</v>
      </c>
      <c r="E180" t="s">
        <v>95</v>
      </c>
      <c r="F180" t="s">
        <v>81</v>
      </c>
      <c r="G180" t="s">
        <v>88</v>
      </c>
      <c r="H180" s="62">
        <v>2033</v>
      </c>
      <c r="I180">
        <v>6.2343000000000002</v>
      </c>
    </row>
    <row r="181" spans="1:9">
      <c r="A181" t="s">
        <v>78</v>
      </c>
      <c r="B181" t="s">
        <v>79</v>
      </c>
      <c r="C181" t="s">
        <v>80</v>
      </c>
      <c r="D181" t="s">
        <v>96</v>
      </c>
      <c r="E181" t="s">
        <v>92</v>
      </c>
      <c r="F181" t="s">
        <v>81</v>
      </c>
      <c r="G181" t="s">
        <v>88</v>
      </c>
      <c r="H181" s="62">
        <v>2033</v>
      </c>
      <c r="I181">
        <v>6.8505000000000003</v>
      </c>
    </row>
    <row r="182" spans="1:9">
      <c r="A182" t="s">
        <v>78</v>
      </c>
      <c r="B182" t="s">
        <v>79</v>
      </c>
      <c r="C182" t="s">
        <v>80</v>
      </c>
      <c r="D182" t="s">
        <v>96</v>
      </c>
      <c r="E182" t="s">
        <v>89</v>
      </c>
      <c r="F182" t="s">
        <v>81</v>
      </c>
      <c r="G182" t="s">
        <v>88</v>
      </c>
      <c r="H182" s="62">
        <v>2033</v>
      </c>
      <c r="I182">
        <v>0.4219</v>
      </c>
    </row>
    <row r="183" spans="1:9">
      <c r="A183" t="s">
        <v>78</v>
      </c>
      <c r="B183" t="s">
        <v>79</v>
      </c>
      <c r="C183" t="s">
        <v>80</v>
      </c>
      <c r="D183" t="s">
        <v>97</v>
      </c>
      <c r="E183" t="s">
        <v>98</v>
      </c>
      <c r="F183" t="s">
        <v>81</v>
      </c>
      <c r="G183" t="s">
        <v>88</v>
      </c>
      <c r="H183" s="62">
        <v>2033</v>
      </c>
      <c r="I183">
        <v>1.2322</v>
      </c>
    </row>
    <row r="184" spans="1:9">
      <c r="A184" t="s">
        <v>78</v>
      </c>
      <c r="B184" t="s">
        <v>79</v>
      </c>
      <c r="C184" t="s">
        <v>80</v>
      </c>
      <c r="D184" t="s">
        <v>97</v>
      </c>
      <c r="E184" t="s">
        <v>99</v>
      </c>
      <c r="F184" t="s">
        <v>81</v>
      </c>
      <c r="G184" t="s">
        <v>88</v>
      </c>
      <c r="H184" s="62">
        <v>2033</v>
      </c>
      <c r="I184">
        <v>3.8E-3</v>
      </c>
    </row>
    <row r="185" spans="1:9">
      <c r="A185" t="s">
        <v>78</v>
      </c>
      <c r="B185" t="s">
        <v>79</v>
      </c>
      <c r="C185" t="s">
        <v>80</v>
      </c>
      <c r="D185" t="s">
        <v>100</v>
      </c>
      <c r="E185" t="s">
        <v>101</v>
      </c>
      <c r="F185" t="s">
        <v>81</v>
      </c>
      <c r="G185" t="s">
        <v>88</v>
      </c>
      <c r="H185" s="62">
        <v>2033</v>
      </c>
      <c r="I185">
        <v>0.2324</v>
      </c>
    </row>
    <row r="186" spans="1:9">
      <c r="A186" t="s">
        <v>78</v>
      </c>
      <c r="B186" t="s">
        <v>79</v>
      </c>
      <c r="C186" t="s">
        <v>80</v>
      </c>
      <c r="D186" t="s">
        <v>100</v>
      </c>
      <c r="E186" t="s">
        <v>102</v>
      </c>
      <c r="F186" t="s">
        <v>81</v>
      </c>
      <c r="G186" t="s">
        <v>88</v>
      </c>
      <c r="H186" s="62">
        <v>2033</v>
      </c>
      <c r="I186">
        <v>1.0185999999999999</v>
      </c>
    </row>
    <row r="187" spans="1:9">
      <c r="A187" t="s">
        <v>78</v>
      </c>
      <c r="B187" t="s">
        <v>79</v>
      </c>
      <c r="C187" t="s">
        <v>80</v>
      </c>
      <c r="D187" t="s">
        <v>83</v>
      </c>
      <c r="E187" t="s">
        <v>84</v>
      </c>
      <c r="F187" t="s">
        <v>81</v>
      </c>
      <c r="G187" t="s">
        <v>88</v>
      </c>
      <c r="H187" s="62">
        <v>2033</v>
      </c>
      <c r="I187">
        <v>1.4295</v>
      </c>
    </row>
    <row r="188" spans="1:9">
      <c r="A188" t="s">
        <v>78</v>
      </c>
      <c r="B188" t="s">
        <v>79</v>
      </c>
      <c r="C188" t="s">
        <v>80</v>
      </c>
      <c r="D188" t="s">
        <v>83</v>
      </c>
      <c r="E188" t="s">
        <v>85</v>
      </c>
      <c r="F188" t="s">
        <v>81</v>
      </c>
      <c r="G188" t="s">
        <v>88</v>
      </c>
      <c r="H188" s="62">
        <v>2033</v>
      </c>
      <c r="I188">
        <v>0.69730000000000003</v>
      </c>
    </row>
    <row r="189" spans="1:9">
      <c r="A189" t="s">
        <v>78</v>
      </c>
      <c r="B189" t="s">
        <v>79</v>
      </c>
      <c r="C189" t="s">
        <v>80</v>
      </c>
      <c r="D189" t="s">
        <v>86</v>
      </c>
      <c r="E189" t="s">
        <v>87</v>
      </c>
      <c r="F189" t="s">
        <v>81</v>
      </c>
      <c r="G189" t="s">
        <v>88</v>
      </c>
      <c r="H189" s="62">
        <v>2033</v>
      </c>
      <c r="I189">
        <v>0.40360000000000001</v>
      </c>
    </row>
    <row r="190" spans="1:9">
      <c r="A190" t="s">
        <v>78</v>
      </c>
      <c r="B190" t="s">
        <v>79</v>
      </c>
      <c r="C190" t="s">
        <v>80</v>
      </c>
      <c r="D190" t="s">
        <v>103</v>
      </c>
      <c r="E190" t="s">
        <v>92</v>
      </c>
      <c r="F190" t="s">
        <v>81</v>
      </c>
      <c r="G190" t="s">
        <v>88</v>
      </c>
      <c r="H190" s="62">
        <v>2033</v>
      </c>
      <c r="I190">
        <v>1.1082000000000001</v>
      </c>
    </row>
    <row r="191" spans="1:9">
      <c r="A191" t="s">
        <v>78</v>
      </c>
      <c r="B191" t="s">
        <v>79</v>
      </c>
      <c r="C191" t="s">
        <v>80</v>
      </c>
      <c r="D191" t="s">
        <v>103</v>
      </c>
      <c r="E191" t="s">
        <v>89</v>
      </c>
      <c r="F191" t="s">
        <v>81</v>
      </c>
      <c r="G191" t="s">
        <v>88</v>
      </c>
      <c r="H191" s="62">
        <v>2033</v>
      </c>
      <c r="I191">
        <v>6.7686999999999999</v>
      </c>
    </row>
    <row r="192" spans="1:9">
      <c r="A192" t="s">
        <v>78</v>
      </c>
      <c r="B192" t="s">
        <v>79</v>
      </c>
      <c r="C192" t="s">
        <v>80</v>
      </c>
      <c r="D192" t="s">
        <v>80</v>
      </c>
      <c r="E192" t="s">
        <v>80</v>
      </c>
      <c r="F192" t="s">
        <v>81</v>
      </c>
      <c r="G192" t="s">
        <v>88</v>
      </c>
      <c r="H192" s="62">
        <v>2034</v>
      </c>
      <c r="I192">
        <v>27.867599999999999</v>
      </c>
    </row>
    <row r="193" spans="1:9">
      <c r="A193" t="s">
        <v>78</v>
      </c>
      <c r="B193" t="s">
        <v>79</v>
      </c>
      <c r="C193" t="s">
        <v>80</v>
      </c>
      <c r="D193" t="s">
        <v>89</v>
      </c>
      <c r="E193" t="s">
        <v>90</v>
      </c>
      <c r="F193" t="s">
        <v>81</v>
      </c>
      <c r="G193" t="s">
        <v>88</v>
      </c>
      <c r="H193" s="62">
        <v>2034</v>
      </c>
      <c r="I193">
        <v>-0.18659999999999999</v>
      </c>
    </row>
    <row r="194" spans="1:9">
      <c r="A194" t="s">
        <v>78</v>
      </c>
      <c r="B194" t="s">
        <v>79</v>
      </c>
      <c r="C194" t="s">
        <v>80</v>
      </c>
      <c r="D194" t="s">
        <v>89</v>
      </c>
      <c r="E194" t="s">
        <v>91</v>
      </c>
      <c r="F194" t="s">
        <v>81</v>
      </c>
      <c r="G194" t="s">
        <v>88</v>
      </c>
      <c r="H194" s="62">
        <v>2034</v>
      </c>
      <c r="I194">
        <v>5.7000000000000002E-3</v>
      </c>
    </row>
    <row r="195" spans="1:9">
      <c r="A195" t="s">
        <v>78</v>
      </c>
      <c r="B195" t="s">
        <v>79</v>
      </c>
      <c r="C195" t="s">
        <v>80</v>
      </c>
      <c r="D195" t="s">
        <v>92</v>
      </c>
      <c r="E195" t="s">
        <v>93</v>
      </c>
      <c r="F195" t="s">
        <v>81</v>
      </c>
      <c r="G195" t="s">
        <v>88</v>
      </c>
      <c r="H195" s="62">
        <v>2034</v>
      </c>
      <c r="I195">
        <v>-0.44700000000000001</v>
      </c>
    </row>
    <row r="196" spans="1:9">
      <c r="A196" t="s">
        <v>78</v>
      </c>
      <c r="B196" t="s">
        <v>79</v>
      </c>
      <c r="C196" t="s">
        <v>80</v>
      </c>
      <c r="D196" t="s">
        <v>92</v>
      </c>
      <c r="E196" t="s">
        <v>94</v>
      </c>
      <c r="F196" t="s">
        <v>81</v>
      </c>
      <c r="G196" t="s">
        <v>88</v>
      </c>
      <c r="H196" s="62">
        <v>2034</v>
      </c>
      <c r="I196">
        <v>8.3386999999999993</v>
      </c>
    </row>
    <row r="197" spans="1:9">
      <c r="A197" t="s">
        <v>78</v>
      </c>
      <c r="B197" t="s">
        <v>79</v>
      </c>
      <c r="C197" t="s">
        <v>80</v>
      </c>
      <c r="D197" t="s">
        <v>92</v>
      </c>
      <c r="E197" t="s">
        <v>95</v>
      </c>
      <c r="F197" t="s">
        <v>81</v>
      </c>
      <c r="G197" t="s">
        <v>88</v>
      </c>
      <c r="H197" s="62">
        <v>2034</v>
      </c>
      <c r="I197">
        <v>6.2390999999999996</v>
      </c>
    </row>
    <row r="198" spans="1:9">
      <c r="A198" t="s">
        <v>78</v>
      </c>
      <c r="B198" t="s">
        <v>79</v>
      </c>
      <c r="C198" t="s">
        <v>80</v>
      </c>
      <c r="D198" t="s">
        <v>96</v>
      </c>
      <c r="E198" t="s">
        <v>92</v>
      </c>
      <c r="F198" t="s">
        <v>81</v>
      </c>
      <c r="G198" t="s">
        <v>88</v>
      </c>
      <c r="H198" s="62">
        <v>2034</v>
      </c>
      <c r="I198">
        <v>7.6695000000000002</v>
      </c>
    </row>
    <row r="199" spans="1:9">
      <c r="A199" t="s">
        <v>78</v>
      </c>
      <c r="B199" t="s">
        <v>79</v>
      </c>
      <c r="C199" t="s">
        <v>80</v>
      </c>
      <c r="D199" t="s">
        <v>96</v>
      </c>
      <c r="E199" t="s">
        <v>89</v>
      </c>
      <c r="F199" t="s">
        <v>81</v>
      </c>
      <c r="G199" t="s">
        <v>88</v>
      </c>
      <c r="H199" s="62">
        <v>2034</v>
      </c>
      <c r="I199">
        <v>0.4698</v>
      </c>
    </row>
    <row r="200" spans="1:9">
      <c r="A200" t="s">
        <v>78</v>
      </c>
      <c r="B200" t="s">
        <v>79</v>
      </c>
      <c r="C200" t="s">
        <v>80</v>
      </c>
      <c r="D200" t="s">
        <v>97</v>
      </c>
      <c r="E200" t="s">
        <v>98</v>
      </c>
      <c r="F200" t="s">
        <v>81</v>
      </c>
      <c r="G200" t="s">
        <v>88</v>
      </c>
      <c r="H200" s="62">
        <v>2034</v>
      </c>
      <c r="I200">
        <v>1.4689000000000001</v>
      </c>
    </row>
    <row r="201" spans="1:9">
      <c r="A201" t="s">
        <v>78</v>
      </c>
      <c r="B201" t="s">
        <v>79</v>
      </c>
      <c r="C201" t="s">
        <v>80</v>
      </c>
      <c r="D201" t="s">
        <v>97</v>
      </c>
      <c r="E201" t="s">
        <v>99</v>
      </c>
      <c r="F201" t="s">
        <v>81</v>
      </c>
      <c r="G201" t="s">
        <v>88</v>
      </c>
      <c r="H201" s="62">
        <v>2034</v>
      </c>
      <c r="I201">
        <v>5.8999999999999999E-3</v>
      </c>
    </row>
    <row r="202" spans="1:9">
      <c r="A202" t="s">
        <v>78</v>
      </c>
      <c r="B202" t="s">
        <v>79</v>
      </c>
      <c r="C202" t="s">
        <v>80</v>
      </c>
      <c r="D202" t="s">
        <v>100</v>
      </c>
      <c r="E202" t="s">
        <v>101</v>
      </c>
      <c r="F202" t="s">
        <v>81</v>
      </c>
      <c r="G202" t="s">
        <v>88</v>
      </c>
      <c r="H202" s="62">
        <v>2034</v>
      </c>
      <c r="I202">
        <v>0.40649999999999997</v>
      </c>
    </row>
    <row r="203" spans="1:9">
      <c r="A203" t="s">
        <v>78</v>
      </c>
      <c r="B203" t="s">
        <v>79</v>
      </c>
      <c r="C203" t="s">
        <v>80</v>
      </c>
      <c r="D203" t="s">
        <v>100</v>
      </c>
      <c r="E203" t="s">
        <v>102</v>
      </c>
      <c r="F203" t="s">
        <v>81</v>
      </c>
      <c r="G203" t="s">
        <v>88</v>
      </c>
      <c r="H203" s="62">
        <v>2034</v>
      </c>
      <c r="I203">
        <v>1.6328</v>
      </c>
    </row>
    <row r="204" spans="1:9">
      <c r="A204" t="s">
        <v>78</v>
      </c>
      <c r="B204" t="s">
        <v>79</v>
      </c>
      <c r="C204" t="s">
        <v>80</v>
      </c>
      <c r="D204" t="s">
        <v>83</v>
      </c>
      <c r="E204" t="s">
        <v>84</v>
      </c>
      <c r="F204" t="s">
        <v>81</v>
      </c>
      <c r="G204" t="s">
        <v>88</v>
      </c>
      <c r="H204" s="62">
        <v>2034</v>
      </c>
      <c r="I204">
        <v>1.5259</v>
      </c>
    </row>
    <row r="205" spans="1:9">
      <c r="A205" t="s">
        <v>78</v>
      </c>
      <c r="B205" t="s">
        <v>79</v>
      </c>
      <c r="C205" t="s">
        <v>80</v>
      </c>
      <c r="D205" t="s">
        <v>83</v>
      </c>
      <c r="E205" t="s">
        <v>85</v>
      </c>
      <c r="F205" t="s">
        <v>81</v>
      </c>
      <c r="G205" t="s">
        <v>88</v>
      </c>
      <c r="H205" s="62">
        <v>2034</v>
      </c>
      <c r="I205">
        <v>0.74419999999999997</v>
      </c>
    </row>
    <row r="206" spans="1:9">
      <c r="A206" t="s">
        <v>78</v>
      </c>
      <c r="B206" t="s">
        <v>79</v>
      </c>
      <c r="C206" t="s">
        <v>80</v>
      </c>
      <c r="D206" t="s">
        <v>86</v>
      </c>
      <c r="E206" t="s">
        <v>87</v>
      </c>
      <c r="F206" t="s">
        <v>81</v>
      </c>
      <c r="G206" t="s">
        <v>88</v>
      </c>
      <c r="H206" s="62">
        <v>2034</v>
      </c>
      <c r="I206">
        <v>0.44119999999999998</v>
      </c>
    </row>
    <row r="207" spans="1:9">
      <c r="A207" t="s">
        <v>78</v>
      </c>
      <c r="B207" t="s">
        <v>79</v>
      </c>
      <c r="C207" t="s">
        <v>80</v>
      </c>
      <c r="D207" t="s">
        <v>103</v>
      </c>
      <c r="E207" t="s">
        <v>92</v>
      </c>
      <c r="F207" t="s">
        <v>81</v>
      </c>
      <c r="G207" t="s">
        <v>88</v>
      </c>
      <c r="H207" s="62">
        <v>2034</v>
      </c>
      <c r="I207">
        <v>1.1761999999999999</v>
      </c>
    </row>
    <row r="208" spans="1:9">
      <c r="A208" t="s">
        <v>78</v>
      </c>
      <c r="B208" t="s">
        <v>79</v>
      </c>
      <c r="C208" t="s">
        <v>80</v>
      </c>
      <c r="D208" t="s">
        <v>103</v>
      </c>
      <c r="E208" t="s">
        <v>89</v>
      </c>
      <c r="F208" t="s">
        <v>81</v>
      </c>
      <c r="G208" t="s">
        <v>88</v>
      </c>
      <c r="H208" s="62">
        <v>2034</v>
      </c>
      <c r="I208">
        <v>7.2083000000000004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076A-BADB-4E22-922E-3BA9FDFA28B1}">
  <dimension ref="A2:AO117"/>
  <sheetViews>
    <sheetView topLeftCell="A72" zoomScale="118" zoomScaleNormal="118" workbookViewId="0">
      <selection activeCell="C113" sqref="C113"/>
    </sheetView>
  </sheetViews>
  <sheetFormatPr defaultRowHeight="14"/>
  <cols>
    <col min="1" max="1" width="30.58203125" customWidth="1"/>
    <col min="2" max="2" width="25.75" customWidth="1"/>
    <col min="3" max="3" width="14" customWidth="1"/>
    <col min="4" max="4" width="13.83203125" bestFit="1" customWidth="1"/>
    <col min="5" max="5" width="11" bestFit="1" customWidth="1"/>
    <col min="9" max="9" width="14.5" bestFit="1" customWidth="1"/>
  </cols>
  <sheetData>
    <row r="2" spans="1:24" s="32" customFormat="1">
      <c r="A2" s="32" t="s">
        <v>42</v>
      </c>
    </row>
    <row r="3" spans="1:24">
      <c r="B3" t="s">
        <v>30</v>
      </c>
    </row>
    <row r="15" spans="1:24">
      <c r="D15">
        <v>2020</v>
      </c>
      <c r="E15">
        <f t="shared" ref="E15:X15" si="0">D15+1</f>
        <v>2021</v>
      </c>
      <c r="F15">
        <f t="shared" si="0"/>
        <v>2022</v>
      </c>
      <c r="G15">
        <f t="shared" si="0"/>
        <v>2023</v>
      </c>
      <c r="H15">
        <f t="shared" si="0"/>
        <v>2024</v>
      </c>
      <c r="I15">
        <f t="shared" si="0"/>
        <v>2025</v>
      </c>
      <c r="J15">
        <f t="shared" si="0"/>
        <v>2026</v>
      </c>
      <c r="K15">
        <f t="shared" si="0"/>
        <v>2027</v>
      </c>
      <c r="L15">
        <f t="shared" si="0"/>
        <v>2028</v>
      </c>
      <c r="M15">
        <f t="shared" si="0"/>
        <v>2029</v>
      </c>
      <c r="N15">
        <f t="shared" si="0"/>
        <v>2030</v>
      </c>
      <c r="O15">
        <f t="shared" si="0"/>
        <v>2031</v>
      </c>
      <c r="P15">
        <f t="shared" si="0"/>
        <v>2032</v>
      </c>
      <c r="Q15">
        <f t="shared" si="0"/>
        <v>2033</v>
      </c>
      <c r="R15">
        <f t="shared" si="0"/>
        <v>2034</v>
      </c>
      <c r="S15">
        <f t="shared" si="0"/>
        <v>2035</v>
      </c>
      <c r="T15">
        <f t="shared" si="0"/>
        <v>2036</v>
      </c>
      <c r="U15">
        <f t="shared" si="0"/>
        <v>2037</v>
      </c>
      <c r="V15">
        <f t="shared" si="0"/>
        <v>2038</v>
      </c>
      <c r="W15">
        <f t="shared" si="0"/>
        <v>2039</v>
      </c>
      <c r="X15">
        <f t="shared" si="0"/>
        <v>2040</v>
      </c>
    </row>
    <row r="16" spans="1:24">
      <c r="B16" t="s">
        <v>35</v>
      </c>
      <c r="C16" t="s">
        <v>39</v>
      </c>
      <c r="D16" s="20">
        <v>115000</v>
      </c>
      <c r="E16" s="20">
        <v>117000</v>
      </c>
      <c r="F16" s="20">
        <v>120000</v>
      </c>
      <c r="G16" s="20">
        <v>115000</v>
      </c>
      <c r="H16" s="27">
        <v>128310.50228310502</v>
      </c>
      <c r="I16" s="20">
        <f>H16</f>
        <v>128310.50228310502</v>
      </c>
      <c r="J16" s="20">
        <v>120000</v>
      </c>
      <c r="K16" s="20">
        <f>J16+$K$17</f>
        <v>121428.57142857143</v>
      </c>
      <c r="L16" s="20">
        <f t="shared" ref="L16:W16" si="1">K16+$K$17</f>
        <v>122857.14285714287</v>
      </c>
      <c r="M16" s="20">
        <f t="shared" si="1"/>
        <v>124285.7142857143</v>
      </c>
      <c r="N16" s="20">
        <f t="shared" si="1"/>
        <v>125714.28571428574</v>
      </c>
      <c r="O16" s="20">
        <f t="shared" si="1"/>
        <v>127142.85714285717</v>
      </c>
      <c r="P16" s="20">
        <f t="shared" si="1"/>
        <v>128571.42857142861</v>
      </c>
      <c r="Q16" s="20">
        <f t="shared" si="1"/>
        <v>130000.00000000004</v>
      </c>
      <c r="R16" s="20">
        <f t="shared" si="1"/>
        <v>131428.57142857148</v>
      </c>
      <c r="S16" s="20">
        <f t="shared" si="1"/>
        <v>132857.1428571429</v>
      </c>
      <c r="T16" s="20">
        <f t="shared" si="1"/>
        <v>134285.71428571432</v>
      </c>
      <c r="U16" s="20">
        <f t="shared" si="1"/>
        <v>135714.28571428574</v>
      </c>
      <c r="V16" s="20">
        <f t="shared" si="1"/>
        <v>137142.85714285716</v>
      </c>
      <c r="W16" s="20">
        <f t="shared" si="1"/>
        <v>138571.42857142858</v>
      </c>
      <c r="X16" s="20">
        <v>140000</v>
      </c>
    </row>
    <row r="17" spans="1:24">
      <c r="K17" s="24">
        <f>(X16-J16)/14</f>
        <v>1428.5714285714287</v>
      </c>
    </row>
    <row r="18" spans="1:24">
      <c r="B18" t="s">
        <v>36</v>
      </c>
      <c r="D18" s="26">
        <v>1</v>
      </c>
      <c r="E18" s="26">
        <f>D18</f>
        <v>1</v>
      </c>
      <c r="F18" s="26">
        <f>E18</f>
        <v>1</v>
      </c>
      <c r="G18" s="26">
        <f t="shared" ref="G18:X18" si="2">F18</f>
        <v>1</v>
      </c>
      <c r="H18" s="26">
        <f t="shared" si="2"/>
        <v>1</v>
      </c>
      <c r="I18" s="26">
        <f t="shared" si="2"/>
        <v>1</v>
      </c>
      <c r="J18" s="26">
        <f t="shared" si="2"/>
        <v>1</v>
      </c>
      <c r="K18" s="26">
        <f t="shared" si="2"/>
        <v>1</v>
      </c>
      <c r="L18" s="26">
        <f t="shared" si="2"/>
        <v>1</v>
      </c>
      <c r="M18" s="26">
        <f t="shared" si="2"/>
        <v>1</v>
      </c>
      <c r="N18" s="26">
        <f t="shared" si="2"/>
        <v>1</v>
      </c>
      <c r="O18" s="26">
        <f t="shared" si="2"/>
        <v>1</v>
      </c>
      <c r="P18" s="26">
        <f t="shared" si="2"/>
        <v>1</v>
      </c>
      <c r="Q18" s="26">
        <f t="shared" si="2"/>
        <v>1</v>
      </c>
      <c r="R18" s="26">
        <f t="shared" si="2"/>
        <v>1</v>
      </c>
      <c r="S18" s="26">
        <f t="shared" si="2"/>
        <v>1</v>
      </c>
      <c r="T18" s="26">
        <f t="shared" si="2"/>
        <v>1</v>
      </c>
      <c r="U18" s="26">
        <f t="shared" si="2"/>
        <v>1</v>
      </c>
      <c r="V18" s="26">
        <f t="shared" si="2"/>
        <v>1</v>
      </c>
      <c r="W18" s="26">
        <f t="shared" si="2"/>
        <v>1</v>
      </c>
      <c r="X18" s="26">
        <f t="shared" si="2"/>
        <v>1</v>
      </c>
    </row>
    <row r="19" spans="1:24">
      <c r="B19" t="s">
        <v>37</v>
      </c>
      <c r="C19" t="s">
        <v>2</v>
      </c>
      <c r="D19" s="20">
        <f>D16*8760/1000000/D18</f>
        <v>1007.4</v>
      </c>
      <c r="E19" s="20">
        <f t="shared" ref="E19:K19" si="3">E16*8760/1000000/E18</f>
        <v>1024.92</v>
      </c>
      <c r="F19" s="20">
        <f t="shared" si="3"/>
        <v>1051.2</v>
      </c>
      <c r="G19" s="20">
        <f t="shared" si="3"/>
        <v>1007.4</v>
      </c>
      <c r="H19" s="20">
        <f t="shared" si="3"/>
        <v>1124</v>
      </c>
      <c r="I19" s="20">
        <f t="shared" si="3"/>
        <v>1124</v>
      </c>
      <c r="J19" s="20">
        <f t="shared" si="3"/>
        <v>1051.2</v>
      </c>
      <c r="K19" s="20">
        <f t="shared" si="3"/>
        <v>1063.7142857142858</v>
      </c>
      <c r="L19" s="20">
        <f t="shared" ref="L19" si="4">L16*8760/1000000/L18</f>
        <v>1076.2285714285715</v>
      </c>
      <c r="M19" s="20">
        <f t="shared" ref="M19" si="5">M16*8760/1000000/M18</f>
        <v>1088.7428571428572</v>
      </c>
      <c r="N19" s="20">
        <f t="shared" ref="N19" si="6">N16*8760/1000000/N18</f>
        <v>1101.2571428571432</v>
      </c>
      <c r="O19" s="20">
        <f t="shared" ref="O19" si="7">O16*8760/1000000/O18</f>
        <v>1113.7714285714287</v>
      </c>
      <c r="P19" s="20">
        <f t="shared" ref="P19" si="8">P16*8760/1000000/P18</f>
        <v>1126.2857142857147</v>
      </c>
      <c r="Q19" s="20">
        <f t="shared" ref="Q19" si="9">Q16*8760/1000000/Q18</f>
        <v>1138.8000000000004</v>
      </c>
      <c r="R19" s="20">
        <f t="shared" ref="R19" si="10">R16*8760/1000000/R18</f>
        <v>1151.3142857142861</v>
      </c>
      <c r="S19" s="20">
        <f t="shared" ref="S19" si="11">S16*8760/1000000/S18</f>
        <v>1163.8285714285716</v>
      </c>
      <c r="T19" s="20">
        <f t="shared" ref="T19" si="12">T16*8760/1000000/T18</f>
        <v>1176.3428571428576</v>
      </c>
      <c r="U19" s="20">
        <f t="shared" ref="U19" si="13">U16*8760/1000000/U18</f>
        <v>1188.8571428571431</v>
      </c>
      <c r="V19" s="20">
        <f t="shared" ref="V19" si="14">V16*8760/1000000/V18</f>
        <v>1201.3714285714289</v>
      </c>
      <c r="W19" s="20">
        <f t="shared" ref="W19" si="15">W16*8760/1000000/W18</f>
        <v>1213.8857142857144</v>
      </c>
      <c r="X19" s="20">
        <f t="shared" ref="X19" si="16">X16*8760/1000000/X18</f>
        <v>1226.4000000000001</v>
      </c>
    </row>
    <row r="20" spans="1:24">
      <c r="B20" t="s">
        <v>40</v>
      </c>
      <c r="C20" t="s">
        <v>2</v>
      </c>
      <c r="H20" s="20">
        <v>1124</v>
      </c>
    </row>
    <row r="21" spans="1:24">
      <c r="B21" t="s">
        <v>38</v>
      </c>
    </row>
    <row r="22" spans="1:24">
      <c r="D22" s="20">
        <f>D16*8760/1000000/D18</f>
        <v>1007.4</v>
      </c>
    </row>
    <row r="24" spans="1:24">
      <c r="B24" t="s">
        <v>41</v>
      </c>
    </row>
    <row r="25" spans="1:24">
      <c r="B25" t="s">
        <v>31</v>
      </c>
    </row>
    <row r="27" spans="1:24">
      <c r="B27" t="s">
        <v>32</v>
      </c>
      <c r="E27" t="s">
        <v>33</v>
      </c>
      <c r="G27" t="s">
        <v>34</v>
      </c>
    </row>
    <row r="31" spans="1:24" s="32" customFormat="1">
      <c r="A31" s="32" t="s">
        <v>43</v>
      </c>
      <c r="E31" s="45">
        <v>45517</v>
      </c>
    </row>
    <row r="32" spans="1:24">
      <c r="B32" t="s">
        <v>44</v>
      </c>
    </row>
    <row r="33" spans="2:2">
      <c r="B33" t="s">
        <v>45</v>
      </c>
    </row>
    <row r="62" spans="1:1" s="32" customFormat="1">
      <c r="A62" s="32" t="s">
        <v>51</v>
      </c>
    </row>
    <row r="64" spans="1:1">
      <c r="A64" s="14" t="s">
        <v>22</v>
      </c>
    </row>
    <row r="65" spans="1:41" ht="14.5" thickBot="1">
      <c r="A65" s="14" t="s">
        <v>9</v>
      </c>
      <c r="B65" s="15" t="s">
        <v>23</v>
      </c>
    </row>
    <row r="66" spans="1:41">
      <c r="A66" s="2" t="s">
        <v>14</v>
      </c>
      <c r="B66" s="3"/>
      <c r="C66" s="4" t="e">
        <f>Summary!#REF!</f>
        <v>#REF!</v>
      </c>
      <c r="D66" s="4" t="e">
        <f>Summary!#REF!</f>
        <v>#REF!</v>
      </c>
      <c r="E66" s="4" t="e">
        <f>Summary!#REF!</f>
        <v>#REF!</v>
      </c>
      <c r="F66" s="4" t="e">
        <f>Summary!#REF!</f>
        <v>#REF!</v>
      </c>
      <c r="G66" s="4" t="e">
        <f>Summary!#REF!</f>
        <v>#REF!</v>
      </c>
      <c r="H66" s="4" t="e">
        <f>Summary!#REF!</f>
        <v>#REF!</v>
      </c>
      <c r="I66" s="4" t="e">
        <f>Summary!#REF!</f>
        <v>#REF!</v>
      </c>
      <c r="J66" s="4" t="e">
        <f>Summary!#REF!</f>
        <v>#REF!</v>
      </c>
      <c r="K66" s="4" t="e">
        <f>Summary!#REF! &amp; "F"</f>
        <v>#REF!</v>
      </c>
      <c r="L66" s="4" t="e">
        <f>Summary!#REF! &amp; "F"</f>
        <v>#REF!</v>
      </c>
      <c r="M66" s="4" t="e">
        <f>Summary!#REF! &amp; "F"</f>
        <v>#REF!</v>
      </c>
      <c r="N66" s="4" t="e">
        <f>Summary!#REF! &amp; "F"</f>
        <v>#REF!</v>
      </c>
      <c r="O66" s="4" t="e">
        <f>Summary!#REF! &amp; "F"</f>
        <v>#REF!</v>
      </c>
      <c r="P66" s="4" t="e">
        <f>Summary!#REF! &amp; "F"</f>
        <v>#REF!</v>
      </c>
      <c r="Q66" s="4" t="e">
        <f>Summary!#REF! &amp; "F"</f>
        <v>#REF!</v>
      </c>
      <c r="R66" s="4" t="e">
        <f>Summary!#REF! &amp; "F"</f>
        <v>#REF!</v>
      </c>
      <c r="S66" s="4" t="e">
        <f>Summary!#REF! &amp; "F"</f>
        <v>#REF!</v>
      </c>
      <c r="T66" s="4" t="e">
        <f>Summary!#REF! &amp; "F"</f>
        <v>#REF!</v>
      </c>
      <c r="U66" s="4">
        <v>2035</v>
      </c>
      <c r="V66" s="4">
        <f>U66+1</f>
        <v>2036</v>
      </c>
      <c r="W66" s="4">
        <f t="shared" ref="W66:Z66" si="17">V66+1</f>
        <v>2037</v>
      </c>
      <c r="X66" s="4">
        <f t="shared" si="17"/>
        <v>2038</v>
      </c>
      <c r="Y66" s="4">
        <f t="shared" si="17"/>
        <v>2039</v>
      </c>
      <c r="Z66" s="4">
        <f t="shared" si="17"/>
        <v>2040</v>
      </c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5"/>
    </row>
    <row r="67" spans="1:41">
      <c r="A67" s="14" t="s">
        <v>24</v>
      </c>
      <c r="C67" s="16">
        <v>49880</v>
      </c>
      <c r="D67" s="16">
        <v>48739</v>
      </c>
      <c r="E67" s="16">
        <v>48764</v>
      </c>
      <c r="F67" s="16">
        <v>47860</v>
      </c>
      <c r="G67" s="16">
        <v>47421.236024757003</v>
      </c>
      <c r="H67" s="16">
        <v>47405.247523841506</v>
      </c>
      <c r="I67" s="16">
        <v>46214.124685681003</v>
      </c>
      <c r="J67" s="16">
        <v>47476.542398212994</v>
      </c>
      <c r="K67" s="21">
        <v>46697.0005409</v>
      </c>
      <c r="L67" s="21">
        <v>48031.669074399993</v>
      </c>
      <c r="M67" s="21">
        <v>48883.464490999992</v>
      </c>
      <c r="N67" s="21">
        <v>50217.170546299996</v>
      </c>
      <c r="O67" s="21">
        <v>52000.033248800006</v>
      </c>
      <c r="P67" s="21">
        <v>53785.257560399994</v>
      </c>
      <c r="Q67" s="21">
        <v>57649.94219329999</v>
      </c>
      <c r="R67" s="21">
        <v>60434.264542300007</v>
      </c>
      <c r="S67" s="21">
        <v>60436.718773699999</v>
      </c>
      <c r="T67" s="21">
        <v>60515.940695199992</v>
      </c>
    </row>
    <row r="68" spans="1:41">
      <c r="A68" s="23" t="s">
        <v>28</v>
      </c>
      <c r="R68">
        <v>901</v>
      </c>
      <c r="S68">
        <v>901</v>
      </c>
      <c r="T68">
        <v>901</v>
      </c>
    </row>
    <row r="69" spans="1:41">
      <c r="A69" s="14" t="s">
        <v>25</v>
      </c>
      <c r="K69" s="21">
        <v>46812.137749999994</v>
      </c>
      <c r="L69" s="21">
        <v>47377.060500000007</v>
      </c>
      <c r="M69" s="21">
        <v>47946.460500000001</v>
      </c>
      <c r="N69" s="21">
        <v>48377.860500000003</v>
      </c>
      <c r="O69" s="21">
        <v>48936.960500000008</v>
      </c>
      <c r="P69" s="21">
        <v>50780.260500000004</v>
      </c>
      <c r="Q69" s="21">
        <v>52588.760500000004</v>
      </c>
      <c r="R69" s="21">
        <v>55240.5605</v>
      </c>
      <c r="S69" s="21">
        <v>58118.960500000008</v>
      </c>
      <c r="T69" s="21">
        <v>59695.460500000008</v>
      </c>
    </row>
    <row r="70" spans="1:41">
      <c r="A70" s="23" t="s">
        <v>26</v>
      </c>
      <c r="K70" s="22">
        <f t="shared" ref="K70:T70" si="18">K69/K67-1</f>
        <v>2.4656232256106136E-3</v>
      </c>
      <c r="L70" s="22">
        <f t="shared" si="18"/>
        <v>-1.3628686802159895E-2</v>
      </c>
      <c r="M70" s="22">
        <f t="shared" si="18"/>
        <v>-1.9168117496510595E-2</v>
      </c>
      <c r="N70" s="22">
        <f t="shared" si="18"/>
        <v>-3.6627114317485443E-2</v>
      </c>
      <c r="O70" s="22">
        <f t="shared" si="18"/>
        <v>-5.8905207505241086E-2</v>
      </c>
      <c r="P70" s="22">
        <f t="shared" si="18"/>
        <v>-5.587027369024733E-2</v>
      </c>
      <c r="Q70" s="22">
        <f t="shared" si="18"/>
        <v>-8.7791617835970559E-2</v>
      </c>
      <c r="R70" s="22">
        <f t="shared" si="18"/>
        <v>-8.5939724453248822E-2</v>
      </c>
      <c r="S70" s="22">
        <f t="shared" si="18"/>
        <v>-3.8350167261373524E-2</v>
      </c>
      <c r="T70" s="22">
        <f t="shared" si="18"/>
        <v>-1.3558083800307874E-2</v>
      </c>
    </row>
    <row r="71" spans="1:41">
      <c r="A71" s="23" t="s">
        <v>27</v>
      </c>
      <c r="K71" s="22" t="e">
        <f>K69/Summary!#REF!-1</f>
        <v>#REF!</v>
      </c>
      <c r="L71" s="22" t="e">
        <f>L69/Summary!#REF!-1</f>
        <v>#REF!</v>
      </c>
      <c r="M71" s="22" t="e">
        <f>M69/Summary!#REF!-1</f>
        <v>#REF!</v>
      </c>
      <c r="N71" s="22" t="e">
        <f>N69/Summary!#REF!-1</f>
        <v>#REF!</v>
      </c>
      <c r="O71" s="22" t="e">
        <f>O69/Summary!#REF!-1</f>
        <v>#REF!</v>
      </c>
      <c r="P71" s="22" t="e">
        <f>P69/Summary!#REF!-1</f>
        <v>#REF!</v>
      </c>
      <c r="Q71" s="22" t="e">
        <f>Q69/Summary!#REF!-1</f>
        <v>#REF!</v>
      </c>
      <c r="R71" s="22" t="e">
        <f>R69/Summary!#REF!-1</f>
        <v>#REF!</v>
      </c>
      <c r="S71" s="22" t="e">
        <f>S69/Summary!#REF!-1</f>
        <v>#REF!</v>
      </c>
      <c r="T71" s="22" t="e">
        <f>T69/Summary!#REF!-1</f>
        <v>#REF!</v>
      </c>
    </row>
    <row r="72" spans="1:41">
      <c r="S72" s="24"/>
    </row>
    <row r="73" spans="1:41" s="32" customFormat="1">
      <c r="A73" s="32" t="s">
        <v>53</v>
      </c>
    </row>
    <row r="76" spans="1:41">
      <c r="A76" t="s">
        <v>54</v>
      </c>
    </row>
    <row r="78" spans="1:41">
      <c r="A78" t="s">
        <v>55</v>
      </c>
    </row>
    <row r="82" spans="2:26">
      <c r="B82" t="s">
        <v>56</v>
      </c>
      <c r="G82" s="52">
        <v>21345.7</v>
      </c>
      <c r="H82" s="52">
        <v>22485.609999999993</v>
      </c>
      <c r="I82" s="52">
        <v>24023.139999999996</v>
      </c>
      <c r="J82" s="52">
        <v>25954.790000000005</v>
      </c>
      <c r="K82" s="52">
        <v>28056.430000000004</v>
      </c>
      <c r="L82" s="52">
        <v>30399.339999999997</v>
      </c>
      <c r="M82" s="52">
        <v>33552.650000000009</v>
      </c>
      <c r="N82" s="52">
        <v>34887.410000000003</v>
      </c>
      <c r="O82" s="52">
        <v>35750.010000000009</v>
      </c>
      <c r="P82" s="52">
        <v>36450.529999999984</v>
      </c>
      <c r="Q82" s="52">
        <v>37679.160000000003</v>
      </c>
      <c r="R82" s="52">
        <v>38719.62000000001</v>
      </c>
      <c r="S82" s="52">
        <v>39453.329999999994</v>
      </c>
      <c r="T82" s="52">
        <v>40362.760000000017</v>
      </c>
      <c r="U82" s="52">
        <v>41201.14</v>
      </c>
      <c r="V82" s="52">
        <v>42472.48000000001</v>
      </c>
      <c r="W82" s="52">
        <v>43109.98</v>
      </c>
      <c r="X82" s="52">
        <v>44401.670000000013</v>
      </c>
      <c r="Y82" s="52">
        <v>45390.520000000004</v>
      </c>
      <c r="Z82" s="52">
        <v>46876.330000000016</v>
      </c>
    </row>
    <row r="84" spans="2:26">
      <c r="B84" t="s">
        <v>57</v>
      </c>
      <c r="G84" t="e">
        <f>Summary!#REF!</f>
        <v>#REF!</v>
      </c>
      <c r="H84" t="e">
        <f>Summary!#REF!</f>
        <v>#REF!</v>
      </c>
      <c r="I84" t="e">
        <f>Summary!#REF!</f>
        <v>#REF!</v>
      </c>
      <c r="J84" t="e">
        <f>Summary!#REF!</f>
        <v>#REF!</v>
      </c>
      <c r="K84" t="e">
        <f>Summary!#REF!</f>
        <v>#REF!</v>
      </c>
      <c r="L84" t="e">
        <f>Summary!#REF!</f>
        <v>#REF!</v>
      </c>
      <c r="M84" t="e">
        <f>Summary!#REF!</f>
        <v>#REF!</v>
      </c>
      <c r="N84" t="e">
        <f>Summary!#REF!</f>
        <v>#REF!</v>
      </c>
      <c r="O84" t="e">
        <f>Summary!#REF!</f>
        <v>#REF!</v>
      </c>
      <c r="P84" t="e">
        <f>Summary!#REF!</f>
        <v>#REF!</v>
      </c>
      <c r="Q84" t="e">
        <f>Summary!#REF!</f>
        <v>#REF!</v>
      </c>
      <c r="R84" t="e">
        <f>Summary!#REF!</f>
        <v>#REF!</v>
      </c>
      <c r="S84" t="e">
        <f>Summary!#REF!</f>
        <v>#REF!</v>
      </c>
      <c r="T84" t="e">
        <f>Summary!#REF!</f>
        <v>#REF!</v>
      </c>
      <c r="U84" t="e">
        <f>Summary!#REF!</f>
        <v>#REF!</v>
      </c>
      <c r="V84" t="e">
        <f>Summary!#REF!</f>
        <v>#REF!</v>
      </c>
      <c r="W84" t="e">
        <f>Summary!#REF!</f>
        <v>#REF!</v>
      </c>
      <c r="X84" t="e">
        <f>Summary!#REF!</f>
        <v>#REF!</v>
      </c>
      <c r="Y84" t="e">
        <f>Summary!#REF!</f>
        <v>#REF!</v>
      </c>
      <c r="Z84" t="e">
        <f>Summary!#REF!</f>
        <v>#REF!</v>
      </c>
    </row>
    <row r="85" spans="2:26">
      <c r="H85" s="60" t="e">
        <f>H84/G84-1</f>
        <v>#REF!</v>
      </c>
      <c r="I85" s="60" t="e">
        <f t="shared" ref="I85:Z85" si="19">I84/H84-1</f>
        <v>#REF!</v>
      </c>
      <c r="J85" s="60" t="e">
        <f t="shared" si="19"/>
        <v>#REF!</v>
      </c>
      <c r="K85" s="60" t="e">
        <f t="shared" si="19"/>
        <v>#REF!</v>
      </c>
      <c r="L85" s="60" t="e">
        <f t="shared" si="19"/>
        <v>#REF!</v>
      </c>
      <c r="M85" s="60" t="e">
        <f t="shared" si="19"/>
        <v>#REF!</v>
      </c>
      <c r="N85" s="60" t="e">
        <f t="shared" si="19"/>
        <v>#REF!</v>
      </c>
      <c r="O85" s="60" t="e">
        <f t="shared" si="19"/>
        <v>#REF!</v>
      </c>
      <c r="P85" s="60" t="e">
        <f t="shared" si="19"/>
        <v>#REF!</v>
      </c>
      <c r="Q85" s="60" t="e">
        <f t="shared" si="19"/>
        <v>#REF!</v>
      </c>
      <c r="R85" s="60" t="e">
        <f t="shared" si="19"/>
        <v>#REF!</v>
      </c>
      <c r="S85" s="60" t="e">
        <f t="shared" si="19"/>
        <v>#REF!</v>
      </c>
      <c r="T85" s="60" t="e">
        <f t="shared" si="19"/>
        <v>#REF!</v>
      </c>
      <c r="U85" s="60" t="e">
        <f t="shared" si="19"/>
        <v>#REF!</v>
      </c>
      <c r="V85" s="60" t="e">
        <f t="shared" si="19"/>
        <v>#REF!</v>
      </c>
      <c r="W85" s="60" t="e">
        <f t="shared" si="19"/>
        <v>#REF!</v>
      </c>
      <c r="X85" s="60" t="e">
        <f t="shared" si="19"/>
        <v>#REF!</v>
      </c>
      <c r="Y85" s="60" t="e">
        <f t="shared" si="19"/>
        <v>#REF!</v>
      </c>
      <c r="Z85" s="60" t="e">
        <f t="shared" si="19"/>
        <v>#REF!</v>
      </c>
    </row>
    <row r="108" spans="1:1" s="32" customFormat="1">
      <c r="A108" s="32" t="s">
        <v>65</v>
      </c>
    </row>
    <row r="110" spans="1:1">
      <c r="A110" t="s">
        <v>123</v>
      </c>
    </row>
    <row r="112" spans="1:1">
      <c r="A112" t="s">
        <v>66</v>
      </c>
    </row>
    <row r="115" spans="3:4">
      <c r="C115" t="s">
        <v>67</v>
      </c>
    </row>
    <row r="117" spans="3:4">
      <c r="C117" s="52">
        <v>274</v>
      </c>
      <c r="D117" t="s">
        <v>68</v>
      </c>
    </row>
  </sheetData>
  <hyperlinks>
    <hyperlink ref="B65" r:id="rId1" xr:uid="{3FDE8B65-B898-4853-AC8C-3DD45F6B7430}"/>
  </hyperlinks>
  <pageMargins left="0.7" right="0.7" top="0.75" bottom="0.75" header="0.3" footer="0.3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B8806-443C-4976-BA45-D720C3437AF2}">
  <dimension ref="A1:AA14"/>
  <sheetViews>
    <sheetView tabSelected="1" workbookViewId="0">
      <selection activeCell="O17" sqref="O17"/>
    </sheetView>
  </sheetViews>
  <sheetFormatPr defaultRowHeight="14"/>
  <cols>
    <col min="1" max="1" width="32" customWidth="1"/>
    <col min="2" max="2" width="21.83203125" customWidth="1"/>
    <col min="3" max="3" width="11.25" customWidth="1"/>
    <col min="5" max="5" width="11.25" bestFit="1" customWidth="1"/>
  </cols>
  <sheetData>
    <row r="1" spans="1:27">
      <c r="A1" s="82" t="s">
        <v>132</v>
      </c>
      <c r="B1" s="82">
        <v>2025</v>
      </c>
      <c r="C1" s="82">
        <v>2026</v>
      </c>
      <c r="D1" s="82">
        <v>2027</v>
      </c>
      <c r="E1" s="82">
        <v>2028</v>
      </c>
      <c r="F1" s="82">
        <v>2029</v>
      </c>
      <c r="G1" s="82">
        <v>2030</v>
      </c>
      <c r="H1" s="82">
        <v>2031</v>
      </c>
      <c r="I1" s="82">
        <v>2032</v>
      </c>
      <c r="J1" s="82">
        <v>2033</v>
      </c>
      <c r="K1" s="82">
        <v>2034</v>
      </c>
      <c r="L1" s="82">
        <v>2035</v>
      </c>
      <c r="M1" s="82">
        <v>2036</v>
      </c>
      <c r="N1" s="82">
        <v>2037</v>
      </c>
      <c r="O1" s="82">
        <v>2038</v>
      </c>
      <c r="P1" s="82">
        <v>2039</v>
      </c>
      <c r="Q1" s="82">
        <v>2040</v>
      </c>
      <c r="R1" s="82">
        <v>2041</v>
      </c>
      <c r="S1" s="82">
        <v>2042</v>
      </c>
      <c r="T1" s="82">
        <v>2043</v>
      </c>
      <c r="U1" s="82">
        <v>2044</v>
      </c>
      <c r="V1" s="82">
        <v>2045</v>
      </c>
      <c r="W1" s="82">
        <v>2046</v>
      </c>
      <c r="X1" s="82">
        <v>2047</v>
      </c>
      <c r="Y1" s="82">
        <v>2048</v>
      </c>
      <c r="Z1" s="82">
        <v>2049</v>
      </c>
      <c r="AA1" s="82">
        <v>2050</v>
      </c>
    </row>
    <row r="2" spans="1:27">
      <c r="A2" s="82" t="s">
        <v>140</v>
      </c>
      <c r="B2">
        <f>Summary!K80/1000</f>
        <v>238.33976042104607</v>
      </c>
      <c r="C2">
        <f>Summary!L80/1000</f>
        <v>243.6877352847057</v>
      </c>
      <c r="D2">
        <f>Summary!M80/1000</f>
        <v>250.58970393967229</v>
      </c>
      <c r="E2">
        <f>Summary!N80/1000</f>
        <v>256.77762088876347</v>
      </c>
      <c r="F2">
        <f>Summary!O80/1000</f>
        <v>262.90734664642599</v>
      </c>
      <c r="G2">
        <f>Summary!P80/1000</f>
        <v>271.75038580645219</v>
      </c>
      <c r="H2">
        <f>Summary!Q80/1000</f>
        <v>282.36326800856671</v>
      </c>
      <c r="I2">
        <f>Summary!R80/1000</f>
        <v>293.59984205425104</v>
      </c>
      <c r="J2">
        <f>Summary!S80/1000</f>
        <v>306.29594471884883</v>
      </c>
      <c r="K2">
        <f>Summary!T80/1000</f>
        <v>318.34924191356157</v>
      </c>
      <c r="L2">
        <f>Summary!U80/1000</f>
        <v>326.21287113437535</v>
      </c>
      <c r="M2">
        <f>Summary!V80/1000</f>
        <v>336.37819765214135</v>
      </c>
      <c r="N2">
        <f>Summary!W80/1000</f>
        <v>347.80530233475071</v>
      </c>
      <c r="O2">
        <f>Summary!X80/1000</f>
        <v>359.39826711706786</v>
      </c>
      <c r="P2">
        <f>Summary!Y80/1000</f>
        <v>368.0369791182531</v>
      </c>
      <c r="Q2">
        <f>Summary!Z80/1000</f>
        <v>378.90743492681918</v>
      </c>
      <c r="R2">
        <f>Summary!AA80/1000</f>
        <v>388.55240644978755</v>
      </c>
      <c r="S2">
        <f>Summary!AB80/1000</f>
        <v>399.60803408773967</v>
      </c>
      <c r="T2">
        <f>Summary!AC80/1000</f>
        <v>410.12657777707551</v>
      </c>
      <c r="U2">
        <f>Summary!AD80/1000</f>
        <v>421.23172596448023</v>
      </c>
      <c r="V2">
        <f>Summary!AE80/1000</f>
        <v>431.93340083980166</v>
      </c>
      <c r="W2">
        <f>Summary!AF80/1000</f>
        <v>440.72586378207961</v>
      </c>
      <c r="X2">
        <f>Summary!AG80/1000</f>
        <v>449.52962102741196</v>
      </c>
      <c r="Y2">
        <f>Summary!AH80/1000</f>
        <v>458.2800295676933</v>
      </c>
      <c r="Z2">
        <f>Summary!AI80/1000</f>
        <v>469.32980328963129</v>
      </c>
      <c r="AA2">
        <f>Summary!AJ80/1000</f>
        <v>479.86181936383059</v>
      </c>
    </row>
    <row r="3" spans="1:27">
      <c r="A3" s="82" t="s">
        <v>141</v>
      </c>
      <c r="B3" s="71">
        <f>'CCA Emissions intensity'!B9</f>
        <v>0.52672934074348832</v>
      </c>
      <c r="C3" s="84">
        <f>B3 + (C1-B1) * (G3-B3)/(G1-B1)</f>
        <v>0.45533717321644418</v>
      </c>
      <c r="D3" s="84">
        <f>B3 + (D1-B1) * (G3-B3)/(G1-B1)</f>
        <v>0.38394500568939999</v>
      </c>
      <c r="E3" s="84">
        <f>B3 + (E1-B1) * (G3-B3)/(G1-B1)</f>
        <v>0.31255283816235579</v>
      </c>
      <c r="F3" s="84">
        <f>B3 + (F1-B1) * (G3-B3)/(G1-B1)</f>
        <v>0.24116067063531166</v>
      </c>
      <c r="G3" s="71">
        <f>'CCA Emissions intensity'!C9</f>
        <v>0.16976850310826747</v>
      </c>
      <c r="H3" s="84">
        <f>G3 + (H1-G1) * (L3-G3)/(L1-G1)</f>
        <v>0.14402688276571915</v>
      </c>
      <c r="I3" s="84">
        <f>G3 + (I1-G1) * (L3-G3)/(L1-G1)</f>
        <v>0.11828526242317086</v>
      </c>
      <c r="J3" s="84">
        <f>G3 + (J1-G1) * (L3-G3)/(L1-G1)</f>
        <v>9.2543642080622546E-2</v>
      </c>
      <c r="K3" s="84">
        <f>G3 + (K1-G1) * (L3-G3)/(L1-G1)</f>
        <v>6.6802021738074244E-2</v>
      </c>
      <c r="L3" s="71">
        <f>'CCA Emissions intensity'!D9</f>
        <v>4.1060401395525935E-2</v>
      </c>
      <c r="M3" s="84">
        <f>L3 + (M1-L1) * (Q3-L3)/(Q1-L1)</f>
        <v>3.4284135530110768E-2</v>
      </c>
      <c r="N3" s="84">
        <f>L3 + (N1-L1) * (Q3-L3)/(Q1-L1)</f>
        <v>2.7507869664695601E-2</v>
      </c>
      <c r="O3" s="84">
        <f>L3 + (O1-L1) * (Q3-L3)/(Q1-L1)</f>
        <v>2.0731603799280435E-2</v>
      </c>
      <c r="P3" s="84">
        <f>L3 + (P1-L1) * (Q3-L3)/(Q1-L1)</f>
        <v>1.3955337933865268E-2</v>
      </c>
      <c r="Q3" s="71">
        <f>'CCA Emissions intensity'!E9</f>
        <v>7.1790720684500996E-3</v>
      </c>
      <c r="R3" s="84">
        <f>Q3 + (R1-Q1) * (V3-Q3)/(V1-Q1)</f>
        <v>6.8291484010698069E-3</v>
      </c>
      <c r="S3" s="84">
        <f>Q3 + (S1-Q1) * (V3-Q3)/(V1-Q1)</f>
        <v>6.4792247336895132E-3</v>
      </c>
      <c r="T3" s="84">
        <f>Q3 + (T1-Q1) * (V3-Q3)/(V1-Q1)</f>
        <v>6.1293010663092205E-3</v>
      </c>
      <c r="U3" s="84">
        <f>Q3 + (U1-Q1) * (V3-Q3)/(V1-Q1)</f>
        <v>5.7793773989289268E-3</v>
      </c>
      <c r="V3" s="71">
        <f>'CCA Emissions intensity'!F9</f>
        <v>5.4294537315486341E-3</v>
      </c>
      <c r="W3" s="84">
        <f>V3 + (W1-V1) * (AA3-V3)/(AA1-V1)</f>
        <v>4.9823830793207643E-3</v>
      </c>
      <c r="X3" s="84">
        <f>V3 + (X1-V1) * (AA3-V3)/(AA1-V1)</f>
        <v>4.5353124270928946E-3</v>
      </c>
      <c r="Y3" s="84">
        <f>V3 + (Y1-V1) * (AA3-V3)/(AA1-V1)</f>
        <v>4.088241774865024E-3</v>
      </c>
      <c r="Z3" s="84">
        <f>V3 + (Z1-V1) * (AA3-V3)/(AA1-V1)</f>
        <v>3.6411711226371547E-3</v>
      </c>
      <c r="AA3" s="71">
        <f>'CCA Emissions intensity'!G9</f>
        <v>3.1941004704092849E-3</v>
      </c>
    </row>
    <row r="4" spans="1:27">
      <c r="A4" s="82" t="s">
        <v>138</v>
      </c>
      <c r="B4">
        <f>B2*B3</f>
        <v>125.54054487953854</v>
      </c>
      <c r="C4">
        <f t="shared" ref="C4:AA4" si="0">C2*C3</f>
        <v>110.96008453205503</v>
      </c>
      <c r="D4">
        <f t="shared" si="0"/>
        <v>96.212665304822536</v>
      </c>
      <c r="E4">
        <f t="shared" si="0"/>
        <v>80.256574185360435</v>
      </c>
      <c r="F4">
        <f t="shared" si="0"/>
        <v>63.402912032202451</v>
      </c>
      <c r="G4">
        <f t="shared" si="0"/>
        <v>46.134656217455564</v>
      </c>
      <c r="H4">
        <f t="shared" si="0"/>
        <v>40.667901298815174</v>
      </c>
      <c r="I4">
        <f t="shared" si="0"/>
        <v>34.728534364788601</v>
      </c>
      <c r="J4">
        <f t="shared" si="0"/>
        <v>28.345742278807297</v>
      </c>
      <c r="K4">
        <f t="shared" si="0"/>
        <v>21.266372978609198</v>
      </c>
      <c r="L4">
        <f t="shared" si="0"/>
        <v>13.394431429164428</v>
      </c>
      <c r="M4">
        <f t="shared" si="0"/>
        <v>11.532435717680402</v>
      </c>
      <c r="N4">
        <f t="shared" si="0"/>
        <v>9.5673829253143712</v>
      </c>
      <c r="O4">
        <f t="shared" si="0"/>
        <v>7.4509024800190087</v>
      </c>
      <c r="P4">
        <f t="shared" si="0"/>
        <v>5.1360804157541367</v>
      </c>
      <c r="Q4">
        <f t="shared" si="0"/>
        <v>2.7202037826112013</v>
      </c>
      <c r="R4">
        <f t="shared" si="0"/>
        <v>2.6534820452383925</v>
      </c>
      <c r="S4">
        <f t="shared" si="0"/>
        <v>2.5891502582423249</v>
      </c>
      <c r="T4">
        <f t="shared" si="0"/>
        <v>2.5137892704907805</v>
      </c>
      <c r="U4">
        <f t="shared" si="0"/>
        <v>2.4344571167509401</v>
      </c>
      <c r="V4">
        <f t="shared" si="0"/>
        <v>2.3451624149701531</v>
      </c>
      <c r="W4">
        <f t="shared" si="0"/>
        <v>2.1958650863268616</v>
      </c>
      <c r="X4">
        <f t="shared" si="0"/>
        <v>2.0387572765919808</v>
      </c>
      <c r="Y4">
        <f t="shared" si="0"/>
        <v>1.8735595614650222</v>
      </c>
      <c r="Z4">
        <f t="shared" si="0"/>
        <v>1.7089101267311817</v>
      </c>
      <c r="AA4">
        <f t="shared" si="0"/>
        <v>1.5327268629614665</v>
      </c>
    </row>
    <row r="6" spans="1:27">
      <c r="A6" s="82" t="s">
        <v>139</v>
      </c>
      <c r="B6">
        <f>SUM(B4:AA4)</f>
        <v>719.20328484276763</v>
      </c>
      <c r="D6" s="82" t="s">
        <v>212</v>
      </c>
      <c r="E6">
        <f>B6/B7</f>
        <v>7.6294972332321756E-2</v>
      </c>
    </row>
    <row r="7" spans="1:27">
      <c r="A7" s="82" t="s">
        <v>213</v>
      </c>
      <c r="B7">
        <f>SUM(Summary!J80:AJ80)/1000</f>
        <v>9426.6144000957047</v>
      </c>
    </row>
    <row r="8" spans="1:27">
      <c r="A8" s="82" t="s">
        <v>142</v>
      </c>
    </row>
    <row r="9" spans="1:27" ht="28.5" customHeight="1">
      <c r="A9" t="s">
        <v>146</v>
      </c>
    </row>
    <row r="10" spans="1:27" ht="12.75" customHeight="1"/>
    <row r="14" spans="1:27">
      <c r="A14" s="82" t="s">
        <v>145</v>
      </c>
      <c r="C14" t="s">
        <v>143</v>
      </c>
      <c r="D14" t="s">
        <v>144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406D-B351-4D73-88A6-DA1071C9EF41}">
  <dimension ref="A1:P54"/>
  <sheetViews>
    <sheetView topLeftCell="A12" workbookViewId="0">
      <selection activeCell="U48" sqref="U48"/>
    </sheetView>
  </sheetViews>
  <sheetFormatPr defaultRowHeight="14"/>
  <sheetData>
    <row r="1" spans="1:7" ht="20">
      <c r="A1" s="83" t="s">
        <v>133</v>
      </c>
    </row>
    <row r="4" spans="1:7" ht="16">
      <c r="A4" t="s">
        <v>134</v>
      </c>
    </row>
    <row r="5" spans="1:7">
      <c r="A5" t="s">
        <v>135</v>
      </c>
    </row>
    <row r="7" spans="1:7">
      <c r="B7">
        <v>2025</v>
      </c>
      <c r="C7">
        <v>2030</v>
      </c>
      <c r="D7">
        <v>2035</v>
      </c>
      <c r="E7">
        <v>2040</v>
      </c>
      <c r="F7">
        <v>2045</v>
      </c>
      <c r="G7">
        <v>2050</v>
      </c>
    </row>
    <row r="8" spans="1:7">
      <c r="A8" t="s">
        <v>136</v>
      </c>
      <c r="B8">
        <v>0.53631423889937391</v>
      </c>
      <c r="C8">
        <v>0.20158232147678629</v>
      </c>
      <c r="D8">
        <v>6.1207992331587635E-2</v>
      </c>
      <c r="E8">
        <v>5.0102517545117096E-2</v>
      </c>
      <c r="F8">
        <v>1.9240999296122312E-2</v>
      </c>
      <c r="G8">
        <v>5.3875692562891696E-3</v>
      </c>
    </row>
    <row r="9" spans="1:7">
      <c r="A9" t="s">
        <v>137</v>
      </c>
      <c r="B9">
        <v>0.52672934074348832</v>
      </c>
      <c r="C9">
        <v>0.16976850310826747</v>
      </c>
      <c r="D9">
        <v>4.1060401395525935E-2</v>
      </c>
      <c r="E9">
        <v>7.1790720684500996E-3</v>
      </c>
      <c r="F9">
        <v>5.4294537315486341E-3</v>
      </c>
      <c r="G9">
        <v>3.1941004704092849E-3</v>
      </c>
    </row>
    <row r="40" spans="1:16" ht="14.5">
      <c r="A40" s="85" t="s">
        <v>68</v>
      </c>
      <c r="B40" s="85"/>
      <c r="C40" s="85"/>
      <c r="D40" s="85"/>
      <c r="E40" s="85"/>
      <c r="F40" s="85"/>
      <c r="I40" s="85"/>
      <c r="J40" s="85" t="s">
        <v>68</v>
      </c>
      <c r="K40" s="85"/>
      <c r="L40" s="85"/>
      <c r="M40" s="85"/>
      <c r="N40" s="85"/>
      <c r="O40" s="85"/>
    </row>
    <row r="41" spans="1:16" ht="14.5">
      <c r="A41" s="85" t="s">
        <v>147</v>
      </c>
      <c r="B41" s="85"/>
      <c r="C41" s="85"/>
      <c r="D41" s="85"/>
      <c r="E41" s="85"/>
      <c r="F41" s="85"/>
      <c r="I41" s="85"/>
      <c r="J41" s="85" t="s">
        <v>148</v>
      </c>
      <c r="K41" s="85"/>
      <c r="L41" s="85"/>
      <c r="M41" s="85"/>
      <c r="N41" s="85"/>
      <c r="O41" s="85"/>
    </row>
    <row r="42" spans="1:16" ht="14.5">
      <c r="A42" s="85"/>
      <c r="B42" s="85"/>
      <c r="C42" s="85"/>
      <c r="D42" s="85"/>
      <c r="E42" s="85"/>
      <c r="F42" s="85"/>
      <c r="G42" s="85"/>
      <c r="J42" s="85"/>
      <c r="K42" s="85"/>
      <c r="L42" s="85"/>
      <c r="M42" s="85"/>
      <c r="N42" s="85"/>
      <c r="O42" s="85"/>
      <c r="P42" s="85"/>
    </row>
    <row r="43" spans="1:16" ht="14.5">
      <c r="A43" s="85"/>
      <c r="B43" s="85">
        <v>2025</v>
      </c>
      <c r="C43" s="85">
        <v>2030</v>
      </c>
      <c r="D43" s="85">
        <v>2035</v>
      </c>
      <c r="E43" s="85">
        <v>2040</v>
      </c>
      <c r="F43" s="85">
        <v>2045</v>
      </c>
      <c r="G43" s="85">
        <v>2050</v>
      </c>
      <c r="J43" s="85"/>
      <c r="K43" s="85">
        <v>2025</v>
      </c>
      <c r="L43" s="85">
        <v>2030</v>
      </c>
      <c r="M43" s="85">
        <v>2035</v>
      </c>
      <c r="N43" s="85">
        <v>2040</v>
      </c>
      <c r="O43" s="85">
        <v>2045</v>
      </c>
      <c r="P43" s="85">
        <v>2050</v>
      </c>
    </row>
    <row r="44" spans="1:16" ht="14.5">
      <c r="A44" s="85" t="s">
        <v>149</v>
      </c>
      <c r="B44" s="85">
        <v>88.867569439999997</v>
      </c>
      <c r="C44" s="85">
        <v>40.589871019999997</v>
      </c>
      <c r="D44" s="85">
        <v>0</v>
      </c>
      <c r="E44" s="85">
        <v>0</v>
      </c>
      <c r="F44" s="85">
        <v>0</v>
      </c>
      <c r="G44" s="85">
        <v>0</v>
      </c>
      <c r="J44" s="85" t="s">
        <v>149</v>
      </c>
      <c r="K44" s="85">
        <v>88.867569439999997</v>
      </c>
      <c r="L44" s="85">
        <v>11.01388388</v>
      </c>
      <c r="M44" s="85">
        <v>0</v>
      </c>
      <c r="N44" s="85">
        <v>0</v>
      </c>
      <c r="O44" s="85">
        <v>0</v>
      </c>
      <c r="P44" s="85">
        <v>0</v>
      </c>
    </row>
    <row r="45" spans="1:16" ht="14.5">
      <c r="A45" s="85" t="s">
        <v>150</v>
      </c>
      <c r="B45" s="85">
        <v>29.55624001</v>
      </c>
      <c r="C45" s="85">
        <v>10.547007730000001</v>
      </c>
      <c r="D45" s="85">
        <v>0.37422640600000001</v>
      </c>
      <c r="E45" s="85">
        <v>0</v>
      </c>
      <c r="F45" s="85">
        <v>0</v>
      </c>
      <c r="G45" s="85">
        <v>0</v>
      </c>
      <c r="J45" s="85" t="s">
        <v>150</v>
      </c>
      <c r="K45" s="85">
        <v>29.55624001</v>
      </c>
      <c r="L45" s="85">
        <v>13.156532540000001</v>
      </c>
      <c r="M45" s="85">
        <v>0</v>
      </c>
      <c r="N45" s="85">
        <v>0</v>
      </c>
      <c r="O45" s="85">
        <v>0</v>
      </c>
      <c r="P45" s="85">
        <v>0</v>
      </c>
    </row>
    <row r="46" spans="1:16" ht="14.5">
      <c r="A46" s="85" t="s">
        <v>151</v>
      </c>
      <c r="B46" s="85">
        <v>29.141431069999999</v>
      </c>
      <c r="C46" s="85">
        <v>28.994063019999999</v>
      </c>
      <c r="D46" s="85">
        <v>43.731072179999998</v>
      </c>
      <c r="E46" s="85">
        <v>41.433034290000002</v>
      </c>
      <c r="F46" s="85">
        <v>19.97726656</v>
      </c>
      <c r="G46" s="85">
        <v>6.7776483389999997</v>
      </c>
      <c r="J46" s="85" t="s">
        <v>151</v>
      </c>
      <c r="K46" s="85">
        <v>29.141431069999999</v>
      </c>
      <c r="L46" s="85">
        <v>46.322799860000003</v>
      </c>
      <c r="M46" s="85">
        <v>29.234387999999999</v>
      </c>
      <c r="N46" s="85">
        <v>8.7424794010000006</v>
      </c>
      <c r="O46" s="85">
        <v>7.8480169210000001</v>
      </c>
      <c r="P46" s="85">
        <v>5.0318642760000003</v>
      </c>
    </row>
    <row r="47" spans="1:16" ht="14.5">
      <c r="A47" s="85" t="s">
        <v>152</v>
      </c>
      <c r="B47" s="85">
        <v>56.880763360000003</v>
      </c>
      <c r="C47" s="85">
        <v>139.4050082</v>
      </c>
      <c r="D47" s="85">
        <v>224.3096626</v>
      </c>
      <c r="E47" s="85">
        <v>278.9202512</v>
      </c>
      <c r="F47" s="85">
        <v>351.9365517</v>
      </c>
      <c r="G47" s="85">
        <v>410.2149182</v>
      </c>
      <c r="J47" s="85" t="s">
        <v>152</v>
      </c>
      <c r="K47" s="85">
        <v>56.880763360000003</v>
      </c>
      <c r="L47" s="85">
        <v>127.7634486</v>
      </c>
      <c r="M47" s="85">
        <v>258.76449700000001</v>
      </c>
      <c r="N47" s="85">
        <v>374.33597170000002</v>
      </c>
      <c r="O47" s="85">
        <v>393.17363879999999</v>
      </c>
      <c r="P47" s="85">
        <v>415.34123670000002</v>
      </c>
    </row>
    <row r="48" spans="1:16" ht="14.5">
      <c r="A48" s="85" t="s">
        <v>153</v>
      </c>
      <c r="B48" s="85">
        <v>32.942437580000004</v>
      </c>
      <c r="C48" s="85">
        <v>68.769785319999997</v>
      </c>
      <c r="D48" s="85">
        <v>78.984709069999994</v>
      </c>
      <c r="E48" s="85">
        <v>89.014697100000006</v>
      </c>
      <c r="F48" s="85">
        <v>97.735035170000003</v>
      </c>
      <c r="G48" s="85">
        <v>139.25202110000001</v>
      </c>
      <c r="J48" s="85" t="s">
        <v>153</v>
      </c>
      <c r="K48" s="85">
        <v>32.942437580000004</v>
      </c>
      <c r="L48" s="85">
        <v>43.110656040000002</v>
      </c>
      <c r="M48" s="85">
        <v>47.734945230000001</v>
      </c>
      <c r="N48" s="85">
        <v>134.936632</v>
      </c>
      <c r="O48" s="85">
        <v>197.21604540000001</v>
      </c>
      <c r="P48" s="85">
        <v>216.68114929999999</v>
      </c>
    </row>
    <row r="49" spans="1:16" ht="14.5">
      <c r="A49" s="85" t="s">
        <v>154</v>
      </c>
      <c r="B49" s="85">
        <v>31.384799619999999</v>
      </c>
      <c r="C49" s="85">
        <v>42.587781270000001</v>
      </c>
      <c r="D49" s="85">
        <v>53.19722213</v>
      </c>
      <c r="E49" s="85">
        <v>63.053429780000002</v>
      </c>
      <c r="F49" s="85">
        <v>69.51942785</v>
      </c>
      <c r="G49" s="85">
        <v>82.112829199999993</v>
      </c>
      <c r="J49" s="85" t="s">
        <v>154</v>
      </c>
      <c r="K49" s="85">
        <v>31.384799619999999</v>
      </c>
      <c r="L49" s="85">
        <v>67.374444330000003</v>
      </c>
      <c r="M49" s="85">
        <v>74.327938549999999</v>
      </c>
      <c r="N49" s="85">
        <v>90.627703460000006</v>
      </c>
      <c r="O49" s="85">
        <v>99.784484000000006</v>
      </c>
      <c r="P49" s="85">
        <v>110.6493607</v>
      </c>
    </row>
    <row r="50" spans="1:16" ht="14.5">
      <c r="A50" s="85" t="s">
        <v>155</v>
      </c>
      <c r="B50" s="85">
        <v>3.5489515069999999</v>
      </c>
      <c r="C50" s="85">
        <v>20.586383959999999</v>
      </c>
      <c r="D50" s="85">
        <v>19.742840810000001</v>
      </c>
      <c r="E50" s="85">
        <v>19.23783938</v>
      </c>
      <c r="F50" s="85">
        <v>19.618884529999999</v>
      </c>
      <c r="G50" s="85">
        <v>19.588808879999998</v>
      </c>
      <c r="J50" s="85" t="s">
        <v>155</v>
      </c>
      <c r="K50" s="85">
        <v>3.5489515069999999</v>
      </c>
      <c r="L50" s="85">
        <v>20.586381280000001</v>
      </c>
      <c r="M50" s="85">
        <v>20.475951680000001</v>
      </c>
      <c r="N50" s="85">
        <v>19.60197591</v>
      </c>
      <c r="O50" s="85">
        <v>19.730736060000002</v>
      </c>
      <c r="P50" s="85">
        <v>19.548934500000001</v>
      </c>
    </row>
    <row r="51" spans="1:16" ht="14.5">
      <c r="A51" s="85" t="s">
        <v>156</v>
      </c>
      <c r="B51" s="85">
        <f>SUM(B44:B50)</f>
        <v>272.32219258700007</v>
      </c>
      <c r="C51" s="85">
        <f t="shared" ref="C51:G51" si="0">SUM(C44:C50)</f>
        <v>351.47990051999994</v>
      </c>
      <c r="D51" s="85">
        <f t="shared" si="0"/>
        <v>420.339733196</v>
      </c>
      <c r="E51" s="85">
        <f t="shared" si="0"/>
        <v>491.65925175000001</v>
      </c>
      <c r="F51" s="85">
        <f t="shared" si="0"/>
        <v>558.78716580999992</v>
      </c>
      <c r="G51" s="85">
        <f t="shared" si="0"/>
        <v>657.94622571899993</v>
      </c>
      <c r="J51" s="85" t="s">
        <v>156</v>
      </c>
      <c r="K51" s="85">
        <f>SUM(K44:K50)</f>
        <v>272.32219258700007</v>
      </c>
      <c r="L51" s="85">
        <f t="shared" ref="L51:P51" si="1">SUM(L44:L50)</f>
        <v>329.32814653000003</v>
      </c>
      <c r="M51" s="85">
        <f t="shared" si="1"/>
        <v>430.53772046</v>
      </c>
      <c r="N51" s="85">
        <f t="shared" si="1"/>
        <v>628.24476247100006</v>
      </c>
      <c r="O51" s="85">
        <f t="shared" si="1"/>
        <v>717.75292118100003</v>
      </c>
      <c r="P51" s="85">
        <f t="shared" si="1"/>
        <v>767.25254547600002</v>
      </c>
    </row>
    <row r="52" spans="1:16" ht="14.5">
      <c r="A52" s="85" t="s">
        <v>157</v>
      </c>
      <c r="B52" s="85">
        <f>SUM(B50,B49,B48,B47)/B51</f>
        <v>0.45812260426459117</v>
      </c>
      <c r="C52" s="85">
        <f t="shared" ref="C52:G52" si="2">SUM(C50,C49,C48,C47)/C51</f>
        <v>0.7720184236667601</v>
      </c>
      <c r="D52" s="85">
        <f t="shared" si="2"/>
        <v>0.8950722591684328</v>
      </c>
      <c r="E52" s="85">
        <f t="shared" si="2"/>
        <v>0.91572815086358228</v>
      </c>
      <c r="F52" s="85">
        <f t="shared" si="2"/>
        <v>0.96424888082201821</v>
      </c>
      <c r="G52" s="85">
        <f t="shared" si="2"/>
        <v>0.98969878073000062</v>
      </c>
      <c r="J52" s="85" t="s">
        <v>157</v>
      </c>
      <c r="K52" s="85">
        <f>SUM(K50,K49,K48,K47)/K51</f>
        <v>0.45812260426459117</v>
      </c>
      <c r="L52" s="85">
        <f t="shared" ref="L52:P52" si="3">SUM(L50,L49,L48,L47)/L51</f>
        <v>0.78594840124429366</v>
      </c>
      <c r="M52" s="85">
        <f t="shared" si="3"/>
        <v>0.93209796352160479</v>
      </c>
      <c r="N52" s="85">
        <f t="shared" si="3"/>
        <v>0.98608427809789556</v>
      </c>
      <c r="O52" s="85">
        <f t="shared" si="3"/>
        <v>0.98906585164698901</v>
      </c>
      <c r="P52" s="85">
        <f t="shared" si="3"/>
        <v>0.99344171054802</v>
      </c>
    </row>
    <row r="53" spans="1:16" ht="14.5">
      <c r="A53" s="85"/>
      <c r="B53" s="85"/>
      <c r="C53" s="85"/>
      <c r="D53" s="85"/>
      <c r="E53" s="85"/>
      <c r="F53" s="85"/>
      <c r="G53" s="85"/>
      <c r="J53" s="85"/>
      <c r="K53" s="85"/>
      <c r="L53" s="85"/>
      <c r="M53" s="85"/>
      <c r="N53" s="85"/>
      <c r="O53" s="85"/>
      <c r="P53" s="85"/>
    </row>
    <row r="54" spans="1:16" ht="14.5">
      <c r="A54" s="85"/>
      <c r="B54" s="85"/>
      <c r="C54" s="85"/>
      <c r="D54" s="85"/>
      <c r="E54" s="85"/>
      <c r="F54" s="85"/>
      <c r="G54" s="85"/>
      <c r="J54" s="85"/>
      <c r="K54" s="85"/>
      <c r="L54" s="85"/>
      <c r="M54" s="85"/>
      <c r="N54" s="85"/>
      <c r="O54" s="85"/>
      <c r="P54" s="8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3DE1F-73FD-483F-AD0D-80CD59235F6A}">
  <dimension ref="A1:AB47"/>
  <sheetViews>
    <sheetView topLeftCell="A43" workbookViewId="0">
      <selection activeCell="K66" sqref="K66"/>
    </sheetView>
  </sheetViews>
  <sheetFormatPr defaultRowHeight="14"/>
  <cols>
    <col min="2" max="2" width="19.33203125" customWidth="1"/>
  </cols>
  <sheetData>
    <row r="1" spans="1:28">
      <c r="A1" t="s">
        <v>158</v>
      </c>
    </row>
    <row r="7" spans="1:28">
      <c r="A7" t="s">
        <v>159</v>
      </c>
      <c r="B7" t="s">
        <v>160</v>
      </c>
      <c r="C7" t="s">
        <v>161</v>
      </c>
      <c r="D7" t="s">
        <v>162</v>
      </c>
      <c r="E7" t="s">
        <v>163</v>
      </c>
      <c r="F7" t="s">
        <v>164</v>
      </c>
      <c r="G7" t="s">
        <v>165</v>
      </c>
      <c r="H7" t="s">
        <v>166</v>
      </c>
      <c r="I7" t="s">
        <v>167</v>
      </c>
      <c r="J7" t="s">
        <v>168</v>
      </c>
      <c r="K7" t="s">
        <v>169</v>
      </c>
      <c r="L7" t="s">
        <v>170</v>
      </c>
      <c r="M7" t="s">
        <v>171</v>
      </c>
      <c r="N7" t="s">
        <v>172</v>
      </c>
      <c r="O7" t="s">
        <v>173</v>
      </c>
      <c r="P7" t="s">
        <v>174</v>
      </c>
      <c r="Q7" t="s">
        <v>175</v>
      </c>
      <c r="R7" t="s">
        <v>176</v>
      </c>
      <c r="S7" t="s">
        <v>177</v>
      </c>
      <c r="T7" t="s">
        <v>178</v>
      </c>
      <c r="U7" t="s">
        <v>179</v>
      </c>
      <c r="V7" t="s">
        <v>180</v>
      </c>
      <c r="W7" t="s">
        <v>181</v>
      </c>
      <c r="X7" t="s">
        <v>182</v>
      </c>
      <c r="Y7" t="s">
        <v>183</v>
      </c>
      <c r="Z7" t="s">
        <v>184</v>
      </c>
      <c r="AA7" t="s">
        <v>185</v>
      </c>
      <c r="AB7" t="s">
        <v>186</v>
      </c>
    </row>
    <row r="8" spans="1:28">
      <c r="A8" t="s">
        <v>187</v>
      </c>
      <c r="B8">
        <v>101.86651595150185</v>
      </c>
      <c r="C8">
        <v>92.872769274178651</v>
      </c>
      <c r="D8">
        <v>80.342883045900678</v>
      </c>
      <c r="E8">
        <v>71.023941135400605</v>
      </c>
      <c r="F8">
        <v>57.497252332313082</v>
      </c>
      <c r="G8">
        <v>39.524445064597877</v>
      </c>
      <c r="H8">
        <v>33.396812221169753</v>
      </c>
      <c r="I8">
        <v>28.610724029995581</v>
      </c>
      <c r="J8">
        <v>28.036074888306409</v>
      </c>
      <c r="K8">
        <v>15.819180930529631</v>
      </c>
      <c r="L8">
        <v>8.7230531525368313</v>
      </c>
      <c r="M8">
        <v>8.3059239383061882</v>
      </c>
      <c r="N8">
        <v>7.9505049615810819</v>
      </c>
      <c r="O8">
        <v>4.6742053467800391</v>
      </c>
      <c r="P8">
        <v>4.2431066717511507</v>
      </c>
      <c r="Q8">
        <v>6.9240958223098925</v>
      </c>
      <c r="R8">
        <v>8.3762556986117875</v>
      </c>
      <c r="S8">
        <v>7.623930386212562</v>
      </c>
      <c r="T8">
        <v>9.3110326387648268</v>
      </c>
      <c r="U8">
        <v>10.162730704564829</v>
      </c>
      <c r="V8">
        <v>8.3374755165732264</v>
      </c>
      <c r="W8">
        <v>5.5154730161689365</v>
      </c>
      <c r="X8">
        <v>6.2026045017801597</v>
      </c>
      <c r="Y8">
        <v>6.3773328216235079</v>
      </c>
      <c r="Z8">
        <v>4.4336614577996922</v>
      </c>
      <c r="AA8">
        <v>3.4700572137290822</v>
      </c>
      <c r="AB8">
        <v>6.2691227059053363</v>
      </c>
    </row>
    <row r="10" spans="1:28">
      <c r="B10" t="s">
        <v>188</v>
      </c>
      <c r="C10" t="s">
        <v>189</v>
      </c>
    </row>
    <row r="11" spans="1:28">
      <c r="A11" s="82" t="s">
        <v>214</v>
      </c>
      <c r="B11">
        <f>SUM(B8:AA8)</f>
        <v>659.622042722988</v>
      </c>
      <c r="C11">
        <f>SUM(C8:AB8)</f>
        <v>564.02464947739145</v>
      </c>
    </row>
    <row r="14" spans="1:28">
      <c r="A14" t="s">
        <v>190</v>
      </c>
      <c r="B14" t="s">
        <v>160</v>
      </c>
      <c r="C14" t="s">
        <v>161</v>
      </c>
      <c r="D14" t="s">
        <v>162</v>
      </c>
      <c r="E14" t="s">
        <v>163</v>
      </c>
      <c r="F14" t="s">
        <v>164</v>
      </c>
      <c r="G14" t="s">
        <v>165</v>
      </c>
      <c r="H14" t="s">
        <v>166</v>
      </c>
      <c r="I14" t="s">
        <v>167</v>
      </c>
      <c r="J14" t="s">
        <v>168</v>
      </c>
      <c r="K14" t="s">
        <v>169</v>
      </c>
      <c r="L14" t="s">
        <v>170</v>
      </c>
      <c r="M14" t="s">
        <v>171</v>
      </c>
      <c r="N14" t="s">
        <v>172</v>
      </c>
      <c r="O14" t="s">
        <v>173</v>
      </c>
      <c r="P14" t="s">
        <v>174</v>
      </c>
      <c r="Q14" t="s">
        <v>175</v>
      </c>
      <c r="R14" t="s">
        <v>176</v>
      </c>
      <c r="S14" t="s">
        <v>177</v>
      </c>
      <c r="T14" t="s">
        <v>178</v>
      </c>
      <c r="U14" t="s">
        <v>179</v>
      </c>
      <c r="V14" t="s">
        <v>180</v>
      </c>
      <c r="W14" t="s">
        <v>181</v>
      </c>
      <c r="X14" t="s">
        <v>182</v>
      </c>
      <c r="Y14" t="s">
        <v>183</v>
      </c>
      <c r="Z14" t="s">
        <v>184</v>
      </c>
      <c r="AA14" t="s">
        <v>185</v>
      </c>
      <c r="AB14" t="s">
        <v>186</v>
      </c>
    </row>
    <row r="15" spans="1:28">
      <c r="A15" t="s">
        <v>191</v>
      </c>
      <c r="B15">
        <v>83.78890997447111</v>
      </c>
      <c r="C15">
        <v>73.792680309341208</v>
      </c>
      <c r="D15">
        <v>61.237799678820885</v>
      </c>
      <c r="E15">
        <v>57.08829267541374</v>
      </c>
      <c r="F15">
        <v>46.377347080965166</v>
      </c>
      <c r="G15">
        <v>30.999163025904956</v>
      </c>
      <c r="H15">
        <v>25.904560294239431</v>
      </c>
      <c r="I15">
        <v>22.707778543325212</v>
      </c>
      <c r="J15">
        <v>20.318274735786073</v>
      </c>
      <c r="K15">
        <v>14.773799008341554</v>
      </c>
      <c r="L15">
        <v>6.5731414103962678</v>
      </c>
      <c r="M15">
        <v>6.4742903473139286</v>
      </c>
      <c r="N15">
        <v>3.4206890957222535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>
      <c r="A16" t="s">
        <v>192</v>
      </c>
      <c r="B16">
        <v>21.934218582807901</v>
      </c>
      <c r="C16">
        <v>20.621949080203692</v>
      </c>
      <c r="D16">
        <v>19.274290062280176</v>
      </c>
      <c r="E16">
        <v>14.838496258996067</v>
      </c>
      <c r="F16">
        <v>11.492281581505511</v>
      </c>
      <c r="G16">
        <v>8.4731610995255462</v>
      </c>
      <c r="H16">
        <v>7.9227567190519581</v>
      </c>
      <c r="I16">
        <v>7.0390916165251713</v>
      </c>
      <c r="J16">
        <v>7.9765532898770326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>
      <c r="A17" t="s">
        <v>193</v>
      </c>
      <c r="B17">
        <v>5.2247727835878512</v>
      </c>
      <c r="C17">
        <v>8.2472850344002744</v>
      </c>
      <c r="D17">
        <v>8.6308468657657773</v>
      </c>
      <c r="E17">
        <v>7.5554677671751529</v>
      </c>
      <c r="F17">
        <v>8.4836540927996253</v>
      </c>
      <c r="G17">
        <v>6.8324515202834322</v>
      </c>
      <c r="H17">
        <v>4.439812243060147</v>
      </c>
      <c r="I17">
        <v>2.8595270468926155</v>
      </c>
      <c r="J17">
        <v>3.5088848412469971</v>
      </c>
      <c r="K17">
        <v>5.3975754723795317</v>
      </c>
      <c r="L17">
        <v>4.8818422998471034</v>
      </c>
      <c r="M17">
        <v>4.6285686110168482</v>
      </c>
      <c r="N17">
        <v>4.7157827726830019</v>
      </c>
      <c r="O17">
        <v>3.6142999107055052</v>
      </c>
      <c r="P17">
        <v>2.8072496636109405</v>
      </c>
      <c r="Q17">
        <v>3.6337684663226502</v>
      </c>
      <c r="R17">
        <v>3.6841245201911095</v>
      </c>
      <c r="S17">
        <v>3.5393484337903449</v>
      </c>
      <c r="T17">
        <v>4.4628501827221045</v>
      </c>
      <c r="U17">
        <v>2.5397351081883262</v>
      </c>
      <c r="V17">
        <v>2.0508413139135042</v>
      </c>
      <c r="W17">
        <v>0.48916154666324463</v>
      </c>
      <c r="X17">
        <v>0.4156215177694858</v>
      </c>
      <c r="Y17">
        <v>0.40558193306532447</v>
      </c>
      <c r="Z17">
        <v>0.32979609224316464</v>
      </c>
      <c r="AA17">
        <v>0.31022780376847497</v>
      </c>
      <c r="AB17">
        <v>0</v>
      </c>
    </row>
    <row r="18" spans="1:28">
      <c r="A18" t="s">
        <v>194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>
      <c r="A19" t="s">
        <v>195</v>
      </c>
      <c r="B19">
        <v>0.14022304841271002</v>
      </c>
      <c r="C19">
        <v>0.19857865335922495</v>
      </c>
      <c r="D19">
        <v>0.53746484505929992</v>
      </c>
      <c r="E19">
        <v>0.79513604424204487</v>
      </c>
      <c r="F19">
        <v>1.0943551199305097</v>
      </c>
      <c r="G19">
        <v>0.63643856567828994</v>
      </c>
      <c r="H19">
        <v>0.85962525207999452</v>
      </c>
      <c r="I19">
        <v>0.31677978205138002</v>
      </c>
      <c r="J19">
        <v>0.56444553489357008</v>
      </c>
      <c r="K19">
        <v>2.4254993606172897</v>
      </c>
      <c r="L19">
        <v>2.4313042978065953</v>
      </c>
      <c r="M19">
        <v>2.0671770587944995</v>
      </c>
      <c r="N19">
        <v>5.5428422998681155</v>
      </c>
      <c r="O19">
        <v>5.3836535477076506</v>
      </c>
      <c r="P19">
        <v>5.1403897620059142</v>
      </c>
      <c r="Q19">
        <v>9.213458896761173</v>
      </c>
      <c r="R19">
        <v>11.688181009395551</v>
      </c>
      <c r="S19">
        <v>10.533693814924881</v>
      </c>
      <c r="T19">
        <v>12.802763352379138</v>
      </c>
      <c r="U19">
        <v>15.618073629021628</v>
      </c>
      <c r="V19">
        <v>12.810043966345866</v>
      </c>
      <c r="W19">
        <v>9.172212142402671</v>
      </c>
      <c r="X19">
        <v>10.548746979552604</v>
      </c>
      <c r="Y19">
        <v>10.699939643500382</v>
      </c>
      <c r="Z19">
        <v>7.4540384122632624</v>
      </c>
      <c r="AA19">
        <v>5.8182872334099196</v>
      </c>
      <c r="AB19">
        <v>11.541373255990326</v>
      </c>
    </row>
    <row r="20" spans="1:28">
      <c r="A20" t="s">
        <v>196</v>
      </c>
      <c r="B20">
        <v>13.568147097788588</v>
      </c>
      <c r="C20">
        <v>16.172144541487686</v>
      </c>
      <c r="D20">
        <v>13.136211312037561</v>
      </c>
      <c r="E20">
        <v>13.922627361987423</v>
      </c>
      <c r="F20">
        <v>13.25584611473249</v>
      </c>
      <c r="G20">
        <v>13.53048363476092</v>
      </c>
      <c r="H20">
        <v>14.185655171933439</v>
      </c>
      <c r="I20">
        <v>13.519345875631801</v>
      </c>
      <c r="J20">
        <v>13.012252803770197</v>
      </c>
      <c r="K20">
        <v>17.026547719795985</v>
      </c>
      <c r="L20">
        <v>13.894938344895285</v>
      </c>
      <c r="M20">
        <v>13.129768948800439</v>
      </c>
      <c r="N20">
        <v>15.566645469977146</v>
      </c>
      <c r="O20">
        <v>12.747808506430225</v>
      </c>
      <c r="P20">
        <v>12.688791244202392</v>
      </c>
      <c r="Q20">
        <v>13.45032517735924</v>
      </c>
      <c r="R20">
        <v>14.329561506326835</v>
      </c>
      <c r="S20">
        <v>13.127183409153972</v>
      </c>
      <c r="T20">
        <v>13.330455899003733</v>
      </c>
      <c r="U20">
        <v>11.394265270398142</v>
      </c>
      <c r="V20">
        <v>13.808072791031339</v>
      </c>
      <c r="W20">
        <v>14.589921373391844</v>
      </c>
      <c r="X20">
        <v>13.105209301289717</v>
      </c>
      <c r="Y20">
        <v>13.129788435396366</v>
      </c>
      <c r="Z20">
        <v>11.908726512068828</v>
      </c>
      <c r="AA20">
        <v>11.678890350204394</v>
      </c>
      <c r="AB20">
        <v>13.757079387865717</v>
      </c>
    </row>
    <row r="21" spans="1:28">
      <c r="A21" t="s">
        <v>197</v>
      </c>
      <c r="B21">
        <v>2.1563842417442194</v>
      </c>
      <c r="C21">
        <v>5.4238495275435152</v>
      </c>
      <c r="D21">
        <v>7.5026837503331292</v>
      </c>
      <c r="E21">
        <v>9.1352334304603726</v>
      </c>
      <c r="F21">
        <v>11.031939697595337</v>
      </c>
      <c r="G21">
        <v>22.510214897772968</v>
      </c>
      <c r="H21">
        <v>23.839562545134193</v>
      </c>
      <c r="I21">
        <v>24.546327748816026</v>
      </c>
      <c r="J21">
        <v>27.130592954515095</v>
      </c>
      <c r="K21">
        <v>28.646732245913633</v>
      </c>
      <c r="L21">
        <v>30.74912522976464</v>
      </c>
      <c r="M21">
        <v>29.872752226218616</v>
      </c>
      <c r="N21">
        <v>32.179337220606264</v>
      </c>
      <c r="O21">
        <v>33.871813071462931</v>
      </c>
      <c r="P21">
        <v>33.97174584406573</v>
      </c>
      <c r="Q21">
        <v>31.800920706411983</v>
      </c>
      <c r="R21">
        <v>32.870992561417339</v>
      </c>
      <c r="S21">
        <v>29.648436048587428</v>
      </c>
      <c r="T21">
        <v>29.121300328560132</v>
      </c>
      <c r="U21">
        <v>29.738935135423208</v>
      </c>
      <c r="V21">
        <v>28.132607390277293</v>
      </c>
      <c r="W21">
        <v>27.931199240147969</v>
      </c>
      <c r="X21">
        <v>26.946440012784723</v>
      </c>
      <c r="Y21">
        <v>25.275792032550569</v>
      </c>
      <c r="Z21">
        <v>25.524221808124899</v>
      </c>
      <c r="AA21">
        <v>23.421008176060099</v>
      </c>
      <c r="AB21">
        <v>22.191435219281093</v>
      </c>
    </row>
    <row r="22" spans="1:28">
      <c r="A22" t="s">
        <v>198</v>
      </c>
      <c r="B22">
        <v>0.67077251444477015</v>
      </c>
      <c r="C22">
        <v>1.252056010343225</v>
      </c>
      <c r="D22">
        <v>1.9452356351964901</v>
      </c>
      <c r="E22">
        <v>2.823903587365939</v>
      </c>
      <c r="F22">
        <v>3.8096516256140962</v>
      </c>
      <c r="G22">
        <v>5.4346161018834716</v>
      </c>
      <c r="H22">
        <v>6.8516775389333242</v>
      </c>
      <c r="I22">
        <v>8.3123950884609563</v>
      </c>
      <c r="J22">
        <v>9.9399811158973304</v>
      </c>
      <c r="K22">
        <v>11.7611074722225</v>
      </c>
      <c r="L22">
        <v>13.789167632878362</v>
      </c>
      <c r="M22">
        <v>16.094474014236269</v>
      </c>
      <c r="N22">
        <v>18.027077892116782</v>
      </c>
      <c r="O22">
        <v>20.46714862349139</v>
      </c>
      <c r="P22">
        <v>22.873343698789174</v>
      </c>
      <c r="Q22">
        <v>24.852238350341942</v>
      </c>
      <c r="R22">
        <v>26.915933465065617</v>
      </c>
      <c r="S22">
        <v>28.785484394135906</v>
      </c>
      <c r="T22">
        <v>30.839004705824788</v>
      </c>
      <c r="U22">
        <v>33.68247526137089</v>
      </c>
      <c r="V22">
        <v>35.294976372376944</v>
      </c>
      <c r="W22">
        <v>38.544511031948268</v>
      </c>
      <c r="X22">
        <v>41.416518845883743</v>
      </c>
      <c r="Y22">
        <v>43.988693182433636</v>
      </c>
      <c r="Z22">
        <v>46.722082251463711</v>
      </c>
      <c r="AA22">
        <v>49.225658977985603</v>
      </c>
      <c r="AB22">
        <v>49.959070474105928</v>
      </c>
    </row>
    <row r="23" spans="1:28">
      <c r="A23" t="s">
        <v>199</v>
      </c>
      <c r="B23">
        <v>0.30970052335100001</v>
      </c>
      <c r="C23">
        <v>0.43314749411699999</v>
      </c>
      <c r="D23">
        <v>0.56422893238799998</v>
      </c>
      <c r="E23">
        <v>0.68836982896199994</v>
      </c>
      <c r="F23">
        <v>0.79272405608899998</v>
      </c>
      <c r="G23">
        <v>0.89864644598700005</v>
      </c>
      <c r="H23">
        <v>1.0752187823680002</v>
      </c>
      <c r="I23">
        <v>1.22505748194</v>
      </c>
      <c r="J23">
        <v>1.3631707452040001</v>
      </c>
      <c r="K23">
        <v>1.5043945446539999</v>
      </c>
      <c r="L23">
        <v>1.6367306345720001</v>
      </c>
      <c r="M23">
        <v>1.7783341949859999</v>
      </c>
      <c r="N23">
        <v>1.8972202715240001</v>
      </c>
      <c r="O23">
        <v>1.9971118897859998</v>
      </c>
      <c r="P23">
        <v>2.0911583157670002</v>
      </c>
      <c r="Q23">
        <v>2.183268639734</v>
      </c>
      <c r="R23">
        <v>2.2272264912100006</v>
      </c>
      <c r="S23">
        <v>2.278133248509</v>
      </c>
      <c r="T23">
        <v>2.3078340373290001</v>
      </c>
      <c r="U23">
        <v>2.3342569768940002</v>
      </c>
      <c r="V23">
        <v>2.3514465283669996</v>
      </c>
      <c r="W23">
        <v>2.3657692263779997</v>
      </c>
      <c r="X23">
        <v>2.375426612739</v>
      </c>
      <c r="Y23">
        <v>2.388872653525</v>
      </c>
      <c r="Z23">
        <v>2.3682534126370003</v>
      </c>
      <c r="AA23">
        <v>2.332859424539</v>
      </c>
      <c r="AB23">
        <v>2.4179420215919993</v>
      </c>
    </row>
    <row r="24" spans="1:28">
      <c r="A24" t="s">
        <v>200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3.80467367020317</v>
      </c>
      <c r="I24">
        <v>7.7430308870153963</v>
      </c>
      <c r="J24">
        <v>10.149647346532532</v>
      </c>
      <c r="K24">
        <v>13.670490293801702</v>
      </c>
      <c r="L24">
        <v>14.722684457950509</v>
      </c>
      <c r="M24">
        <v>19.262058381642809</v>
      </c>
      <c r="N24">
        <v>23.602659149249948</v>
      </c>
      <c r="O24">
        <v>28.771163069349882</v>
      </c>
      <c r="P24">
        <v>31.914836862425712</v>
      </c>
      <c r="Q24">
        <v>37.365277915482338</v>
      </c>
      <c r="R24">
        <v>36.655325523833248</v>
      </c>
      <c r="S24">
        <v>37.02204868202665</v>
      </c>
      <c r="T24">
        <v>35.006182920220596</v>
      </c>
      <c r="U24">
        <v>33.969024826768845</v>
      </c>
      <c r="V24">
        <v>34.705182985601276</v>
      </c>
      <c r="W24">
        <v>34.692563442697086</v>
      </c>
      <c r="X24">
        <v>34.528610636055767</v>
      </c>
      <c r="Y24">
        <v>36.570680615743697</v>
      </c>
      <c r="Z24">
        <v>33.582414162863344</v>
      </c>
      <c r="AA24">
        <v>33.933371866738469</v>
      </c>
      <c r="AB24">
        <v>34.956116748579888</v>
      </c>
    </row>
    <row r="25" spans="1:28">
      <c r="A25" t="s">
        <v>152</v>
      </c>
      <c r="B25">
        <v>38.136130357107142</v>
      </c>
      <c r="C25">
        <v>44.812926509737913</v>
      </c>
      <c r="D25">
        <v>64.488804155441514</v>
      </c>
      <c r="E25">
        <v>76.45578630818693</v>
      </c>
      <c r="F25">
        <v>93.966128838134907</v>
      </c>
      <c r="G25">
        <v>121.27290563644762</v>
      </c>
      <c r="H25">
        <v>125.25209875628273</v>
      </c>
      <c r="I25">
        <v>129.7097748226079</v>
      </c>
      <c r="J25">
        <v>133.71978880838319</v>
      </c>
      <c r="K25">
        <v>139.84198379965329</v>
      </c>
      <c r="L25">
        <v>153.63864477678274</v>
      </c>
      <c r="M25">
        <v>153.35590488458647</v>
      </c>
      <c r="N25">
        <v>150.69383925279504</v>
      </c>
      <c r="O25">
        <v>158.18953133939931</v>
      </c>
      <c r="P25">
        <v>161.33003083441199</v>
      </c>
      <c r="Q25">
        <v>155.1943702654045</v>
      </c>
      <c r="R25">
        <v>155.5184966916124</v>
      </c>
      <c r="S25">
        <v>158.84360513033926</v>
      </c>
      <c r="T25">
        <v>155.4503606723051</v>
      </c>
      <c r="U25">
        <v>151.52540683436007</v>
      </c>
      <c r="V25">
        <v>162.26740677633208</v>
      </c>
      <c r="W25">
        <v>159.87114353989833</v>
      </c>
      <c r="X25">
        <v>162.07088489286733</v>
      </c>
      <c r="Y25">
        <v>162.91543317346682</v>
      </c>
      <c r="Z25">
        <v>167.93876639623304</v>
      </c>
      <c r="AA25">
        <v>165.55359613234842</v>
      </c>
      <c r="AB25">
        <v>163.22438179034668</v>
      </c>
    </row>
    <row r="26" spans="1:28">
      <c r="A26" t="s">
        <v>201</v>
      </c>
      <c r="B26">
        <v>21.378599528960688</v>
      </c>
      <c r="C26">
        <v>24.054649138825202</v>
      </c>
      <c r="D26">
        <v>26.329226129301343</v>
      </c>
      <c r="E26">
        <v>27.230392380302909</v>
      </c>
      <c r="F26">
        <v>28.396920809522975</v>
      </c>
      <c r="G26">
        <v>34.527967956843611</v>
      </c>
      <c r="H26">
        <v>39.226772759995754</v>
      </c>
      <c r="I26">
        <v>45.905114627093901</v>
      </c>
      <c r="J26">
        <v>50.427897336076974</v>
      </c>
      <c r="K26">
        <v>53.273286519061337</v>
      </c>
      <c r="L26">
        <v>57.567562541191791</v>
      </c>
      <c r="M26">
        <v>61.674960304727975</v>
      </c>
      <c r="N26">
        <v>65.342613167298239</v>
      </c>
      <c r="O26">
        <v>69.097125669430625</v>
      </c>
      <c r="P26">
        <v>69.133751888802067</v>
      </c>
      <c r="Q26">
        <v>69.80628237596666</v>
      </c>
      <c r="R26">
        <v>71.781425487383231</v>
      </c>
      <c r="S26">
        <v>75.377394248800925</v>
      </c>
      <c r="T26">
        <v>83.225599094352802</v>
      </c>
      <c r="U26">
        <v>96.07938496239008</v>
      </c>
      <c r="V26">
        <v>89.757359724605209</v>
      </c>
      <c r="W26">
        <v>101.45576080931356</v>
      </c>
      <c r="X26">
        <v>103.19860677872485</v>
      </c>
      <c r="Y26">
        <v>105.66407611238134</v>
      </c>
      <c r="Z26">
        <v>111.3743514854873</v>
      </c>
      <c r="AA26">
        <v>119.77192914239806</v>
      </c>
      <c r="AB26">
        <v>114.98665948077725</v>
      </c>
    </row>
    <row r="27" spans="1:28">
      <c r="A27" t="s">
        <v>202</v>
      </c>
      <c r="B27">
        <v>28.513159154439997</v>
      </c>
      <c r="C27">
        <v>31.313837643469995</v>
      </c>
      <c r="D27">
        <v>34.154596429899996</v>
      </c>
      <c r="E27">
        <v>37.483009597999995</v>
      </c>
      <c r="F27">
        <v>40.950223622099998</v>
      </c>
      <c r="G27">
        <v>44.467664222699995</v>
      </c>
      <c r="H27">
        <v>47.849984137800007</v>
      </c>
      <c r="I27">
        <v>51.09510638030001</v>
      </c>
      <c r="J27">
        <v>54.314700204600008</v>
      </c>
      <c r="K27">
        <v>57.524894535599991</v>
      </c>
      <c r="L27">
        <v>60.74232381880001</v>
      </c>
      <c r="M27">
        <v>64.118411420699999</v>
      </c>
      <c r="N27">
        <v>67.248912149400013</v>
      </c>
      <c r="O27">
        <v>70.337251829400003</v>
      </c>
      <c r="P27">
        <v>73.532650918699986</v>
      </c>
      <c r="Q27">
        <v>76.943108440099991</v>
      </c>
      <c r="R27">
        <v>80.0363971604</v>
      </c>
      <c r="S27">
        <v>83.126241106199984</v>
      </c>
      <c r="T27">
        <v>86.273678593499994</v>
      </c>
      <c r="U27">
        <v>89.556096035500005</v>
      </c>
      <c r="V27">
        <v>92.70664751679999</v>
      </c>
      <c r="W27">
        <v>96.156029825500013</v>
      </c>
      <c r="X27">
        <v>99.790859204800014</v>
      </c>
      <c r="Y27">
        <v>103.6878775584</v>
      </c>
      <c r="Z27">
        <v>107.34171531739999</v>
      </c>
      <c r="AA27">
        <v>111.08589470110002</v>
      </c>
      <c r="AB27">
        <v>114.94026282549999</v>
      </c>
    </row>
    <row r="28" spans="1:28">
      <c r="A28" t="s">
        <v>203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0.19240593893767022</v>
      </c>
      <c r="J28">
        <v>0.18162613975509498</v>
      </c>
      <c r="K28">
        <v>1.2405015463642552</v>
      </c>
      <c r="L28">
        <v>1.8337235149577347</v>
      </c>
      <c r="M28">
        <v>2.4291711837798853</v>
      </c>
      <c r="N28">
        <v>2.3087695922293401</v>
      </c>
      <c r="O28">
        <v>1.7984859221376102</v>
      </c>
      <c r="P28">
        <v>1.2731826895366352</v>
      </c>
      <c r="Q28">
        <v>1.6702822864872298</v>
      </c>
      <c r="R28">
        <v>1.7861295838785951</v>
      </c>
      <c r="S28">
        <v>2.0158706461077402</v>
      </c>
      <c r="T28">
        <v>2.2419290321984495</v>
      </c>
      <c r="U28">
        <v>2.1371045897020347</v>
      </c>
      <c r="V28">
        <v>2.4163375528997508</v>
      </c>
      <c r="W28">
        <v>1.8488950172164496</v>
      </c>
      <c r="X28">
        <v>1.6159701731293397</v>
      </c>
      <c r="Y28">
        <v>1.4550704653125248</v>
      </c>
      <c r="Z28">
        <v>1.6521591854448345</v>
      </c>
      <c r="AA28">
        <v>1.9439125095992946</v>
      </c>
      <c r="AB28">
        <v>1.5859429127640403</v>
      </c>
    </row>
    <row r="29" spans="1:28">
      <c r="A29" t="s">
        <v>204</v>
      </c>
      <c r="B29">
        <v>4.5200436819999902E-4</v>
      </c>
      <c r="C29">
        <v>2.0595049344799767E-3</v>
      </c>
      <c r="D29">
        <v>5.4501999999999992E-9</v>
      </c>
      <c r="E29">
        <v>2.0841445173999998E-4</v>
      </c>
      <c r="F29">
        <v>7.9680067536799515E-3</v>
      </c>
      <c r="G29">
        <v>4.4801641015450047E-2</v>
      </c>
      <c r="H29">
        <v>8.8675044641055037E-2</v>
      </c>
      <c r="I29">
        <v>1.0991214999999998E-8</v>
      </c>
      <c r="J29">
        <v>1.6850990985234997E-2</v>
      </c>
      <c r="K29">
        <v>0.25250956259070007</v>
      </c>
      <c r="L29">
        <v>0.210312771347615</v>
      </c>
      <c r="M29">
        <v>0.10564489333467</v>
      </c>
      <c r="N29">
        <v>0.4051793239349698</v>
      </c>
      <c r="O29">
        <v>0.33283602579665983</v>
      </c>
      <c r="P29">
        <v>0.12237615634954513</v>
      </c>
      <c r="Q29">
        <v>0.22471314976819504</v>
      </c>
      <c r="R29">
        <v>0.5516519297760849</v>
      </c>
      <c r="S29">
        <v>0.24694982509372998</v>
      </c>
      <c r="T29">
        <v>0.18645651881864517</v>
      </c>
      <c r="U29">
        <v>0.40750733197233485</v>
      </c>
      <c r="V29">
        <v>0.37317848814780469</v>
      </c>
      <c r="W29">
        <v>0.3209097334756203</v>
      </c>
      <c r="X29">
        <v>0.71845493599942056</v>
      </c>
      <c r="Y29">
        <v>0.51731288172773449</v>
      </c>
      <c r="Z29">
        <v>0.69802019924950498</v>
      </c>
      <c r="AA29">
        <v>0.71047736834170883</v>
      </c>
      <c r="AB29">
        <v>1.5777685497969052</v>
      </c>
    </row>
    <row r="30" spans="1:28">
      <c r="A30" t="s">
        <v>205</v>
      </c>
    </row>
    <row r="31" spans="1:28">
      <c r="A31" t="s">
        <v>206</v>
      </c>
      <c r="B31">
        <v>-2.7140984957700156</v>
      </c>
      <c r="C31">
        <v>-6.5766405232342295</v>
      </c>
      <c r="D31">
        <v>-9.099517230883956</v>
      </c>
      <c r="E31">
        <v>-11.017426589267286</v>
      </c>
      <c r="F31">
        <v>-13.478232957597649</v>
      </c>
      <c r="G31">
        <v>-28.379062214278619</v>
      </c>
      <c r="H31">
        <v>-29.654476088605875</v>
      </c>
      <c r="I31">
        <v>-30.92555657861886</v>
      </c>
      <c r="J31">
        <v>-33.819038165730269</v>
      </c>
      <c r="K31">
        <v>-36.131185538237389</v>
      </c>
      <c r="L31">
        <v>-38.59726688530592</v>
      </c>
      <c r="M31">
        <v>-37.78175524258728</v>
      </c>
      <c r="N31">
        <v>-40.340744131815917</v>
      </c>
      <c r="O31">
        <v>-42.881427257010358</v>
      </c>
      <c r="P31">
        <v>-42.683919921247544</v>
      </c>
      <c r="Q31">
        <v>-40.272445544216936</v>
      </c>
      <c r="R31">
        <v>-41.489485984104832</v>
      </c>
      <c r="S31">
        <v>-37.380254882453606</v>
      </c>
      <c r="T31">
        <v>-36.550164251926091</v>
      </c>
      <c r="U31">
        <v>-37.540520894985498</v>
      </c>
      <c r="V31">
        <v>-35.663125998645185</v>
      </c>
      <c r="W31">
        <v>-35.718151792108877</v>
      </c>
      <c r="X31">
        <v>-34.649559963053015</v>
      </c>
      <c r="Y31">
        <v>-33.453559241456375</v>
      </c>
      <c r="Z31">
        <v>-33.02108615001525</v>
      </c>
      <c r="AA31">
        <v>-31.058578368901891</v>
      </c>
      <c r="AB31">
        <v>-29.368508576004501</v>
      </c>
    </row>
    <row r="32" spans="1:28">
      <c r="A32" t="s">
        <v>207</v>
      </c>
      <c r="B32">
        <v>-0.67077251512943503</v>
      </c>
      <c r="C32">
        <v>-1.2520560110437502</v>
      </c>
      <c r="D32">
        <v>-1.9452356370374098</v>
      </c>
      <c r="E32">
        <v>-2.8258766476348955</v>
      </c>
      <c r="F32">
        <v>-3.8082825726373444</v>
      </c>
      <c r="G32">
        <v>-5.4348302475681489</v>
      </c>
      <c r="H32">
        <v>-6.8903535719543285</v>
      </c>
      <c r="I32">
        <v>-8.4096030060254243</v>
      </c>
      <c r="J32">
        <v>-10.100889346427381</v>
      </c>
      <c r="K32">
        <v>-12.059355578839673</v>
      </c>
      <c r="L32">
        <v>-14.199572232796692</v>
      </c>
      <c r="M32">
        <v>-16.683938210877571</v>
      </c>
      <c r="N32">
        <v>-18.767326018972899</v>
      </c>
      <c r="O32">
        <v>-21.48470153779073</v>
      </c>
      <c r="P32">
        <v>-24.172230366109524</v>
      </c>
      <c r="Q32">
        <v>-26.203205951602921</v>
      </c>
      <c r="R32">
        <v>-28.54514810634376</v>
      </c>
      <c r="S32">
        <v>-30.531098756985063</v>
      </c>
      <c r="T32">
        <v>-32.766438658544338</v>
      </c>
      <c r="U32">
        <v>-36.150537476967912</v>
      </c>
      <c r="V32">
        <v>-37.639477851665191</v>
      </c>
      <c r="W32">
        <v>-41.645680260377105</v>
      </c>
      <c r="X32">
        <v>-44.957636191095318</v>
      </c>
      <c r="Y32">
        <v>-48.028313045183914</v>
      </c>
      <c r="Z32">
        <v>-51.175616045697339</v>
      </c>
      <c r="AA32">
        <v>-54.14273230112228</v>
      </c>
      <c r="AB32">
        <v>-54.643470496453531</v>
      </c>
    </row>
    <row r="33" spans="1:28">
      <c r="A33" t="s">
        <v>208</v>
      </c>
      <c r="B33">
        <v>-0.36421644071499998</v>
      </c>
      <c r="C33">
        <v>-0.50980693671199995</v>
      </c>
      <c r="D33">
        <v>-0.6633407350160001</v>
      </c>
      <c r="E33">
        <v>-0.80703579240300005</v>
      </c>
      <c r="F33">
        <v>-0.92929804568600005</v>
      </c>
      <c r="G33">
        <v>-1.0526518262989999</v>
      </c>
      <c r="H33">
        <v>-1.2542629277150001</v>
      </c>
      <c r="I33">
        <v>-1.4321811934259998</v>
      </c>
      <c r="J33">
        <v>-1.595364254933</v>
      </c>
      <c r="K33">
        <v>-1.753716943358</v>
      </c>
      <c r="L33">
        <v>-1.9128963824000003</v>
      </c>
      <c r="M33">
        <v>-2.0785073431069998</v>
      </c>
      <c r="N33">
        <v>-2.2147232965800003</v>
      </c>
      <c r="O33">
        <v>-2.330127425148</v>
      </c>
      <c r="P33">
        <v>-2.4421337818839999</v>
      </c>
      <c r="Q33">
        <v>-2.539322348057</v>
      </c>
      <c r="R33">
        <v>-2.6003691911539999</v>
      </c>
      <c r="S33">
        <v>-2.6485279829880004</v>
      </c>
      <c r="T33">
        <v>-2.6912015090430002</v>
      </c>
      <c r="U33">
        <v>-2.7206692763039997</v>
      </c>
      <c r="V33">
        <v>-2.7379794392629995</v>
      </c>
      <c r="W33">
        <v>-2.7605587298310001</v>
      </c>
      <c r="X33">
        <v>-2.7737626805880002</v>
      </c>
      <c r="Y33">
        <v>-2.7788662201480001</v>
      </c>
      <c r="Z33">
        <v>-2.7627755990280001</v>
      </c>
      <c r="AA33">
        <v>-2.7258529395140001</v>
      </c>
      <c r="AB33">
        <v>-2.813814839265</v>
      </c>
    </row>
    <row r="36" spans="1:28">
      <c r="A36" t="s">
        <v>213</v>
      </c>
      <c r="B36">
        <f>SUM(B15:B33)</f>
        <v>212.07238235986969</v>
      </c>
      <c r="C36">
        <f t="shared" ref="C36:AB36" si="0">SUM(C15:C33)</f>
        <v>217.98665997677344</v>
      </c>
      <c r="D36">
        <f t="shared" si="0"/>
        <v>226.09329419903705</v>
      </c>
      <c r="E36">
        <f t="shared" si="0"/>
        <v>233.36658462623916</v>
      </c>
      <c r="F36">
        <f t="shared" si="0"/>
        <v>241.44322706982229</v>
      </c>
      <c r="G36">
        <f t="shared" si="0"/>
        <v>254.76197046065749</v>
      </c>
      <c r="H36">
        <f t="shared" si="0"/>
        <v>263.501980327448</v>
      </c>
      <c r="I36">
        <f t="shared" si="0"/>
        <v>274.40439507251898</v>
      </c>
      <c r="J36">
        <f t="shared" si="0"/>
        <v>287.1093750804327</v>
      </c>
      <c r="K36">
        <f t="shared" si="0"/>
        <v>297.39506402056071</v>
      </c>
      <c r="L36">
        <f t="shared" si="0"/>
        <v>307.96176623068806</v>
      </c>
      <c r="M36">
        <f t="shared" si="0"/>
        <v>318.44731567356661</v>
      </c>
      <c r="N36">
        <f t="shared" si="0"/>
        <v>329.62877421003628</v>
      </c>
      <c r="O36">
        <f t="shared" si="0"/>
        <v>339.91197318514872</v>
      </c>
      <c r="P36">
        <f t="shared" si="0"/>
        <v>347.58122380942598</v>
      </c>
      <c r="Q36">
        <f t="shared" si="0"/>
        <v>357.32304082626302</v>
      </c>
      <c r="R36">
        <f t="shared" si="0"/>
        <v>365.41044264888745</v>
      </c>
      <c r="S36">
        <f t="shared" si="0"/>
        <v>373.98450736524313</v>
      </c>
      <c r="T36">
        <f t="shared" si="0"/>
        <v>383.24061091770102</v>
      </c>
      <c r="U36">
        <f t="shared" si="0"/>
        <v>392.57053831373213</v>
      </c>
      <c r="V36">
        <f t="shared" si="0"/>
        <v>400.63351811712471</v>
      </c>
      <c r="W36">
        <f t="shared" si="0"/>
        <v>407.31368614671612</v>
      </c>
      <c r="X36">
        <f t="shared" si="0"/>
        <v>414.35039105685962</v>
      </c>
      <c r="Y36">
        <f t="shared" si="0"/>
        <v>422.43838018071511</v>
      </c>
      <c r="Z36">
        <f t="shared" si="0"/>
        <v>429.93506744073829</v>
      </c>
      <c r="AA36">
        <f t="shared" si="0"/>
        <v>437.85895007695524</v>
      </c>
      <c r="AB36">
        <f t="shared" si="0"/>
        <v>444.31223875487689</v>
      </c>
    </row>
    <row r="37" spans="1:28">
      <c r="A37" t="s">
        <v>215</v>
      </c>
      <c r="B37">
        <f>B8/B36</f>
        <v>0.48033843359501005</v>
      </c>
      <c r="C37">
        <f t="shared" ref="C37:AB37" si="1">C8/C36</f>
        <v>0.42604794845737021</v>
      </c>
      <c r="D37">
        <f t="shared" si="1"/>
        <v>0.35535279067220943</v>
      </c>
      <c r="E37">
        <f t="shared" si="1"/>
        <v>0.3043449483101997</v>
      </c>
      <c r="F37">
        <f t="shared" si="1"/>
        <v>0.23813984359845228</v>
      </c>
      <c r="G37">
        <f t="shared" si="1"/>
        <v>0.15514264155333019</v>
      </c>
      <c r="H37">
        <f t="shared" si="1"/>
        <v>0.12674216785645515</v>
      </c>
      <c r="I37">
        <f t="shared" si="1"/>
        <v>0.10426481697727327</v>
      </c>
      <c r="J37">
        <f t="shared" si="1"/>
        <v>9.764945808701718E-2</v>
      </c>
      <c r="K37">
        <f t="shared" si="1"/>
        <v>5.3192479783174734E-2</v>
      </c>
      <c r="L37">
        <f t="shared" si="1"/>
        <v>2.8325117300446203E-2</v>
      </c>
      <c r="M37">
        <f t="shared" si="1"/>
        <v>2.6082568542736311E-2</v>
      </c>
      <c r="N37">
        <f t="shared" si="1"/>
        <v>2.4119572026546132E-2</v>
      </c>
      <c r="O37">
        <f t="shared" si="1"/>
        <v>1.3751223009240742E-2</v>
      </c>
      <c r="P37">
        <f t="shared" si="1"/>
        <v>1.220752555402011E-2</v>
      </c>
      <c r="Q37">
        <f t="shared" si="1"/>
        <v>1.937769197950074E-2</v>
      </c>
      <c r="R37">
        <f t="shared" si="1"/>
        <v>2.2922868974109462E-2</v>
      </c>
      <c r="S37">
        <f t="shared" si="1"/>
        <v>2.0385685064667213E-2</v>
      </c>
      <c r="T37">
        <f t="shared" si="1"/>
        <v>2.4295527074932891E-2</v>
      </c>
      <c r="U37">
        <f t="shared" si="1"/>
        <v>2.5887655115991004E-2</v>
      </c>
      <c r="V37">
        <f t="shared" si="1"/>
        <v>2.081072885702932E-2</v>
      </c>
      <c r="W37">
        <f t="shared" si="1"/>
        <v>1.3541094256730278E-2</v>
      </c>
      <c r="X37">
        <f t="shared" si="1"/>
        <v>1.4969466991353705E-2</v>
      </c>
      <c r="Y37">
        <f t="shared" si="1"/>
        <v>1.5096480624926517E-2</v>
      </c>
      <c r="Z37">
        <f t="shared" si="1"/>
        <v>1.0312397832983983E-2</v>
      </c>
      <c r="AA37">
        <f t="shared" si="1"/>
        <v>7.9250571745060998E-3</v>
      </c>
      <c r="AB37">
        <f t="shared" si="1"/>
        <v>1.4109723206080657E-2</v>
      </c>
    </row>
    <row r="38" spans="1:28">
      <c r="B38" t="s">
        <v>188</v>
      </c>
      <c r="C38" t="s">
        <v>189</v>
      </c>
    </row>
    <row r="39" spans="1:28">
      <c r="A39" s="82" t="s">
        <v>211</v>
      </c>
      <c r="B39">
        <f>SUM(B36:AA36)</f>
        <v>8536.7251193931625</v>
      </c>
      <c r="C39">
        <f>SUM(C36:AB36)</f>
        <v>8768.9649757881689</v>
      </c>
    </row>
    <row r="42" spans="1:28">
      <c r="A42" s="82" t="s">
        <v>210</v>
      </c>
      <c r="B42">
        <f>B11/B39</f>
        <v>7.7268745742381073E-2</v>
      </c>
      <c r="C42">
        <f>C11/C39</f>
        <v>6.4320549920624581E-2</v>
      </c>
    </row>
    <row r="45" spans="1:28">
      <c r="A45" s="86" t="s">
        <v>216</v>
      </c>
      <c r="B45">
        <v>2025</v>
      </c>
      <c r="C45">
        <v>2026</v>
      </c>
      <c r="D45">
        <v>2027</v>
      </c>
      <c r="E45">
        <v>2028</v>
      </c>
      <c r="F45">
        <v>2029</v>
      </c>
      <c r="G45">
        <v>2030</v>
      </c>
      <c r="H45">
        <v>2031</v>
      </c>
      <c r="I45">
        <v>2032</v>
      </c>
      <c r="J45">
        <v>2033</v>
      </c>
      <c r="K45">
        <v>2034</v>
      </c>
      <c r="L45">
        <v>2035</v>
      </c>
      <c r="M45">
        <v>2036</v>
      </c>
      <c r="N45">
        <v>2037</v>
      </c>
      <c r="O45">
        <v>2038</v>
      </c>
      <c r="P45">
        <v>2039</v>
      </c>
      <c r="Q45">
        <v>2040</v>
      </c>
      <c r="R45">
        <v>2041</v>
      </c>
      <c r="S45">
        <v>2042</v>
      </c>
      <c r="T45">
        <v>2043</v>
      </c>
      <c r="U45">
        <v>2044</v>
      </c>
      <c r="V45">
        <v>2045</v>
      </c>
      <c r="W45">
        <v>2046</v>
      </c>
      <c r="X45">
        <v>2047</v>
      </c>
      <c r="Y45">
        <v>2048</v>
      </c>
      <c r="Z45">
        <v>2049</v>
      </c>
      <c r="AA45">
        <v>2050</v>
      </c>
    </row>
    <row r="46" spans="1:28">
      <c r="A46" s="82" t="s">
        <v>217</v>
      </c>
      <c r="B46">
        <f>B37</f>
        <v>0.48033843359501005</v>
      </c>
      <c r="C46">
        <f t="shared" ref="C46:AA46" si="2">C37</f>
        <v>0.42604794845737021</v>
      </c>
      <c r="D46">
        <f t="shared" si="2"/>
        <v>0.35535279067220943</v>
      </c>
      <c r="E46">
        <f t="shared" si="2"/>
        <v>0.3043449483101997</v>
      </c>
      <c r="F46">
        <f t="shared" si="2"/>
        <v>0.23813984359845228</v>
      </c>
      <c r="G46">
        <f t="shared" si="2"/>
        <v>0.15514264155333019</v>
      </c>
      <c r="H46">
        <f t="shared" si="2"/>
        <v>0.12674216785645515</v>
      </c>
      <c r="I46">
        <f t="shared" si="2"/>
        <v>0.10426481697727327</v>
      </c>
      <c r="J46">
        <f t="shared" si="2"/>
        <v>9.764945808701718E-2</v>
      </c>
      <c r="K46">
        <f t="shared" si="2"/>
        <v>5.3192479783174734E-2</v>
      </c>
      <c r="L46">
        <f t="shared" si="2"/>
        <v>2.8325117300446203E-2</v>
      </c>
      <c r="M46">
        <f t="shared" si="2"/>
        <v>2.6082568542736311E-2</v>
      </c>
      <c r="N46">
        <f t="shared" si="2"/>
        <v>2.4119572026546132E-2</v>
      </c>
      <c r="O46">
        <f t="shared" si="2"/>
        <v>1.3751223009240742E-2</v>
      </c>
      <c r="P46">
        <f t="shared" si="2"/>
        <v>1.220752555402011E-2</v>
      </c>
      <c r="Q46">
        <f t="shared" si="2"/>
        <v>1.937769197950074E-2</v>
      </c>
      <c r="R46">
        <f t="shared" si="2"/>
        <v>2.2922868974109462E-2</v>
      </c>
      <c r="S46">
        <f t="shared" si="2"/>
        <v>2.0385685064667213E-2</v>
      </c>
      <c r="T46">
        <f t="shared" si="2"/>
        <v>2.4295527074932891E-2</v>
      </c>
      <c r="U46">
        <f t="shared" si="2"/>
        <v>2.5887655115991004E-2</v>
      </c>
      <c r="V46">
        <f t="shared" si="2"/>
        <v>2.081072885702932E-2</v>
      </c>
      <c r="W46">
        <f t="shared" si="2"/>
        <v>1.3541094256730278E-2</v>
      </c>
      <c r="X46">
        <f t="shared" si="2"/>
        <v>1.4969466991353705E-2</v>
      </c>
      <c r="Y46">
        <f t="shared" si="2"/>
        <v>1.5096480624926517E-2</v>
      </c>
      <c r="Z46">
        <f t="shared" si="2"/>
        <v>1.0312397832983983E-2</v>
      </c>
      <c r="AA46">
        <f t="shared" si="2"/>
        <v>7.9250571745060998E-3</v>
      </c>
    </row>
    <row r="47" spans="1:28">
      <c r="A47" s="82" t="s">
        <v>218</v>
      </c>
      <c r="B47">
        <f>'Carbon budget'!B3</f>
        <v>0.52672934074348832</v>
      </c>
      <c r="C47">
        <f>'Carbon budget'!C3</f>
        <v>0.45533717321644418</v>
      </c>
      <c r="D47">
        <f>'Carbon budget'!D3</f>
        <v>0.38394500568939999</v>
      </c>
      <c r="E47">
        <f>'Carbon budget'!E3</f>
        <v>0.31255283816235579</v>
      </c>
      <c r="F47">
        <f>'Carbon budget'!F3</f>
        <v>0.24116067063531166</v>
      </c>
      <c r="G47">
        <f>'Carbon budget'!G3</f>
        <v>0.16976850310826747</v>
      </c>
      <c r="H47">
        <f>'Carbon budget'!H3</f>
        <v>0.14402688276571915</v>
      </c>
      <c r="I47">
        <f>'Carbon budget'!I3</f>
        <v>0.11828526242317086</v>
      </c>
      <c r="J47">
        <f>'Carbon budget'!J3</f>
        <v>9.2543642080622546E-2</v>
      </c>
      <c r="K47">
        <f>'Carbon budget'!K3</f>
        <v>6.6802021738074244E-2</v>
      </c>
      <c r="L47">
        <f>'Carbon budget'!L3</f>
        <v>4.1060401395525935E-2</v>
      </c>
      <c r="M47">
        <f>'Carbon budget'!M3</f>
        <v>3.4284135530110768E-2</v>
      </c>
      <c r="N47">
        <f>'Carbon budget'!N3</f>
        <v>2.7507869664695601E-2</v>
      </c>
      <c r="O47">
        <f>'Carbon budget'!O3</f>
        <v>2.0731603799280435E-2</v>
      </c>
      <c r="P47">
        <f>'Carbon budget'!P3</f>
        <v>1.3955337933865268E-2</v>
      </c>
      <c r="Q47">
        <f>'Carbon budget'!Q3</f>
        <v>7.1790720684500996E-3</v>
      </c>
      <c r="R47">
        <f>'Carbon budget'!R3</f>
        <v>6.8291484010698069E-3</v>
      </c>
      <c r="S47">
        <f>'Carbon budget'!S3</f>
        <v>6.4792247336895132E-3</v>
      </c>
      <c r="T47">
        <f>'Carbon budget'!T3</f>
        <v>6.1293010663092205E-3</v>
      </c>
      <c r="U47">
        <f>'Carbon budget'!U3</f>
        <v>5.7793773989289268E-3</v>
      </c>
      <c r="V47">
        <f>'Carbon budget'!V3</f>
        <v>5.4294537315486341E-3</v>
      </c>
      <c r="W47">
        <f>'Carbon budget'!W3</f>
        <v>4.9823830793207643E-3</v>
      </c>
      <c r="X47">
        <f>'Carbon budget'!X3</f>
        <v>4.5353124270928946E-3</v>
      </c>
      <c r="Y47">
        <f>'Carbon budget'!Y3</f>
        <v>4.088241774865024E-3</v>
      </c>
      <c r="Z47">
        <f>'Carbon budget'!Z3</f>
        <v>3.6411711226371547E-3</v>
      </c>
      <c r="AA47">
        <f>'Carbon budget'!AA3</f>
        <v>3.1941004704092849E-3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NEM demand data</vt:lpstr>
      <vt:lpstr>WEM demand data</vt:lpstr>
      <vt:lpstr>notes</vt:lpstr>
      <vt:lpstr>Carbon budget</vt:lpstr>
      <vt:lpstr>CCA Emissions intensity</vt:lpstr>
      <vt:lpstr>NEM 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Ablaza, Jose</dc:creator>
  <cp:lastModifiedBy>Dominic Jones</cp:lastModifiedBy>
  <dcterms:created xsi:type="dcterms:W3CDTF">2022-10-17T06:24:50Z</dcterms:created>
  <dcterms:modified xsi:type="dcterms:W3CDTF">2025-06-04T03:08:12Z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c029f1-7b6e-4e10-8282-fc5331153e31_Enabled">
    <vt:lpwstr>true</vt:lpwstr>
  </property>
  <property fmtid="{D5CDD505-2E9C-101B-9397-08002B2CF9AE}" pid="3" name="MSIP_Label_fbc029f1-7b6e-4e10-8282-fc5331153e31_SetDate">
    <vt:lpwstr>2025-05-16T01:33:43Z</vt:lpwstr>
  </property>
  <property fmtid="{D5CDD505-2E9C-101B-9397-08002B2CF9AE}" pid="4" name="MSIP_Label_fbc029f1-7b6e-4e10-8282-fc5331153e31_Method">
    <vt:lpwstr>Privileged</vt:lpwstr>
  </property>
  <property fmtid="{D5CDD505-2E9C-101B-9397-08002B2CF9AE}" pid="5" name="MSIP_Label_fbc029f1-7b6e-4e10-8282-fc5331153e31_Name">
    <vt:lpwstr>fbc029f1-7b6e-4e10-8282-fc5331153e31</vt:lpwstr>
  </property>
  <property fmtid="{D5CDD505-2E9C-101B-9397-08002B2CF9AE}" pid="6" name="MSIP_Label_fbc029f1-7b6e-4e10-8282-fc5331153e31_SiteId">
    <vt:lpwstr>37247798-f42c-42fd-8a37-d49c7128d36b</vt:lpwstr>
  </property>
  <property fmtid="{D5CDD505-2E9C-101B-9397-08002B2CF9AE}" pid="7" name="MSIP_Label_fbc029f1-7b6e-4e10-8282-fc5331153e31_ActionId">
    <vt:lpwstr>88fa2d3e-79c6-4bd8-a0c7-998e3c8764d4</vt:lpwstr>
  </property>
  <property fmtid="{D5CDD505-2E9C-101B-9397-08002B2CF9AE}" pid="8" name="MSIP_Label_fbc029f1-7b6e-4e10-8282-fc5331153e31_ContentBits">
    <vt:lpwstr>0</vt:lpwstr>
  </property>
</Properties>
</file>