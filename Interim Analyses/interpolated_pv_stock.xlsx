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jjefferson/Grattan Institute Dropbox/Ben Jefferson/Carbon-pricing-analysis-2025/Interim Analyses/"/>
    </mc:Choice>
  </mc:AlternateContent>
  <xr:revisionPtr revIDLastSave="0" documentId="13_ncr:1_{211F9718-163E-0048-937D-B63DA6B187A4}" xr6:coauthVersionLast="47" xr6:coauthVersionMax="47" xr10:uidLastSave="{00000000-0000-0000-0000-000000000000}"/>
  <bookViews>
    <workbookView xWindow="-17860" yWindow="-28000" windowWidth="42560" windowHeight="26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I6" i="1"/>
  <c r="J6" i="1"/>
  <c r="G6" i="1"/>
  <c r="H4" i="1"/>
  <c r="I4" i="1"/>
  <c r="J4" i="1"/>
  <c r="G4" i="1"/>
</calcChain>
</file>

<file path=xl/sharedStrings.xml><?xml version="1.0" encoding="utf-8"?>
<sst xmlns="http://schemas.openxmlformats.org/spreadsheetml/2006/main" count="193" uniqueCount="13">
  <si>
    <t>year</t>
  </si>
  <si>
    <t>state</t>
  </si>
  <si>
    <t>prop</t>
  </si>
  <si>
    <t>pv_stock</t>
  </si>
  <si>
    <t>NSW and ACT</t>
  </si>
  <si>
    <t>Qld</t>
  </si>
  <si>
    <t>SA</t>
  </si>
  <si>
    <t>Tas</t>
  </si>
  <si>
    <t>Vic</t>
  </si>
  <si>
    <t>WA</t>
  </si>
  <si>
    <t>solar</t>
  </si>
  <si>
    <t>connections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</si>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</sst>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65" fontId="0" fillId="0" borderId="0" xfId="1" applyNumberFormat="1" applyFont="1"/>
    <xf numFmtId="9" fontId="0" fillId="0" borderId="0" xfId="2" applyFont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7"/>
  <sheetViews>
    <sheetView tabSelected="1" zoomScale="150" workbookViewId="0">
      <selection activeCell="J14" sqref="J14"/>
    </sheetView>
  </sheetViews>
  <sheetFormatPr baseColWidth="10" defaultColWidth="8.83203125" defaultRowHeight="15" x14ac:dyDescent="0.2"/>
  <cols>
    <col min="6" max="6" width="10.6640625" bestFit="1" customWidth="1"/>
    <col min="7" max="7" width="12.6640625" bestFit="1" customWidth="1"/>
    <col min="8" max="10" width="13.664062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10" x14ac:dyDescent="0.2">
      <c r="A2">
        <v>2020</v>
      </c>
      <c r="B2" t="s">
        <v>4</v>
      </c>
      <c r="C2">
        <v>0.20598393603725679</v>
      </c>
      <c r="D2">
        <v>656724.16439206316</v>
      </c>
    </row>
    <row r="3" spans="1:10" x14ac:dyDescent="0.2">
      <c r="A3">
        <v>2020</v>
      </c>
      <c r="B3" t="s">
        <v>5</v>
      </c>
      <c r="C3">
        <v>0.38272721465564952</v>
      </c>
      <c r="D3">
        <v>751292.37418739602</v>
      </c>
      <c r="G3">
        <v>2025</v>
      </c>
      <c r="H3">
        <v>2030</v>
      </c>
      <c r="I3">
        <v>2035</v>
      </c>
      <c r="J3">
        <v>2050</v>
      </c>
    </row>
    <row r="4" spans="1:10" x14ac:dyDescent="0.2">
      <c r="A4">
        <v>2020</v>
      </c>
      <c r="B4" t="s">
        <v>6</v>
      </c>
      <c r="C4">
        <v>0.41939651036889192</v>
      </c>
      <c r="D4">
        <v>322553.66215961112</v>
      </c>
      <c r="F4" s="2" t="s">
        <v>10</v>
      </c>
      <c r="G4" s="3">
        <f>SUMIFS($D$2:$D$187,$A$2:$A$187,G$3)</f>
        <v>3204551.0624090857</v>
      </c>
      <c r="H4" s="3">
        <f t="shared" ref="H4:J4" si="0">SUMIFS($D$2:$D$187,$A$2:$A$187,H$3)</f>
        <v>3818866.2138510863</v>
      </c>
      <c r="I4" s="3">
        <f t="shared" si="0"/>
        <v>4512957.872902343</v>
      </c>
      <c r="J4" s="3">
        <f t="shared" si="0"/>
        <v>7009302.1198447496</v>
      </c>
    </row>
    <row r="5" spans="1:10" x14ac:dyDescent="0.2">
      <c r="A5">
        <v>2020</v>
      </c>
      <c r="B5" t="s">
        <v>7</v>
      </c>
      <c r="C5">
        <v>0.17414739636486951</v>
      </c>
      <c r="D5">
        <v>43256.47178306993</v>
      </c>
      <c r="F5" s="2" t="s">
        <v>11</v>
      </c>
      <c r="G5" s="3">
        <v>9483571</v>
      </c>
      <c r="H5" s="3">
        <v>10272998</v>
      </c>
      <c r="I5" s="3">
        <v>11143369</v>
      </c>
      <c r="J5" s="3">
        <v>13902871</v>
      </c>
    </row>
    <row r="6" spans="1:10" x14ac:dyDescent="0.2">
      <c r="A6">
        <v>2020</v>
      </c>
      <c r="B6" t="s">
        <v>8</v>
      </c>
      <c r="C6">
        <v>0.2017040365143638</v>
      </c>
      <c r="D6">
        <v>516888.57930803718</v>
      </c>
      <c r="F6" s="2" t="s">
        <v>12</v>
      </c>
      <c r="G6" s="4">
        <f>G4/G5</f>
        <v>0.33790552761286713</v>
      </c>
      <c r="H6" s="4">
        <f t="shared" ref="H6:J6" si="1">H4/H5</f>
        <v>0.37173824173343423</v>
      </c>
      <c r="I6" s="4">
        <f t="shared" si="1"/>
        <v>0.404990436276708</v>
      </c>
      <c r="J6" s="4">
        <f t="shared" si="1"/>
        <v>0.50416220648560639</v>
      </c>
    </row>
    <row r="7" spans="1:10" x14ac:dyDescent="0.2">
      <c r="A7">
        <v>2020</v>
      </c>
      <c r="B7" t="s">
        <v>9</v>
      </c>
      <c r="C7">
        <v>0.3674254897138664</v>
      </c>
      <c r="D7">
        <v>372408.14677987609</v>
      </c>
    </row>
    <row r="8" spans="1:10" x14ac:dyDescent="0.2">
      <c r="A8">
        <v>2021</v>
      </c>
      <c r="B8" t="s">
        <v>4</v>
      </c>
      <c r="C8">
        <v>0.21291619810737711</v>
      </c>
      <c r="D8">
        <v>690852.80757437414</v>
      </c>
    </row>
    <row r="9" spans="1:10" x14ac:dyDescent="0.2">
      <c r="A9">
        <v>2021</v>
      </c>
      <c r="B9" t="s">
        <v>5</v>
      </c>
      <c r="C9">
        <v>0.38696964083379448</v>
      </c>
      <c r="D9">
        <v>771115.17722878407</v>
      </c>
    </row>
    <row r="10" spans="1:10" x14ac:dyDescent="0.2">
      <c r="A10">
        <v>2021</v>
      </c>
      <c r="B10" t="s">
        <v>6</v>
      </c>
      <c r="C10">
        <v>0.4244166266899288</v>
      </c>
      <c r="D10">
        <v>331112.02664516139</v>
      </c>
    </row>
    <row r="11" spans="1:10" x14ac:dyDescent="0.2">
      <c r="A11">
        <v>2021</v>
      </c>
      <c r="B11" t="s">
        <v>7</v>
      </c>
      <c r="C11">
        <v>0.18367581648604051</v>
      </c>
      <c r="D11">
        <v>46186.753461946777</v>
      </c>
    </row>
    <row r="12" spans="1:10" x14ac:dyDescent="0.2">
      <c r="A12">
        <v>2021</v>
      </c>
      <c r="B12" t="s">
        <v>8</v>
      </c>
      <c r="C12">
        <v>0.20898056863055159</v>
      </c>
      <c r="D12">
        <v>549215.35402032523</v>
      </c>
    </row>
    <row r="13" spans="1:10" x14ac:dyDescent="0.2">
      <c r="A13">
        <v>2021</v>
      </c>
      <c r="B13" t="s">
        <v>9</v>
      </c>
      <c r="C13">
        <v>0.37117797339007091</v>
      </c>
      <c r="D13">
        <v>380032.05276731763</v>
      </c>
    </row>
    <row r="14" spans="1:10" x14ac:dyDescent="0.2">
      <c r="A14">
        <v>2022</v>
      </c>
      <c r="B14" t="s">
        <v>4</v>
      </c>
      <c r="C14">
        <v>0.21984846017749729</v>
      </c>
      <c r="D14">
        <v>724295.14902396849</v>
      </c>
    </row>
    <row r="15" spans="1:10" x14ac:dyDescent="0.2">
      <c r="A15">
        <v>2022</v>
      </c>
      <c r="B15" t="s">
        <v>5</v>
      </c>
      <c r="C15">
        <v>0.39121206701193961</v>
      </c>
      <c r="D15">
        <v>793185.98677531059</v>
      </c>
    </row>
    <row r="16" spans="1:10" x14ac:dyDescent="0.2">
      <c r="A16">
        <v>2022</v>
      </c>
      <c r="B16" t="s">
        <v>6</v>
      </c>
      <c r="C16">
        <v>0.42943674301096568</v>
      </c>
      <c r="D16">
        <v>339797.83502182883</v>
      </c>
    </row>
    <row r="17" spans="1:4" x14ac:dyDescent="0.2">
      <c r="A17">
        <v>2022</v>
      </c>
      <c r="B17" t="s">
        <v>7</v>
      </c>
      <c r="C17">
        <v>0.1932042366072115</v>
      </c>
      <c r="D17">
        <v>49274.808504303219</v>
      </c>
    </row>
    <row r="18" spans="1:4" x14ac:dyDescent="0.2">
      <c r="A18">
        <v>2022</v>
      </c>
      <c r="B18" t="s">
        <v>8</v>
      </c>
      <c r="C18">
        <v>0.21625710074673951</v>
      </c>
      <c r="D18">
        <v>581100.13027454878</v>
      </c>
    </row>
    <row r="19" spans="1:4" x14ac:dyDescent="0.2">
      <c r="A19">
        <v>2022</v>
      </c>
      <c r="B19" t="s">
        <v>9</v>
      </c>
      <c r="C19">
        <v>0.37493045706627531</v>
      </c>
      <c r="D19">
        <v>389623.2318177885</v>
      </c>
    </row>
    <row r="20" spans="1:4" x14ac:dyDescent="0.2">
      <c r="A20">
        <v>2023</v>
      </c>
      <c r="B20" t="s">
        <v>4</v>
      </c>
      <c r="C20">
        <v>0.22678072224761761</v>
      </c>
      <c r="D20">
        <v>759333.97435469856</v>
      </c>
    </row>
    <row r="21" spans="1:4" x14ac:dyDescent="0.2">
      <c r="A21">
        <v>2023</v>
      </c>
      <c r="B21" t="s">
        <v>5</v>
      </c>
      <c r="C21">
        <v>0.39545449319008458</v>
      </c>
      <c r="D21">
        <v>814758.05595547683</v>
      </c>
    </row>
    <row r="22" spans="1:4" x14ac:dyDescent="0.2">
      <c r="A22">
        <v>2023</v>
      </c>
      <c r="B22" t="s">
        <v>6</v>
      </c>
      <c r="C22">
        <v>0.43445685933200268</v>
      </c>
      <c r="D22">
        <v>348796.3037480897</v>
      </c>
    </row>
    <row r="23" spans="1:4" x14ac:dyDescent="0.2">
      <c r="A23">
        <v>2023</v>
      </c>
      <c r="B23" t="s">
        <v>7</v>
      </c>
      <c r="C23">
        <v>0.2027326567283825</v>
      </c>
      <c r="D23">
        <v>52363.412441060471</v>
      </c>
    </row>
    <row r="24" spans="1:4" x14ac:dyDescent="0.2">
      <c r="A24">
        <v>2023</v>
      </c>
      <c r="B24" t="s">
        <v>8</v>
      </c>
      <c r="C24">
        <v>0.22353363286292741</v>
      </c>
      <c r="D24">
        <v>613256.25101502542</v>
      </c>
    </row>
    <row r="25" spans="1:4" x14ac:dyDescent="0.2">
      <c r="A25">
        <v>2023</v>
      </c>
      <c r="B25" t="s">
        <v>9</v>
      </c>
      <c r="C25">
        <v>0.37868294074247982</v>
      </c>
      <c r="D25">
        <v>402358.57688064041</v>
      </c>
    </row>
    <row r="26" spans="1:4" x14ac:dyDescent="0.2">
      <c r="A26">
        <v>2024</v>
      </c>
      <c r="B26" t="s">
        <v>4</v>
      </c>
      <c r="C26">
        <v>0.2337129843177379</v>
      </c>
      <c r="D26">
        <v>794385.05829735182</v>
      </c>
    </row>
    <row r="27" spans="1:4" x14ac:dyDescent="0.2">
      <c r="A27">
        <v>2024</v>
      </c>
      <c r="B27" t="s">
        <v>5</v>
      </c>
      <c r="C27">
        <v>0.3996969193682296</v>
      </c>
      <c r="D27">
        <v>836722.73312701622</v>
      </c>
    </row>
    <row r="28" spans="1:4" x14ac:dyDescent="0.2">
      <c r="A28">
        <v>2024</v>
      </c>
      <c r="B28" t="s">
        <v>6</v>
      </c>
      <c r="C28">
        <v>0.43947697565303961</v>
      </c>
      <c r="D28">
        <v>357710.96590186458</v>
      </c>
    </row>
    <row r="29" spans="1:4" x14ac:dyDescent="0.2">
      <c r="A29">
        <v>2024</v>
      </c>
      <c r="B29" t="s">
        <v>7</v>
      </c>
      <c r="C29">
        <v>0.21226107684955359</v>
      </c>
      <c r="D29">
        <v>55442.805534180239</v>
      </c>
    </row>
    <row r="30" spans="1:4" x14ac:dyDescent="0.2">
      <c r="A30">
        <v>2024</v>
      </c>
      <c r="B30" t="s">
        <v>8</v>
      </c>
      <c r="C30">
        <v>0.2308101649791153</v>
      </c>
      <c r="D30">
        <v>647222.86197371141</v>
      </c>
    </row>
    <row r="31" spans="1:4" x14ac:dyDescent="0.2">
      <c r="A31">
        <v>2024</v>
      </c>
      <c r="B31" t="s">
        <v>9</v>
      </c>
      <c r="C31">
        <v>0.38243542441868422</v>
      </c>
      <c r="D31">
        <v>411786.5783719694</v>
      </c>
    </row>
    <row r="32" spans="1:4" x14ac:dyDescent="0.2">
      <c r="A32">
        <v>2025</v>
      </c>
      <c r="B32" t="s">
        <v>4</v>
      </c>
      <c r="C32">
        <v>0.2406452463878582</v>
      </c>
      <c r="D32">
        <v>825874.03075718624</v>
      </c>
    </row>
    <row r="33" spans="1:4" x14ac:dyDescent="0.2">
      <c r="A33">
        <v>2025</v>
      </c>
      <c r="B33" t="s">
        <v>5</v>
      </c>
      <c r="C33">
        <v>0.40393934554637462</v>
      </c>
      <c r="D33">
        <v>855208.26421041798</v>
      </c>
    </row>
    <row r="34" spans="1:4" x14ac:dyDescent="0.2">
      <c r="A34">
        <v>2025</v>
      </c>
      <c r="B34" t="s">
        <v>6</v>
      </c>
      <c r="C34">
        <v>0.44449709197407661</v>
      </c>
      <c r="D34">
        <v>365329.93740803358</v>
      </c>
    </row>
    <row r="35" spans="1:4" x14ac:dyDescent="0.2">
      <c r="A35">
        <v>2025</v>
      </c>
      <c r="B35" t="s">
        <v>7</v>
      </c>
      <c r="C35">
        <v>0.22178949697072459</v>
      </c>
      <c r="D35">
        <v>58582.146992865361</v>
      </c>
    </row>
    <row r="36" spans="1:4" x14ac:dyDescent="0.2">
      <c r="A36">
        <v>2025</v>
      </c>
      <c r="B36" t="s">
        <v>8</v>
      </c>
      <c r="C36">
        <v>0.23808669709530311</v>
      </c>
      <c r="D36">
        <v>678179.71894799592</v>
      </c>
    </row>
    <row r="37" spans="1:4" x14ac:dyDescent="0.2">
      <c r="A37">
        <v>2025</v>
      </c>
      <c r="B37" t="s">
        <v>9</v>
      </c>
      <c r="C37">
        <v>0.38618790809488868</v>
      </c>
      <c r="D37">
        <v>421376.96409258677</v>
      </c>
    </row>
    <row r="38" spans="1:4" x14ac:dyDescent="0.2">
      <c r="A38">
        <v>2026</v>
      </c>
      <c r="B38" t="s">
        <v>4</v>
      </c>
      <c r="C38">
        <v>0.24757750845797849</v>
      </c>
      <c r="D38">
        <v>858492.58858114085</v>
      </c>
    </row>
    <row r="39" spans="1:4" x14ac:dyDescent="0.2">
      <c r="A39">
        <v>2026</v>
      </c>
      <c r="B39" t="s">
        <v>5</v>
      </c>
      <c r="C39">
        <v>0.40818177172451958</v>
      </c>
      <c r="D39">
        <v>874979.26223222376</v>
      </c>
    </row>
    <row r="40" spans="1:4" x14ac:dyDescent="0.2">
      <c r="A40">
        <v>2026</v>
      </c>
      <c r="B40" t="s">
        <v>6</v>
      </c>
      <c r="C40">
        <v>0.44951720829511349</v>
      </c>
      <c r="D40">
        <v>373441.36548045679</v>
      </c>
    </row>
    <row r="41" spans="1:4" x14ac:dyDescent="0.2">
      <c r="A41">
        <v>2026</v>
      </c>
      <c r="B41" t="s">
        <v>7</v>
      </c>
      <c r="C41">
        <v>0.23131791709189559</v>
      </c>
      <c r="D41">
        <v>61754.250372272087</v>
      </c>
    </row>
    <row r="42" spans="1:4" x14ac:dyDescent="0.2">
      <c r="A42">
        <v>2026</v>
      </c>
      <c r="B42" t="s">
        <v>8</v>
      </c>
      <c r="C42">
        <v>0.24536322921149101</v>
      </c>
      <c r="D42">
        <v>710622.94734815392</v>
      </c>
    </row>
    <row r="43" spans="1:4" x14ac:dyDescent="0.2">
      <c r="A43">
        <v>2026</v>
      </c>
      <c r="B43" t="s">
        <v>9</v>
      </c>
      <c r="C43">
        <v>0.38994039177109308</v>
      </c>
      <c r="D43">
        <v>432121.02382975578</v>
      </c>
    </row>
    <row r="44" spans="1:4" x14ac:dyDescent="0.2">
      <c r="A44">
        <v>2027</v>
      </c>
      <c r="B44" t="s">
        <v>4</v>
      </c>
      <c r="C44">
        <v>0.25450977052809881</v>
      </c>
      <c r="D44">
        <v>893460.36708544858</v>
      </c>
    </row>
    <row r="45" spans="1:4" x14ac:dyDescent="0.2">
      <c r="A45">
        <v>2027</v>
      </c>
      <c r="B45" t="s">
        <v>5</v>
      </c>
      <c r="C45">
        <v>0.41242419790266471</v>
      </c>
      <c r="D45">
        <v>897554.65765359008</v>
      </c>
    </row>
    <row r="46" spans="1:4" x14ac:dyDescent="0.2">
      <c r="A46">
        <v>2027</v>
      </c>
      <c r="B46" t="s">
        <v>6</v>
      </c>
      <c r="C46">
        <v>0.45453732461615037</v>
      </c>
      <c r="D46">
        <v>382193.61856756848</v>
      </c>
    </row>
    <row r="47" spans="1:4" x14ac:dyDescent="0.2">
      <c r="A47">
        <v>2027</v>
      </c>
      <c r="B47" t="s">
        <v>7</v>
      </c>
      <c r="C47">
        <v>0.24084633721306661</v>
      </c>
      <c r="D47">
        <v>64955.293761015208</v>
      </c>
    </row>
    <row r="48" spans="1:4" x14ac:dyDescent="0.2">
      <c r="A48">
        <v>2027</v>
      </c>
      <c r="B48" t="s">
        <v>8</v>
      </c>
      <c r="C48">
        <v>0.2526397613276789</v>
      </c>
      <c r="D48">
        <v>745475.51253884193</v>
      </c>
    </row>
    <row r="49" spans="1:4" x14ac:dyDescent="0.2">
      <c r="A49">
        <v>2027</v>
      </c>
      <c r="B49" t="s">
        <v>9</v>
      </c>
      <c r="C49">
        <v>0.39369287544729759</v>
      </c>
      <c r="D49">
        <v>443809.97849173861</v>
      </c>
    </row>
    <row r="50" spans="1:4" x14ac:dyDescent="0.2">
      <c r="A50">
        <v>2028</v>
      </c>
      <c r="B50" t="s">
        <v>4</v>
      </c>
      <c r="C50">
        <v>0.26144203259821902</v>
      </c>
      <c r="D50">
        <v>931388.28689928562</v>
      </c>
    </row>
    <row r="51" spans="1:4" x14ac:dyDescent="0.2">
      <c r="A51">
        <v>2028</v>
      </c>
      <c r="B51" t="s">
        <v>5</v>
      </c>
      <c r="C51">
        <v>0.41666662408080962</v>
      </c>
      <c r="D51">
        <v>923109.07231931866</v>
      </c>
    </row>
    <row r="52" spans="1:4" x14ac:dyDescent="0.2">
      <c r="A52">
        <v>2028</v>
      </c>
      <c r="B52" t="s">
        <v>6</v>
      </c>
      <c r="C52">
        <v>0.45955744093718742</v>
      </c>
      <c r="D52">
        <v>391344.41086399881</v>
      </c>
    </row>
    <row r="53" spans="1:4" x14ac:dyDescent="0.2">
      <c r="A53">
        <v>2028</v>
      </c>
      <c r="B53" t="s">
        <v>7</v>
      </c>
      <c r="C53">
        <v>0.25037475733423759</v>
      </c>
      <c r="D53">
        <v>68164.026934731533</v>
      </c>
    </row>
    <row r="54" spans="1:4" x14ac:dyDescent="0.2">
      <c r="A54">
        <v>2028</v>
      </c>
      <c r="B54" t="s">
        <v>8</v>
      </c>
      <c r="C54">
        <v>0.25991629344386669</v>
      </c>
      <c r="D54">
        <v>782938.83300103678</v>
      </c>
    </row>
    <row r="55" spans="1:4" x14ac:dyDescent="0.2">
      <c r="A55">
        <v>2028</v>
      </c>
      <c r="B55" t="s">
        <v>9</v>
      </c>
      <c r="C55">
        <v>0.39744535912350198</v>
      </c>
      <c r="D55">
        <v>455876.98093112098</v>
      </c>
    </row>
    <row r="56" spans="1:4" x14ac:dyDescent="0.2">
      <c r="A56">
        <v>2029</v>
      </c>
      <c r="B56" t="s">
        <v>4</v>
      </c>
      <c r="C56">
        <v>0.26837429466833929</v>
      </c>
      <c r="D56">
        <v>971718.37441474677</v>
      </c>
    </row>
    <row r="57" spans="1:4" x14ac:dyDescent="0.2">
      <c r="A57">
        <v>2029</v>
      </c>
      <c r="B57" t="s">
        <v>5</v>
      </c>
      <c r="C57">
        <v>0.42090905025895459</v>
      </c>
      <c r="D57">
        <v>950642.87273521128</v>
      </c>
    </row>
    <row r="58" spans="1:4" x14ac:dyDescent="0.2">
      <c r="A58">
        <v>2029</v>
      </c>
      <c r="B58" t="s">
        <v>6</v>
      </c>
      <c r="C58">
        <v>0.46457755725822431</v>
      </c>
      <c r="D58">
        <v>400501.16225094098</v>
      </c>
    </row>
    <row r="59" spans="1:4" x14ac:dyDescent="0.2">
      <c r="A59">
        <v>2029</v>
      </c>
      <c r="B59" t="s">
        <v>7</v>
      </c>
      <c r="C59">
        <v>0.25990317745540858</v>
      </c>
      <c r="D59">
        <v>71384.486913547633</v>
      </c>
    </row>
    <row r="60" spans="1:4" x14ac:dyDescent="0.2">
      <c r="A60">
        <v>2029</v>
      </c>
      <c r="B60" t="s">
        <v>8</v>
      </c>
      <c r="C60">
        <v>0.26719282556005458</v>
      </c>
      <c r="D60">
        <v>822204.15965644678</v>
      </c>
    </row>
    <row r="61" spans="1:4" x14ac:dyDescent="0.2">
      <c r="A61">
        <v>2029</v>
      </c>
      <c r="B61" t="s">
        <v>9</v>
      </c>
      <c r="C61">
        <v>0.40119784279970649</v>
      </c>
      <c r="D61">
        <v>468236.79873800912</v>
      </c>
    </row>
    <row r="62" spans="1:4" x14ac:dyDescent="0.2">
      <c r="A62">
        <v>2030</v>
      </c>
      <c r="B62" t="s">
        <v>4</v>
      </c>
      <c r="C62">
        <v>0.27530655673845961</v>
      </c>
      <c r="D62">
        <v>1013403.710660827</v>
      </c>
    </row>
    <row r="63" spans="1:4" x14ac:dyDescent="0.2">
      <c r="A63">
        <v>2030</v>
      </c>
      <c r="B63" t="s">
        <v>5</v>
      </c>
      <c r="C63">
        <v>0.42515147643709972</v>
      </c>
      <c r="D63">
        <v>978823.26814079948</v>
      </c>
    </row>
    <row r="64" spans="1:4" x14ac:dyDescent="0.2">
      <c r="A64">
        <v>2030</v>
      </c>
      <c r="B64" t="s">
        <v>6</v>
      </c>
      <c r="C64">
        <v>0.46959767357926119</v>
      </c>
      <c r="D64">
        <v>409395.25182639988</v>
      </c>
    </row>
    <row r="65" spans="1:4" x14ac:dyDescent="0.2">
      <c r="A65">
        <v>2030</v>
      </c>
      <c r="B65" t="s">
        <v>7</v>
      </c>
      <c r="C65">
        <v>0.26943159757657958</v>
      </c>
      <c r="D65">
        <v>74584.863135941501</v>
      </c>
    </row>
    <row r="66" spans="1:4" x14ac:dyDescent="0.2">
      <c r="A66">
        <v>2030</v>
      </c>
      <c r="B66" t="s">
        <v>8</v>
      </c>
      <c r="C66">
        <v>0.27446935767624248</v>
      </c>
      <c r="D66">
        <v>862130.48447904957</v>
      </c>
    </row>
    <row r="67" spans="1:4" x14ac:dyDescent="0.2">
      <c r="A67">
        <v>2030</v>
      </c>
      <c r="B67" t="s">
        <v>9</v>
      </c>
      <c r="C67">
        <v>0.40495032647591089</v>
      </c>
      <c r="D67">
        <v>480528.63560806907</v>
      </c>
    </row>
    <row r="68" spans="1:4" x14ac:dyDescent="0.2">
      <c r="A68">
        <v>2031</v>
      </c>
      <c r="B68" t="s">
        <v>4</v>
      </c>
      <c r="C68">
        <v>0.28223881880857993</v>
      </c>
      <c r="D68">
        <v>1055424.160247758</v>
      </c>
    </row>
    <row r="69" spans="1:4" x14ac:dyDescent="0.2">
      <c r="A69">
        <v>2031</v>
      </c>
      <c r="B69" t="s">
        <v>5</v>
      </c>
      <c r="C69">
        <v>0.42939390261524468</v>
      </c>
      <c r="D69">
        <v>1007121.07010112</v>
      </c>
    </row>
    <row r="70" spans="1:4" x14ac:dyDescent="0.2">
      <c r="A70">
        <v>2031</v>
      </c>
      <c r="B70" t="s">
        <v>6</v>
      </c>
      <c r="C70">
        <v>0.47461778990029818</v>
      </c>
      <c r="D70">
        <v>417933.23801692581</v>
      </c>
    </row>
    <row r="71" spans="1:4" x14ac:dyDescent="0.2">
      <c r="A71">
        <v>2031</v>
      </c>
      <c r="B71" t="s">
        <v>7</v>
      </c>
      <c r="C71">
        <v>0.2789600176977507</v>
      </c>
      <c r="D71">
        <v>77738.06709184988</v>
      </c>
    </row>
    <row r="72" spans="1:4" x14ac:dyDescent="0.2">
      <c r="A72">
        <v>2031</v>
      </c>
      <c r="B72" t="s">
        <v>8</v>
      </c>
      <c r="C72">
        <v>0.28174588979243043</v>
      </c>
      <c r="D72">
        <v>902161.8906968435</v>
      </c>
    </row>
    <row r="73" spans="1:4" x14ac:dyDescent="0.2">
      <c r="A73">
        <v>2031</v>
      </c>
      <c r="B73" t="s">
        <v>9</v>
      </c>
      <c r="C73">
        <v>0.4087028101521154</v>
      </c>
      <c r="D73">
        <v>492533.88705646648</v>
      </c>
    </row>
    <row r="74" spans="1:4" x14ac:dyDescent="0.2">
      <c r="A74">
        <v>2032</v>
      </c>
      <c r="B74" t="s">
        <v>4</v>
      </c>
      <c r="C74">
        <v>0.28917108087870008</v>
      </c>
      <c r="D74">
        <v>1097793.1870384491</v>
      </c>
    </row>
    <row r="75" spans="1:4" x14ac:dyDescent="0.2">
      <c r="A75">
        <v>2032</v>
      </c>
      <c r="B75" t="s">
        <v>5</v>
      </c>
      <c r="C75">
        <v>0.4336363287933897</v>
      </c>
      <c r="D75">
        <v>1036124.573110322</v>
      </c>
    </row>
    <row r="76" spans="1:4" x14ac:dyDescent="0.2">
      <c r="A76">
        <v>2032</v>
      </c>
      <c r="B76" t="s">
        <v>6</v>
      </c>
      <c r="C76">
        <v>0.47963790622133512</v>
      </c>
      <c r="D76">
        <v>426262.36110330629</v>
      </c>
    </row>
    <row r="77" spans="1:4" x14ac:dyDescent="0.2">
      <c r="A77">
        <v>2032</v>
      </c>
      <c r="B77" t="s">
        <v>7</v>
      </c>
      <c r="C77">
        <v>0.28848843781892169</v>
      </c>
      <c r="D77">
        <v>80870.232843151403</v>
      </c>
    </row>
    <row r="78" spans="1:4" x14ac:dyDescent="0.2">
      <c r="A78">
        <v>2032</v>
      </c>
      <c r="B78" t="s">
        <v>8</v>
      </c>
      <c r="C78">
        <v>0.28902242190861832</v>
      </c>
      <c r="D78">
        <v>942660.50213121006</v>
      </c>
    </row>
    <row r="79" spans="1:4" x14ac:dyDescent="0.2">
      <c r="A79">
        <v>2032</v>
      </c>
      <c r="B79" t="s">
        <v>9</v>
      </c>
      <c r="C79">
        <v>0.41245529382831991</v>
      </c>
      <c r="D79">
        <v>504509.95349198108</v>
      </c>
    </row>
    <row r="80" spans="1:4" x14ac:dyDescent="0.2">
      <c r="A80">
        <v>2033</v>
      </c>
      <c r="B80" t="s">
        <v>4</v>
      </c>
      <c r="C80">
        <v>0.29610334294882051</v>
      </c>
      <c r="D80">
        <v>1141275.852381126</v>
      </c>
    </row>
    <row r="81" spans="1:4" x14ac:dyDescent="0.2">
      <c r="A81">
        <v>2033</v>
      </c>
      <c r="B81" t="s">
        <v>5</v>
      </c>
      <c r="C81">
        <v>0.43787875497153472</v>
      </c>
      <c r="D81">
        <v>1066102.9668504409</v>
      </c>
    </row>
    <row r="82" spans="1:4" x14ac:dyDescent="0.2">
      <c r="A82">
        <v>2033</v>
      </c>
      <c r="B82" t="s">
        <v>6</v>
      </c>
      <c r="C82">
        <v>0.48465802254237211</v>
      </c>
      <c r="D82">
        <v>434637.43735181889</v>
      </c>
    </row>
    <row r="83" spans="1:4" x14ac:dyDescent="0.2">
      <c r="A83">
        <v>2033</v>
      </c>
      <c r="B83" t="s">
        <v>7</v>
      </c>
      <c r="C83">
        <v>0.29801685794009269</v>
      </c>
      <c r="D83">
        <v>84023.468961345614</v>
      </c>
    </row>
    <row r="84" spans="1:4" x14ac:dyDescent="0.2">
      <c r="A84">
        <v>2033</v>
      </c>
      <c r="B84" t="s">
        <v>8</v>
      </c>
      <c r="C84">
        <v>0.29629895402480622</v>
      </c>
      <c r="D84">
        <v>984412.97808967112</v>
      </c>
    </row>
    <row r="85" spans="1:4" x14ac:dyDescent="0.2">
      <c r="A85">
        <v>2033</v>
      </c>
      <c r="B85" t="s">
        <v>9</v>
      </c>
      <c r="C85">
        <v>0.41620777750452431</v>
      </c>
      <c r="D85">
        <v>516846.40189734078</v>
      </c>
    </row>
    <row r="86" spans="1:4" x14ac:dyDescent="0.2">
      <c r="A86">
        <v>2034</v>
      </c>
      <c r="B86" t="s">
        <v>4</v>
      </c>
      <c r="C86">
        <v>0.30303560501894072</v>
      </c>
      <c r="D86">
        <v>1185844.3842010091</v>
      </c>
    </row>
    <row r="87" spans="1:4" x14ac:dyDescent="0.2">
      <c r="A87">
        <v>2034</v>
      </c>
      <c r="B87" t="s">
        <v>5</v>
      </c>
      <c r="C87">
        <v>0.44212118114967969</v>
      </c>
      <c r="D87">
        <v>1096721.380748084</v>
      </c>
    </row>
    <row r="88" spans="1:4" x14ac:dyDescent="0.2">
      <c r="A88">
        <v>2034</v>
      </c>
      <c r="B88" t="s">
        <v>6</v>
      </c>
      <c r="C88">
        <v>0.489678138863409</v>
      </c>
      <c r="D88">
        <v>443015.23997669818</v>
      </c>
    </row>
    <row r="89" spans="1:4" x14ac:dyDescent="0.2">
      <c r="A89">
        <v>2034</v>
      </c>
      <c r="B89" t="s">
        <v>7</v>
      </c>
      <c r="C89">
        <v>0.30754527806126369</v>
      </c>
      <c r="D89">
        <v>87185.703332309597</v>
      </c>
    </row>
    <row r="90" spans="1:4" x14ac:dyDescent="0.2">
      <c r="A90">
        <v>2034</v>
      </c>
      <c r="B90" t="s">
        <v>8</v>
      </c>
      <c r="C90">
        <v>0.303575486140994</v>
      </c>
      <c r="D90">
        <v>1027355.302990574</v>
      </c>
    </row>
    <row r="91" spans="1:4" x14ac:dyDescent="0.2">
      <c r="A91">
        <v>2034</v>
      </c>
      <c r="B91" t="s">
        <v>9</v>
      </c>
      <c r="C91">
        <v>0.41996026118072882</v>
      </c>
      <c r="D91">
        <v>529467.83900543209</v>
      </c>
    </row>
    <row r="92" spans="1:4" x14ac:dyDescent="0.2">
      <c r="A92">
        <v>2035</v>
      </c>
      <c r="B92" t="s">
        <v>4</v>
      </c>
      <c r="C92">
        <v>0.30996786708906099</v>
      </c>
      <c r="D92">
        <v>1231374.629183599</v>
      </c>
    </row>
    <row r="93" spans="1:4" x14ac:dyDescent="0.2">
      <c r="A93">
        <v>2035</v>
      </c>
      <c r="B93" t="s">
        <v>5</v>
      </c>
      <c r="C93">
        <v>0.44636360732782482</v>
      </c>
      <c r="D93">
        <v>1127834.961180147</v>
      </c>
    </row>
    <row r="94" spans="1:4" x14ac:dyDescent="0.2">
      <c r="A94">
        <v>2035</v>
      </c>
      <c r="B94" t="s">
        <v>6</v>
      </c>
      <c r="C94">
        <v>0.49469825518444588</v>
      </c>
      <c r="D94">
        <v>451416.6101401035</v>
      </c>
    </row>
    <row r="95" spans="1:4" x14ac:dyDescent="0.2">
      <c r="A95">
        <v>2035</v>
      </c>
      <c r="B95" t="s">
        <v>7</v>
      </c>
      <c r="C95">
        <v>0.31707369818243469</v>
      </c>
      <c r="D95">
        <v>90360.930802822986</v>
      </c>
    </row>
    <row r="96" spans="1:4" x14ac:dyDescent="0.2">
      <c r="A96">
        <v>2035</v>
      </c>
      <c r="B96" t="s">
        <v>8</v>
      </c>
      <c r="C96">
        <v>0.31085201825718189</v>
      </c>
      <c r="D96">
        <v>1071373.240564656</v>
      </c>
    </row>
    <row r="97" spans="1:4" x14ac:dyDescent="0.2">
      <c r="A97">
        <v>2035</v>
      </c>
      <c r="B97" t="s">
        <v>9</v>
      </c>
      <c r="C97">
        <v>0.42371274485693322</v>
      </c>
      <c r="D97">
        <v>540597.50103101449</v>
      </c>
    </row>
    <row r="98" spans="1:4" x14ac:dyDescent="0.2">
      <c r="A98">
        <v>2036</v>
      </c>
      <c r="B98" t="s">
        <v>4</v>
      </c>
      <c r="C98">
        <v>0.31690012915918131</v>
      </c>
      <c r="D98">
        <v>1277844.9471120541</v>
      </c>
    </row>
    <row r="99" spans="1:4" x14ac:dyDescent="0.2">
      <c r="A99">
        <v>2036</v>
      </c>
      <c r="B99" t="s">
        <v>5</v>
      </c>
      <c r="C99">
        <v>0.45060603350596978</v>
      </c>
      <c r="D99">
        <v>1159409.3242108601</v>
      </c>
    </row>
    <row r="100" spans="1:4" x14ac:dyDescent="0.2">
      <c r="A100">
        <v>2036</v>
      </c>
      <c r="B100" t="s">
        <v>6</v>
      </c>
      <c r="C100">
        <v>0.49971837150548282</v>
      </c>
      <c r="D100">
        <v>459870.82856163557</v>
      </c>
    </row>
    <row r="101" spans="1:4" x14ac:dyDescent="0.2">
      <c r="A101">
        <v>2036</v>
      </c>
      <c r="B101" t="s">
        <v>7</v>
      </c>
      <c r="C101">
        <v>0.32660211830360569</v>
      </c>
      <c r="D101">
        <v>93552.89057323974</v>
      </c>
    </row>
    <row r="102" spans="1:4" x14ac:dyDescent="0.2">
      <c r="A102">
        <v>2036</v>
      </c>
      <c r="B102" t="s">
        <v>8</v>
      </c>
      <c r="C102">
        <v>0.31812855037336968</v>
      </c>
      <c r="D102">
        <v>1116430.4726952419</v>
      </c>
    </row>
    <row r="103" spans="1:4" x14ac:dyDescent="0.2">
      <c r="A103">
        <v>2036</v>
      </c>
      <c r="B103" t="s">
        <v>9</v>
      </c>
      <c r="C103">
        <v>0.42746522853313762</v>
      </c>
      <c r="D103">
        <v>553093.06851312972</v>
      </c>
    </row>
    <row r="104" spans="1:4" x14ac:dyDescent="0.2">
      <c r="A104">
        <v>2037</v>
      </c>
      <c r="B104" t="s">
        <v>4</v>
      </c>
      <c r="C104">
        <v>0.32383239122930157</v>
      </c>
      <c r="D104">
        <v>1325250.382537229</v>
      </c>
    </row>
    <row r="105" spans="1:4" x14ac:dyDescent="0.2">
      <c r="A105">
        <v>2037</v>
      </c>
      <c r="B105" t="s">
        <v>5</v>
      </c>
      <c r="C105">
        <v>0.4548484596841148</v>
      </c>
      <c r="D105">
        <v>1191436.8780234661</v>
      </c>
    </row>
    <row r="106" spans="1:4" x14ac:dyDescent="0.2">
      <c r="A106">
        <v>2037</v>
      </c>
      <c r="B106" t="s">
        <v>6</v>
      </c>
      <c r="C106">
        <v>0.50473848782651975</v>
      </c>
      <c r="D106">
        <v>468377.63190198509</v>
      </c>
    </row>
    <row r="107" spans="1:4" x14ac:dyDescent="0.2">
      <c r="A107">
        <v>2037</v>
      </c>
      <c r="B107" t="s">
        <v>7</v>
      </c>
      <c r="C107">
        <v>0.3361305384247768</v>
      </c>
      <c r="D107">
        <v>96760.889704725225</v>
      </c>
    </row>
    <row r="108" spans="1:4" x14ac:dyDescent="0.2">
      <c r="A108">
        <v>2037</v>
      </c>
      <c r="B108" t="s">
        <v>8</v>
      </c>
      <c r="C108">
        <v>0.32540508248955757</v>
      </c>
      <c r="D108">
        <v>1162527.2290683989</v>
      </c>
    </row>
    <row r="109" spans="1:4" x14ac:dyDescent="0.2">
      <c r="A109">
        <v>2037</v>
      </c>
      <c r="B109" t="s">
        <v>9</v>
      </c>
      <c r="C109">
        <v>0.43121771220934207</v>
      </c>
      <c r="D109">
        <v>565723.963395464</v>
      </c>
    </row>
    <row r="110" spans="1:4" x14ac:dyDescent="0.2">
      <c r="A110">
        <v>2038</v>
      </c>
      <c r="B110" t="s">
        <v>4</v>
      </c>
      <c r="C110">
        <v>0.33076465329942178</v>
      </c>
      <c r="D110">
        <v>1373567.698815122</v>
      </c>
    </row>
    <row r="111" spans="1:4" x14ac:dyDescent="0.2">
      <c r="A111">
        <v>2038</v>
      </c>
      <c r="B111" t="s">
        <v>5</v>
      </c>
      <c r="C111">
        <v>0.45909088586225982</v>
      </c>
      <c r="D111">
        <v>1223888.097165769</v>
      </c>
    </row>
    <row r="112" spans="1:4" x14ac:dyDescent="0.2">
      <c r="A112">
        <v>2038</v>
      </c>
      <c r="B112" t="s">
        <v>6</v>
      </c>
      <c r="C112">
        <v>0.50975860414755669</v>
      </c>
      <c r="D112">
        <v>476925.56221301667</v>
      </c>
    </row>
    <row r="113" spans="1:4" x14ac:dyDescent="0.2">
      <c r="A113">
        <v>2038</v>
      </c>
      <c r="B113" t="s">
        <v>7</v>
      </c>
      <c r="C113">
        <v>0.3456589585459478</v>
      </c>
      <c r="D113">
        <v>99981.508100456849</v>
      </c>
    </row>
    <row r="114" spans="1:4" x14ac:dyDescent="0.2">
      <c r="A114">
        <v>2038</v>
      </c>
      <c r="B114" t="s">
        <v>8</v>
      </c>
      <c r="C114">
        <v>0.33268161460574552</v>
      </c>
      <c r="D114">
        <v>1209634.675567481</v>
      </c>
    </row>
    <row r="115" spans="1:4" x14ac:dyDescent="0.2">
      <c r="A115">
        <v>2038</v>
      </c>
      <c r="B115" t="s">
        <v>9</v>
      </c>
      <c r="C115">
        <v>0.43497019588554647</v>
      </c>
      <c r="D115">
        <v>578490.18567801698</v>
      </c>
    </row>
    <row r="116" spans="1:4" x14ac:dyDescent="0.2">
      <c r="A116">
        <v>2039</v>
      </c>
      <c r="B116" t="s">
        <v>4</v>
      </c>
      <c r="C116">
        <v>0.33769691536954211</v>
      </c>
      <c r="D116">
        <v>1422756.614990979</v>
      </c>
    </row>
    <row r="117" spans="1:4" x14ac:dyDescent="0.2">
      <c r="A117">
        <v>2039</v>
      </c>
      <c r="B117" t="s">
        <v>5</v>
      </c>
      <c r="C117">
        <v>0.46333331204040479</v>
      </c>
      <c r="D117">
        <v>1256735.0822455289</v>
      </c>
    </row>
    <row r="118" spans="1:4" x14ac:dyDescent="0.2">
      <c r="A118">
        <v>2039</v>
      </c>
      <c r="B118" t="s">
        <v>6</v>
      </c>
      <c r="C118">
        <v>0.51477872046859363</v>
      </c>
      <c r="D118">
        <v>485502.22507810377</v>
      </c>
    </row>
    <row r="119" spans="1:4" x14ac:dyDescent="0.2">
      <c r="A119">
        <v>2039</v>
      </c>
      <c r="B119" t="s">
        <v>7</v>
      </c>
      <c r="C119">
        <v>0.3551873786671188</v>
      </c>
      <c r="D119">
        <v>103212.8348047421</v>
      </c>
    </row>
    <row r="120" spans="1:4" x14ac:dyDescent="0.2">
      <c r="A120">
        <v>2039</v>
      </c>
      <c r="B120" t="s">
        <v>8</v>
      </c>
      <c r="C120">
        <v>0.33995814672193342</v>
      </c>
      <c r="D120">
        <v>1257716.2987335459</v>
      </c>
    </row>
    <row r="121" spans="1:4" x14ac:dyDescent="0.2">
      <c r="A121">
        <v>2039</v>
      </c>
      <c r="B121" t="s">
        <v>9</v>
      </c>
      <c r="C121">
        <v>0.43872267956175098</v>
      </c>
      <c r="D121">
        <v>591391.73536078865</v>
      </c>
    </row>
    <row r="122" spans="1:4" x14ac:dyDescent="0.2">
      <c r="A122">
        <v>2040</v>
      </c>
      <c r="B122" t="s">
        <v>4</v>
      </c>
      <c r="C122">
        <v>0.34462917743966243</v>
      </c>
      <c r="D122">
        <v>1472900.30258405</v>
      </c>
    </row>
    <row r="123" spans="1:4" x14ac:dyDescent="0.2">
      <c r="A123">
        <v>2040</v>
      </c>
      <c r="B123" t="s">
        <v>5</v>
      </c>
      <c r="C123">
        <v>0.46757573821854992</v>
      </c>
      <c r="D123">
        <v>1290095.7005306119</v>
      </c>
    </row>
    <row r="124" spans="1:4" x14ac:dyDescent="0.2">
      <c r="A124">
        <v>2040</v>
      </c>
      <c r="B124" t="s">
        <v>6</v>
      </c>
      <c r="C124">
        <v>0.51979883678963057</v>
      </c>
      <c r="D124">
        <v>494147.8037917359</v>
      </c>
    </row>
    <row r="125" spans="1:4" x14ac:dyDescent="0.2">
      <c r="A125">
        <v>2040</v>
      </c>
      <c r="B125" t="s">
        <v>7</v>
      </c>
      <c r="C125">
        <v>0.3647157987882898</v>
      </c>
      <c r="D125">
        <v>106467.8359822776</v>
      </c>
    </row>
    <row r="126" spans="1:4" x14ac:dyDescent="0.2">
      <c r="A126">
        <v>2040</v>
      </c>
      <c r="B126" t="s">
        <v>8</v>
      </c>
      <c r="C126">
        <v>0.34723467883812131</v>
      </c>
      <c r="D126">
        <v>1306892.3692632201</v>
      </c>
    </row>
    <row r="127" spans="1:4" x14ac:dyDescent="0.2">
      <c r="A127">
        <v>2040</v>
      </c>
      <c r="B127" t="s">
        <v>9</v>
      </c>
      <c r="C127">
        <v>0.44247516323795538</v>
      </c>
      <c r="D127">
        <v>604428.61244377925</v>
      </c>
    </row>
    <row r="128" spans="1:4" x14ac:dyDescent="0.2">
      <c r="A128">
        <v>2041</v>
      </c>
      <c r="B128" t="s">
        <v>4</v>
      </c>
      <c r="C128">
        <v>0.35156143950978269</v>
      </c>
      <c r="D128">
        <v>1524142.2383401759</v>
      </c>
    </row>
    <row r="129" spans="1:4" x14ac:dyDescent="0.2">
      <c r="A129">
        <v>2041</v>
      </c>
      <c r="B129" t="s">
        <v>5</v>
      </c>
      <c r="C129">
        <v>0.47181816439669477</v>
      </c>
      <c r="D129">
        <v>1324036.421111074</v>
      </c>
    </row>
    <row r="130" spans="1:4" x14ac:dyDescent="0.2">
      <c r="A130">
        <v>2041</v>
      </c>
      <c r="B130" t="s">
        <v>6</v>
      </c>
      <c r="C130">
        <v>0.52481895311066751</v>
      </c>
      <c r="D130">
        <v>502878.37195692293</v>
      </c>
    </row>
    <row r="131" spans="1:4" x14ac:dyDescent="0.2">
      <c r="A131">
        <v>2041</v>
      </c>
      <c r="B131" t="s">
        <v>7</v>
      </c>
      <c r="C131">
        <v>0.37424421890946091</v>
      </c>
      <c r="D131">
        <v>109742.2520203536</v>
      </c>
    </row>
    <row r="132" spans="1:4" x14ac:dyDescent="0.2">
      <c r="A132">
        <v>2041</v>
      </c>
      <c r="B132" t="s">
        <v>8</v>
      </c>
      <c r="C132">
        <v>0.3545112109543091</v>
      </c>
      <c r="D132">
        <v>1357357.8421700229</v>
      </c>
    </row>
    <row r="133" spans="1:4" x14ac:dyDescent="0.2">
      <c r="A133">
        <v>2041</v>
      </c>
      <c r="B133" t="s">
        <v>9</v>
      </c>
      <c r="C133">
        <v>0.44622764691415989</v>
      </c>
      <c r="D133">
        <v>617600.81692698866</v>
      </c>
    </row>
    <row r="134" spans="1:4" x14ac:dyDescent="0.2">
      <c r="A134">
        <v>2042</v>
      </c>
      <c r="B134" t="s">
        <v>4</v>
      </c>
      <c r="C134">
        <v>0.35849370157990301</v>
      </c>
      <c r="D134">
        <v>1576429.80701012</v>
      </c>
    </row>
    <row r="135" spans="1:4" x14ac:dyDescent="0.2">
      <c r="A135">
        <v>2042</v>
      </c>
      <c r="B135" t="s">
        <v>5</v>
      </c>
      <c r="C135">
        <v>0.47606059057483979</v>
      </c>
      <c r="D135">
        <v>1358527.442475152</v>
      </c>
    </row>
    <row r="136" spans="1:4" x14ac:dyDescent="0.2">
      <c r="A136">
        <v>2042</v>
      </c>
      <c r="B136" t="s">
        <v>6</v>
      </c>
      <c r="C136">
        <v>0.52983906943170445</v>
      </c>
      <c r="D136">
        <v>511705.8571194738</v>
      </c>
    </row>
    <row r="137" spans="1:4" x14ac:dyDescent="0.2">
      <c r="A137">
        <v>2042</v>
      </c>
      <c r="B137" t="s">
        <v>7</v>
      </c>
      <c r="C137">
        <v>0.38377263903063191</v>
      </c>
      <c r="D137">
        <v>113039.0795085555</v>
      </c>
    </row>
    <row r="138" spans="1:4" x14ac:dyDescent="0.2">
      <c r="A138">
        <v>2042</v>
      </c>
      <c r="B138" t="s">
        <v>8</v>
      </c>
      <c r="C138">
        <v>0.36178774307049699</v>
      </c>
      <c r="D138">
        <v>1409036.633549511</v>
      </c>
    </row>
    <row r="139" spans="1:4" x14ac:dyDescent="0.2">
      <c r="A139">
        <v>2042</v>
      </c>
      <c r="B139" t="s">
        <v>9</v>
      </c>
      <c r="C139">
        <v>0.44998013059036429</v>
      </c>
      <c r="D139">
        <v>630908.34881041665</v>
      </c>
    </row>
    <row r="140" spans="1:4" x14ac:dyDescent="0.2">
      <c r="A140">
        <v>2043</v>
      </c>
      <c r="B140" t="s">
        <v>4</v>
      </c>
      <c r="C140">
        <v>0.36542596365002328</v>
      </c>
      <c r="D140">
        <v>1629733.655779683</v>
      </c>
    </row>
    <row r="141" spans="1:4" x14ac:dyDescent="0.2">
      <c r="A141">
        <v>2043</v>
      </c>
      <c r="B141" t="s">
        <v>5</v>
      </c>
      <c r="C141">
        <v>0.48030301675298492</v>
      </c>
      <c r="D141">
        <v>1393618.415229456</v>
      </c>
    </row>
    <row r="142" spans="1:4" x14ac:dyDescent="0.2">
      <c r="A142">
        <v>2043</v>
      </c>
      <c r="B142" t="s">
        <v>6</v>
      </c>
      <c r="C142">
        <v>0.53485918575274138</v>
      </c>
      <c r="D142">
        <v>520575.23633802868</v>
      </c>
    </row>
    <row r="143" spans="1:4" x14ac:dyDescent="0.2">
      <c r="A143">
        <v>2043</v>
      </c>
      <c r="B143" t="s">
        <v>7</v>
      </c>
      <c r="C143">
        <v>0.39330105915180291</v>
      </c>
      <c r="D143">
        <v>116348.2858235821</v>
      </c>
    </row>
    <row r="144" spans="1:4" x14ac:dyDescent="0.2">
      <c r="A144">
        <v>2043</v>
      </c>
      <c r="B144" t="s">
        <v>8</v>
      </c>
      <c r="C144">
        <v>0.36906427518668489</v>
      </c>
      <c r="D144">
        <v>1461820.4134942619</v>
      </c>
    </row>
    <row r="145" spans="1:4" x14ac:dyDescent="0.2">
      <c r="A145">
        <v>2043</v>
      </c>
      <c r="B145" t="s">
        <v>9</v>
      </c>
      <c r="C145">
        <v>0.4537326142665688</v>
      </c>
      <c r="D145">
        <v>644351.20809406368</v>
      </c>
    </row>
    <row r="146" spans="1:4" x14ac:dyDescent="0.2">
      <c r="A146">
        <v>2044</v>
      </c>
      <c r="B146" t="s">
        <v>4</v>
      </c>
      <c r="C146">
        <v>0.37235822572014349</v>
      </c>
      <c r="D146">
        <v>1683972.57498274</v>
      </c>
    </row>
    <row r="147" spans="1:4" x14ac:dyDescent="0.2">
      <c r="A147">
        <v>2044</v>
      </c>
      <c r="B147" t="s">
        <v>5</v>
      </c>
      <c r="C147">
        <v>0.48454544293112989</v>
      </c>
      <c r="D147">
        <v>1429139.164835121</v>
      </c>
    </row>
    <row r="148" spans="1:4" x14ac:dyDescent="0.2">
      <c r="A148">
        <v>2044</v>
      </c>
      <c r="B148" t="s">
        <v>6</v>
      </c>
      <c r="C148">
        <v>0.53987930207377832</v>
      </c>
      <c r="D148">
        <v>529506.60104303481</v>
      </c>
    </row>
    <row r="149" spans="1:4" x14ac:dyDescent="0.2">
      <c r="A149">
        <v>2044</v>
      </c>
      <c r="B149" t="s">
        <v>7</v>
      </c>
      <c r="C149">
        <v>0.40282947927297391</v>
      </c>
      <c r="D149">
        <v>119662.108135954</v>
      </c>
    </row>
    <row r="150" spans="1:4" x14ac:dyDescent="0.2">
      <c r="A150">
        <v>2044</v>
      </c>
      <c r="B150" t="s">
        <v>8</v>
      </c>
      <c r="C150">
        <v>0.37634080730287273</v>
      </c>
      <c r="D150">
        <v>1515812.708067063</v>
      </c>
    </row>
    <row r="151" spans="1:4" x14ac:dyDescent="0.2">
      <c r="A151">
        <v>2044</v>
      </c>
      <c r="B151" t="s">
        <v>9</v>
      </c>
      <c r="C151">
        <v>0.45748509794277331</v>
      </c>
      <c r="D151">
        <v>657929.39477792929</v>
      </c>
    </row>
    <row r="152" spans="1:4" x14ac:dyDescent="0.2">
      <c r="A152">
        <v>2045</v>
      </c>
      <c r="B152" t="s">
        <v>4</v>
      </c>
      <c r="C152">
        <v>0.37929048779026392</v>
      </c>
      <c r="D152">
        <v>1739105.6765439671</v>
      </c>
    </row>
    <row r="153" spans="1:4" x14ac:dyDescent="0.2">
      <c r="A153">
        <v>2045</v>
      </c>
      <c r="B153" t="s">
        <v>5</v>
      </c>
      <c r="C153">
        <v>0.48878786910927491</v>
      </c>
      <c r="D153">
        <v>1465183.6734117949</v>
      </c>
    </row>
    <row r="154" spans="1:4" x14ac:dyDescent="0.2">
      <c r="A154">
        <v>2045</v>
      </c>
      <c r="B154" t="s">
        <v>6</v>
      </c>
      <c r="C154">
        <v>0.54489941839481526</v>
      </c>
      <c r="D154">
        <v>538508.29311646242</v>
      </c>
    </row>
    <row r="155" spans="1:4" x14ac:dyDescent="0.2">
      <c r="A155">
        <v>2045</v>
      </c>
      <c r="B155" t="s">
        <v>7</v>
      </c>
      <c r="C155">
        <v>0.41235789939414502</v>
      </c>
      <c r="D155">
        <v>123003.0625260783</v>
      </c>
    </row>
    <row r="156" spans="1:4" x14ac:dyDescent="0.2">
      <c r="A156">
        <v>2045</v>
      </c>
      <c r="B156" t="s">
        <v>8</v>
      </c>
      <c r="C156">
        <v>0.38361733941906062</v>
      </c>
      <c r="D156">
        <v>1570849.32444271</v>
      </c>
    </row>
    <row r="157" spans="1:4" x14ac:dyDescent="0.2">
      <c r="A157">
        <v>2045</v>
      </c>
      <c r="B157" t="s">
        <v>9</v>
      </c>
      <c r="C157">
        <v>0.46123758161897771</v>
      </c>
      <c r="D157">
        <v>671642.90886201395</v>
      </c>
    </row>
    <row r="158" spans="1:4" x14ac:dyDescent="0.2">
      <c r="A158">
        <v>2046</v>
      </c>
      <c r="B158" t="s">
        <v>4</v>
      </c>
      <c r="C158">
        <v>0.38622274986038407</v>
      </c>
      <c r="D158">
        <v>1795148.2786638211</v>
      </c>
    </row>
    <row r="159" spans="1:4" x14ac:dyDescent="0.2">
      <c r="A159">
        <v>2046</v>
      </c>
      <c r="B159" t="s">
        <v>5</v>
      </c>
      <c r="C159">
        <v>0.49303029528741987</v>
      </c>
      <c r="D159">
        <v>1501661.8127805181</v>
      </c>
    </row>
    <row r="160" spans="1:4" x14ac:dyDescent="0.2">
      <c r="A160">
        <v>2046</v>
      </c>
      <c r="B160" t="s">
        <v>6</v>
      </c>
      <c r="C160">
        <v>0.5499195347158522</v>
      </c>
      <c r="D160">
        <v>547564.22934866417</v>
      </c>
    </row>
    <row r="161" spans="1:4" x14ac:dyDescent="0.2">
      <c r="A161">
        <v>2046</v>
      </c>
      <c r="B161" t="s">
        <v>7</v>
      </c>
      <c r="C161">
        <v>0.42188631951531602</v>
      </c>
      <c r="D161">
        <v>126357.0621264347</v>
      </c>
    </row>
    <row r="162" spans="1:4" x14ac:dyDescent="0.2">
      <c r="A162">
        <v>2046</v>
      </c>
      <c r="B162" t="s">
        <v>8</v>
      </c>
      <c r="C162">
        <v>0.39089387153524852</v>
      </c>
      <c r="D162">
        <v>1626960.4909859209</v>
      </c>
    </row>
    <row r="163" spans="1:4" x14ac:dyDescent="0.2">
      <c r="A163">
        <v>2046</v>
      </c>
      <c r="B163" t="s">
        <v>9</v>
      </c>
      <c r="C163">
        <v>0.46499006529518222</v>
      </c>
      <c r="D163">
        <v>685491.75034631731</v>
      </c>
    </row>
    <row r="164" spans="1:4" x14ac:dyDescent="0.2">
      <c r="A164">
        <v>2047</v>
      </c>
      <c r="B164" t="s">
        <v>4</v>
      </c>
      <c r="C164">
        <v>0.39315501193050439</v>
      </c>
      <c r="D164">
        <v>1852100.1852779959</v>
      </c>
    </row>
    <row r="165" spans="1:4" x14ac:dyDescent="0.2">
      <c r="A165">
        <v>2047</v>
      </c>
      <c r="B165" t="s">
        <v>5</v>
      </c>
      <c r="C165">
        <v>0.49727272146556489</v>
      </c>
      <c r="D165">
        <v>1538554.3411236361</v>
      </c>
    </row>
    <row r="166" spans="1:4" x14ac:dyDescent="0.2">
      <c r="A166">
        <v>2047</v>
      </c>
      <c r="B166" t="s">
        <v>6</v>
      </c>
      <c r="C166">
        <v>0.55493965103688914</v>
      </c>
      <c r="D166">
        <v>556697.14491172298</v>
      </c>
    </row>
    <row r="167" spans="1:4" x14ac:dyDescent="0.2">
      <c r="A167">
        <v>2047</v>
      </c>
      <c r="B167" t="s">
        <v>7</v>
      </c>
      <c r="C167">
        <v>0.43141473963648702</v>
      </c>
      <c r="D167">
        <v>129732.8834297862</v>
      </c>
    </row>
    <row r="168" spans="1:4" x14ac:dyDescent="0.2">
      <c r="A168">
        <v>2047</v>
      </c>
      <c r="B168" t="s">
        <v>8</v>
      </c>
      <c r="C168">
        <v>0.39817040365143641</v>
      </c>
      <c r="D168">
        <v>1684138.5691316549</v>
      </c>
    </row>
    <row r="169" spans="1:4" x14ac:dyDescent="0.2">
      <c r="A169">
        <v>2047</v>
      </c>
      <c r="B169" t="s">
        <v>9</v>
      </c>
      <c r="C169">
        <v>0.46874254897138662</v>
      </c>
      <c r="D169">
        <v>699475.91923083935</v>
      </c>
    </row>
    <row r="170" spans="1:4" x14ac:dyDescent="0.2">
      <c r="A170">
        <v>2048</v>
      </c>
      <c r="B170" t="s">
        <v>4</v>
      </c>
      <c r="C170">
        <v>0.40008727400062472</v>
      </c>
      <c r="D170">
        <v>1910019.4466899</v>
      </c>
    </row>
    <row r="171" spans="1:4" x14ac:dyDescent="0.2">
      <c r="A171">
        <v>2048</v>
      </c>
      <c r="B171" t="s">
        <v>5</v>
      </c>
      <c r="C171">
        <v>0.50151514764370997</v>
      </c>
      <c r="D171">
        <v>1575921.0787437831</v>
      </c>
    </row>
    <row r="172" spans="1:4" x14ac:dyDescent="0.2">
      <c r="A172">
        <v>2048</v>
      </c>
      <c r="B172" t="s">
        <v>6</v>
      </c>
      <c r="C172">
        <v>0.55995976735792607</v>
      </c>
      <c r="D172">
        <v>565882.46181727084</v>
      </c>
    </row>
    <row r="173" spans="1:4" x14ac:dyDescent="0.2">
      <c r="A173">
        <v>2048</v>
      </c>
      <c r="B173" t="s">
        <v>7</v>
      </c>
      <c r="C173">
        <v>0.44094315975765802</v>
      </c>
      <c r="D173">
        <v>133129.99973719189</v>
      </c>
    </row>
    <row r="174" spans="1:4" x14ac:dyDescent="0.2">
      <c r="A174">
        <v>2048</v>
      </c>
      <c r="B174" t="s">
        <v>8</v>
      </c>
      <c r="C174">
        <v>0.40544693576762431</v>
      </c>
      <c r="D174">
        <v>1742334.8205659911</v>
      </c>
    </row>
    <row r="175" spans="1:4" x14ac:dyDescent="0.2">
      <c r="A175">
        <v>2048</v>
      </c>
      <c r="B175" t="s">
        <v>9</v>
      </c>
      <c r="C175">
        <v>0.47249503264759107</v>
      </c>
      <c r="D175">
        <v>713595.41551558021</v>
      </c>
    </row>
    <row r="176" spans="1:4" x14ac:dyDescent="0.2">
      <c r="A176">
        <v>2049</v>
      </c>
      <c r="B176" t="s">
        <v>4</v>
      </c>
      <c r="C176">
        <v>0.40701953607074498</v>
      </c>
      <c r="D176">
        <v>1968856.064897283</v>
      </c>
    </row>
    <row r="177" spans="1:4" x14ac:dyDescent="0.2">
      <c r="A177">
        <v>2049</v>
      </c>
      <c r="B177" t="s">
        <v>5</v>
      </c>
      <c r="C177">
        <v>0.50575757382185504</v>
      </c>
      <c r="D177">
        <v>1613711.5871570639</v>
      </c>
    </row>
    <row r="178" spans="1:4" x14ac:dyDescent="0.2">
      <c r="A178">
        <v>2049</v>
      </c>
      <c r="B178" t="s">
        <v>6</v>
      </c>
      <c r="C178">
        <v>0.56497988367896301</v>
      </c>
      <c r="D178">
        <v>575131.44222890667</v>
      </c>
    </row>
    <row r="179" spans="1:4" x14ac:dyDescent="0.2">
      <c r="A179">
        <v>2049</v>
      </c>
      <c r="B179" t="s">
        <v>7</v>
      </c>
      <c r="C179">
        <v>0.45047157987882902</v>
      </c>
      <c r="D179">
        <v>136546.94529287069</v>
      </c>
    </row>
    <row r="180" spans="1:4" x14ac:dyDescent="0.2">
      <c r="A180">
        <v>2049</v>
      </c>
      <c r="B180" t="s">
        <v>8</v>
      </c>
      <c r="C180">
        <v>0.41272346788381209</v>
      </c>
      <c r="D180">
        <v>1801666.2943113521</v>
      </c>
    </row>
    <row r="181" spans="1:4" x14ac:dyDescent="0.2">
      <c r="A181">
        <v>2049</v>
      </c>
      <c r="B181" t="s">
        <v>9</v>
      </c>
      <c r="C181">
        <v>0.47624751632379547</v>
      </c>
      <c r="D181">
        <v>727850.23920054</v>
      </c>
    </row>
    <row r="182" spans="1:4" x14ac:dyDescent="0.2">
      <c r="A182">
        <v>2050</v>
      </c>
      <c r="B182" t="s">
        <v>4</v>
      </c>
      <c r="C182">
        <v>0.41395179814086519</v>
      </c>
      <c r="D182">
        <v>2028632.879559031</v>
      </c>
    </row>
    <row r="183" spans="1:4" x14ac:dyDescent="0.2">
      <c r="A183">
        <v>2050</v>
      </c>
      <c r="B183" t="s">
        <v>5</v>
      </c>
      <c r="C183">
        <v>0.51</v>
      </c>
      <c r="D183">
        <v>1651921.62</v>
      </c>
    </row>
    <row r="184" spans="1:4" x14ac:dyDescent="0.2">
      <c r="A184">
        <v>2050</v>
      </c>
      <c r="B184" t="s">
        <v>6</v>
      </c>
      <c r="C184">
        <v>0.56999999999999995</v>
      </c>
      <c r="D184">
        <v>584466.02999999991</v>
      </c>
    </row>
    <row r="185" spans="1:4" x14ac:dyDescent="0.2">
      <c r="A185">
        <v>2050</v>
      </c>
      <c r="B185" t="s">
        <v>7</v>
      </c>
      <c r="C185">
        <v>0.46</v>
      </c>
      <c r="D185">
        <v>139996.4</v>
      </c>
    </row>
    <row r="186" spans="1:4" x14ac:dyDescent="0.2">
      <c r="A186">
        <v>2050</v>
      </c>
      <c r="B186" t="s">
        <v>8</v>
      </c>
      <c r="C186">
        <v>0.42</v>
      </c>
      <c r="D186">
        <v>1862044.8</v>
      </c>
    </row>
    <row r="187" spans="1:4" x14ac:dyDescent="0.2">
      <c r="A187">
        <v>2050</v>
      </c>
      <c r="B187" t="s">
        <v>9</v>
      </c>
      <c r="C187">
        <v>0.48</v>
      </c>
      <c r="D187">
        <v>742240.39028571849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Jefferson</cp:lastModifiedBy>
  <dcterms:created xsi:type="dcterms:W3CDTF">2025-09-30T05:12:50Z</dcterms:created>
  <dcterms:modified xsi:type="dcterms:W3CDTF">2025-09-30T05:14:47Z</dcterms:modified>
</cp:coreProperties>
</file>