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jjefferson/Grattan Institute Dropbox/Ben Jefferson/Carbon-pricing-analysis-2025/Interim Analyses/"/>
    </mc:Choice>
  </mc:AlternateContent>
  <xr:revisionPtr revIDLastSave="0" documentId="13_ncr:1_{DF410E0D-2082-2C49-B484-094DC1430468}" xr6:coauthVersionLast="47" xr6:coauthVersionMax="47" xr10:uidLastSave="{00000000-0000-0000-0000-000000000000}"/>
  <bookViews>
    <workbookView xWindow="-17840" yWindow="-28200" windowWidth="28620" windowHeight="28200" xr2:uid="{00000000-000D-0000-FFFF-FFFF00000000}"/>
  </bookViews>
  <sheets>
    <sheet name="Households" sheetId="1" r:id="rId1"/>
    <sheet name="Gas Con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/>
  <c r="J10" i="1"/>
  <c r="J7" i="1"/>
  <c r="I8" i="1"/>
  <c r="I9" i="1"/>
  <c r="I10" i="1"/>
  <c r="I7" i="1"/>
  <c r="H8" i="1"/>
  <c r="H9" i="1"/>
  <c r="H10" i="1"/>
  <c r="H7" i="1"/>
</calcChain>
</file>

<file path=xl/sharedStrings.xml><?xml version="1.0" encoding="utf-8"?>
<sst xmlns="http://schemas.openxmlformats.org/spreadsheetml/2006/main" count="616" uniqueCount="15">
  <si>
    <t>year</t>
  </si>
  <si>
    <t>state</t>
  </si>
  <si>
    <t>residential_consumption_gj</t>
  </si>
  <si>
    <t>residential_gas_connections</t>
  </si>
  <si>
    <t>category</t>
  </si>
  <si>
    <t>NSW and ACT</t>
  </si>
  <si>
    <t>gas</t>
  </si>
  <si>
    <t>Qld</t>
  </si>
  <si>
    <t>SA</t>
  </si>
  <si>
    <t>Tas</t>
  </si>
  <si>
    <t>Vic</t>
  </si>
  <si>
    <t>WA</t>
  </si>
  <si>
    <t>connections</t>
  </si>
  <si>
    <t>households</t>
  </si>
  <si>
    <t>% of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</si>
</sst>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7" fontId="0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8"/>
  <sheetViews>
    <sheetView tabSelected="1" topLeftCell="D1" zoomScale="208" workbookViewId="0">
      <selection activeCell="H13" sqref="H13"/>
    </sheetView>
  </sheetViews>
  <sheetFormatPr baseColWidth="10" defaultColWidth="8.83203125" defaultRowHeight="15" x14ac:dyDescent="0.2"/>
  <cols>
    <col min="2" max="2" width="11.1640625" bestFit="1" customWidth="1"/>
    <col min="3" max="3" width="23" bestFit="1" customWidth="1"/>
    <col min="4" max="4" width="23.33203125" bestFit="1" customWidth="1"/>
    <col min="5" max="5" width="8.6640625" customWidth="1"/>
    <col min="8" max="8" width="14.6640625" bestFit="1" customWidth="1"/>
    <col min="9" max="9" width="13.6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x14ac:dyDescent="0.2">
      <c r="A2">
        <v>2023</v>
      </c>
      <c r="B2" t="s">
        <v>5</v>
      </c>
      <c r="C2">
        <v>34815442.515072897</v>
      </c>
      <c r="D2">
        <v>1633795.75</v>
      </c>
      <c r="E2" t="s">
        <v>6</v>
      </c>
    </row>
    <row r="3" spans="1:10" x14ac:dyDescent="0.2">
      <c r="A3">
        <v>2023</v>
      </c>
      <c r="B3" t="s">
        <v>7</v>
      </c>
      <c r="C3">
        <v>1592886.3589992591</v>
      </c>
      <c r="D3">
        <v>208234.75000000009</v>
      </c>
      <c r="E3" t="s">
        <v>6</v>
      </c>
    </row>
    <row r="4" spans="1:10" x14ac:dyDescent="0.2">
      <c r="A4">
        <v>2023</v>
      </c>
      <c r="B4" t="s">
        <v>8</v>
      </c>
      <c r="C4">
        <v>10180739.421382191</v>
      </c>
      <c r="D4">
        <v>456098.75</v>
      </c>
      <c r="E4" t="s">
        <v>6</v>
      </c>
    </row>
    <row r="5" spans="1:10" x14ac:dyDescent="0.2">
      <c r="A5">
        <v>2023</v>
      </c>
      <c r="B5" t="s">
        <v>9</v>
      </c>
      <c r="C5">
        <v>502879.46432492509</v>
      </c>
      <c r="D5">
        <v>13615</v>
      </c>
      <c r="E5" t="s">
        <v>6</v>
      </c>
    </row>
    <row r="6" spans="1:10" x14ac:dyDescent="0.2">
      <c r="A6">
        <v>2023</v>
      </c>
      <c r="B6" t="s">
        <v>10</v>
      </c>
      <c r="C6">
        <v>98045503.43159911</v>
      </c>
      <c r="D6">
        <v>1932187.25</v>
      </c>
      <c r="E6" t="s">
        <v>6</v>
      </c>
      <c r="H6" t="s">
        <v>12</v>
      </c>
      <c r="I6" t="s">
        <v>13</v>
      </c>
      <c r="J6" t="s">
        <v>14</v>
      </c>
    </row>
    <row r="7" spans="1:10" x14ac:dyDescent="0.2">
      <c r="A7">
        <v>2023</v>
      </c>
      <c r="B7" t="s">
        <v>11</v>
      </c>
      <c r="C7">
        <v>11147633.64850077</v>
      </c>
      <c r="D7">
        <v>843349.51409052371</v>
      </c>
      <c r="E7" t="s">
        <v>6</v>
      </c>
      <c r="G7">
        <v>2025</v>
      </c>
      <c r="H7" s="2">
        <f>SUMIFS($D$2:$D$198,$A$2:$A$198,$G7)</f>
        <v>5080840.2096630353</v>
      </c>
      <c r="I7" s="2">
        <f>SUMIFS('Gas Conns'!$C$2:$C$212,'Gas Conns'!$B$2:$B$212,Households!$G7)</f>
        <v>10574690</v>
      </c>
      <c r="J7" s="3">
        <f>H7/I7</f>
        <v>0.48047178779359351</v>
      </c>
    </row>
    <row r="8" spans="1:10" x14ac:dyDescent="0.2">
      <c r="A8">
        <v>2024</v>
      </c>
      <c r="B8" t="s">
        <v>5</v>
      </c>
      <c r="C8">
        <v>34358444.902522013</v>
      </c>
      <c r="D8">
        <v>1612350.072357886</v>
      </c>
      <c r="E8" t="s">
        <v>6</v>
      </c>
      <c r="G8">
        <v>2030</v>
      </c>
      <c r="H8" s="2">
        <f t="shared" ref="H8:H10" si="0">SUMIFS($D$2:$D$198,$A$2:$A$198,$G8)</f>
        <v>4021401.3547597411</v>
      </c>
      <c r="I8" s="2">
        <f>SUMIFS('Gas Conns'!$C$2:$C$212,'Gas Conns'!$B$2:$B$212,Households!$G8)</f>
        <v>11459634</v>
      </c>
      <c r="J8" s="3">
        <f t="shared" ref="J8:J10" si="1">H8/I8</f>
        <v>0.35091882993468559</v>
      </c>
    </row>
    <row r="9" spans="1:10" x14ac:dyDescent="0.2">
      <c r="A9">
        <v>2024</v>
      </c>
      <c r="B9" t="s">
        <v>7</v>
      </c>
      <c r="C9">
        <v>1616550.8971818159</v>
      </c>
      <c r="D9">
        <v>211328.36629250579</v>
      </c>
      <c r="E9" t="s">
        <v>6</v>
      </c>
      <c r="G9">
        <v>2035</v>
      </c>
      <c r="H9" s="2">
        <f t="shared" si="0"/>
        <v>2611067.3477590755</v>
      </c>
      <c r="I9" s="2">
        <f>SUMIFS('Gas Conns'!$C$2:$C$212,'Gas Conns'!$B$2:$B$212,Households!$G9)</f>
        <v>12419227.485714296</v>
      </c>
      <c r="J9" s="3">
        <f t="shared" si="1"/>
        <v>0.21024394236779689</v>
      </c>
    </row>
    <row r="10" spans="1:10" x14ac:dyDescent="0.2">
      <c r="A10">
        <v>2024</v>
      </c>
      <c r="B10" t="s">
        <v>8</v>
      </c>
      <c r="C10">
        <v>10598033.14088429</v>
      </c>
      <c r="D10">
        <v>474793.5751959011</v>
      </c>
      <c r="E10" t="s">
        <v>6</v>
      </c>
      <c r="G10">
        <v>2050</v>
      </c>
      <c r="H10" s="2">
        <f t="shared" si="0"/>
        <v>160948.80417184663</v>
      </c>
      <c r="I10" s="2">
        <f>SUMIFS('Gas Conns'!$C$2:$C$212,'Gas Conns'!$B$2:$B$212,Households!$G10)</f>
        <v>15449205.146428579</v>
      </c>
      <c r="J10" s="3">
        <f t="shared" si="1"/>
        <v>1.0417934298001957E-2</v>
      </c>
    </row>
    <row r="11" spans="1:10" x14ac:dyDescent="0.2">
      <c r="A11">
        <v>2024</v>
      </c>
      <c r="B11" t="s">
        <v>9</v>
      </c>
      <c r="C11">
        <v>526766.23888035899</v>
      </c>
      <c r="D11">
        <v>14261.7125</v>
      </c>
      <c r="E11" t="s">
        <v>6</v>
      </c>
    </row>
    <row r="12" spans="1:10" x14ac:dyDescent="0.2">
      <c r="A12">
        <v>2024</v>
      </c>
      <c r="B12" t="s">
        <v>10</v>
      </c>
      <c r="C12">
        <v>104204620.36312629</v>
      </c>
      <c r="D12">
        <v>2053565.2509264599</v>
      </c>
      <c r="E12" t="s">
        <v>6</v>
      </c>
    </row>
    <row r="13" spans="1:10" x14ac:dyDescent="0.2">
      <c r="A13">
        <v>2024</v>
      </c>
      <c r="B13" t="s">
        <v>11</v>
      </c>
      <c r="C13">
        <v>10357570</v>
      </c>
      <c r="D13">
        <v>783579</v>
      </c>
      <c r="E13" t="s">
        <v>6</v>
      </c>
    </row>
    <row r="14" spans="1:10" x14ac:dyDescent="0.2">
      <c r="A14">
        <v>2025</v>
      </c>
      <c r="B14" t="s">
        <v>5</v>
      </c>
      <c r="C14">
        <v>33842763.808423653</v>
      </c>
      <c r="D14">
        <v>1588150.535628502</v>
      </c>
      <c r="E14" t="s">
        <v>6</v>
      </c>
    </row>
    <row r="15" spans="1:10" x14ac:dyDescent="0.2">
      <c r="A15">
        <v>2025</v>
      </c>
      <c r="B15" t="s">
        <v>7</v>
      </c>
      <c r="C15">
        <v>1600248.659767166</v>
      </c>
      <c r="D15">
        <v>209197.20840211291</v>
      </c>
      <c r="E15" t="s">
        <v>6</v>
      </c>
    </row>
    <row r="16" spans="1:10" x14ac:dyDescent="0.2">
      <c r="A16">
        <v>2025</v>
      </c>
      <c r="B16" t="s">
        <v>8</v>
      </c>
      <c r="C16">
        <v>10421092.421585601</v>
      </c>
      <c r="D16">
        <v>466866.60274763912</v>
      </c>
      <c r="E16" t="s">
        <v>6</v>
      </c>
    </row>
    <row r="17" spans="1:5" x14ac:dyDescent="0.2">
      <c r="A17">
        <v>2025</v>
      </c>
      <c r="B17" t="s">
        <v>9</v>
      </c>
      <c r="C17">
        <v>529280.63620198367</v>
      </c>
      <c r="D17">
        <v>14329.7875</v>
      </c>
      <c r="E17" t="s">
        <v>6</v>
      </c>
    </row>
    <row r="18" spans="1:5" x14ac:dyDescent="0.2">
      <c r="A18">
        <v>2025</v>
      </c>
      <c r="B18" t="s">
        <v>10</v>
      </c>
      <c r="C18">
        <v>102511680.9453174</v>
      </c>
      <c r="D18">
        <v>2020202.415879213</v>
      </c>
      <c r="E18" t="s">
        <v>6</v>
      </c>
    </row>
    <row r="19" spans="1:5" x14ac:dyDescent="0.2">
      <c r="A19">
        <v>2025</v>
      </c>
      <c r="B19" t="s">
        <v>11</v>
      </c>
      <c r="C19">
        <v>10337936.34705</v>
      </c>
      <c r="D19">
        <v>782093.65950556844</v>
      </c>
      <c r="E19" t="s">
        <v>6</v>
      </c>
    </row>
    <row r="20" spans="1:5" x14ac:dyDescent="0.2">
      <c r="A20">
        <v>2026</v>
      </c>
      <c r="B20" t="s">
        <v>5</v>
      </c>
      <c r="C20">
        <v>32838542.730442639</v>
      </c>
      <c r="D20">
        <v>1541025.1219975981</v>
      </c>
      <c r="E20" t="s">
        <v>6</v>
      </c>
    </row>
    <row r="21" spans="1:5" x14ac:dyDescent="0.2">
      <c r="A21">
        <v>2026</v>
      </c>
      <c r="B21" t="s">
        <v>7</v>
      </c>
      <c r="C21">
        <v>1577372.9395240271</v>
      </c>
      <c r="D21">
        <v>206206.71265269071</v>
      </c>
      <c r="E21" t="s">
        <v>6</v>
      </c>
    </row>
    <row r="22" spans="1:5" x14ac:dyDescent="0.2">
      <c r="A22">
        <v>2026</v>
      </c>
      <c r="B22" t="s">
        <v>8</v>
      </c>
      <c r="C22">
        <v>10136759.936238579</v>
      </c>
      <c r="D22">
        <v>454128.46205043199</v>
      </c>
      <c r="E22" t="s">
        <v>6</v>
      </c>
    </row>
    <row r="23" spans="1:5" x14ac:dyDescent="0.2">
      <c r="A23">
        <v>2026</v>
      </c>
      <c r="B23" t="s">
        <v>9</v>
      </c>
      <c r="C23">
        <v>532423.6328540144</v>
      </c>
      <c r="D23">
        <v>14414.88125</v>
      </c>
      <c r="E23" t="s">
        <v>6</v>
      </c>
    </row>
    <row r="24" spans="1:5" x14ac:dyDescent="0.2">
      <c r="A24">
        <v>2026</v>
      </c>
      <c r="B24" t="s">
        <v>10</v>
      </c>
      <c r="C24">
        <v>99238959.418044016</v>
      </c>
      <c r="D24">
        <v>1955706.7420698609</v>
      </c>
      <c r="E24" t="s">
        <v>6</v>
      </c>
    </row>
    <row r="25" spans="1:5" x14ac:dyDescent="0.2">
      <c r="A25">
        <v>2026</v>
      </c>
      <c r="B25" t="s">
        <v>11</v>
      </c>
      <c r="C25">
        <v>10108877.06263328</v>
      </c>
      <c r="D25">
        <v>764764.68707053154</v>
      </c>
      <c r="E25" t="s">
        <v>6</v>
      </c>
    </row>
    <row r="26" spans="1:5" x14ac:dyDescent="0.2">
      <c r="A26">
        <v>2027</v>
      </c>
      <c r="B26" t="s">
        <v>5</v>
      </c>
      <c r="C26">
        <v>31609123.79202323</v>
      </c>
      <c r="D26">
        <v>1483331.7741192949</v>
      </c>
      <c r="E26" t="s">
        <v>6</v>
      </c>
    </row>
    <row r="27" spans="1:5" x14ac:dyDescent="0.2">
      <c r="A27">
        <v>2027</v>
      </c>
      <c r="B27" t="s">
        <v>7</v>
      </c>
      <c r="C27">
        <v>1549501.372331237</v>
      </c>
      <c r="D27">
        <v>202563.12013040611</v>
      </c>
      <c r="E27" t="s">
        <v>6</v>
      </c>
    </row>
    <row r="28" spans="1:5" x14ac:dyDescent="0.2">
      <c r="A28">
        <v>2027</v>
      </c>
      <c r="B28" t="s">
        <v>8</v>
      </c>
      <c r="C28">
        <v>9748104.0210160334</v>
      </c>
      <c r="D28">
        <v>436716.61505424947</v>
      </c>
      <c r="E28" t="s">
        <v>6</v>
      </c>
    </row>
    <row r="29" spans="1:5" x14ac:dyDescent="0.2">
      <c r="A29">
        <v>2027</v>
      </c>
      <c r="B29" t="s">
        <v>9</v>
      </c>
      <c r="C29">
        <v>536195.22883645131</v>
      </c>
      <c r="D29">
        <v>14516.99375</v>
      </c>
      <c r="E29" t="s">
        <v>6</v>
      </c>
    </row>
    <row r="30" spans="1:5" x14ac:dyDescent="0.2">
      <c r="A30">
        <v>2027</v>
      </c>
      <c r="B30" t="s">
        <v>10</v>
      </c>
      <c r="C30">
        <v>95327959.948390484</v>
      </c>
      <c r="D30">
        <v>1878632.4954646281</v>
      </c>
      <c r="E30" t="s">
        <v>6</v>
      </c>
    </row>
    <row r="31" spans="1:5" x14ac:dyDescent="0.2">
      <c r="A31">
        <v>2027</v>
      </c>
      <c r="B31" t="s">
        <v>11</v>
      </c>
      <c r="C31">
        <v>9679118.2147276439</v>
      </c>
      <c r="D31">
        <v>732252.23402574856</v>
      </c>
      <c r="E31" t="s">
        <v>6</v>
      </c>
    </row>
    <row r="32" spans="1:5" x14ac:dyDescent="0.2">
      <c r="A32">
        <v>2028</v>
      </c>
      <c r="B32" t="s">
        <v>5</v>
      </c>
      <c r="C32">
        <v>30065014.683805529</v>
      </c>
      <c r="D32">
        <v>1410870.8568855079</v>
      </c>
      <c r="E32" t="s">
        <v>6</v>
      </c>
    </row>
    <row r="33" spans="1:5" x14ac:dyDescent="0.2">
      <c r="A33">
        <v>2028</v>
      </c>
      <c r="B33" t="s">
        <v>7</v>
      </c>
      <c r="C33">
        <v>1516633.958188796</v>
      </c>
      <c r="D33">
        <v>198266.43083525921</v>
      </c>
      <c r="E33" t="s">
        <v>6</v>
      </c>
    </row>
    <row r="34" spans="1:5" x14ac:dyDescent="0.2">
      <c r="A34">
        <v>2028</v>
      </c>
      <c r="B34" t="s">
        <v>8</v>
      </c>
      <c r="C34">
        <v>9270466.3567820098</v>
      </c>
      <c r="D34">
        <v>415318.37150894111</v>
      </c>
      <c r="E34" t="s">
        <v>6</v>
      </c>
    </row>
    <row r="35" spans="1:5" x14ac:dyDescent="0.2">
      <c r="A35">
        <v>2028</v>
      </c>
      <c r="B35" t="s">
        <v>9</v>
      </c>
      <c r="C35">
        <v>540595.4241492945</v>
      </c>
      <c r="D35">
        <v>14636.125</v>
      </c>
      <c r="E35" t="s">
        <v>6</v>
      </c>
    </row>
    <row r="36" spans="1:5" x14ac:dyDescent="0.2">
      <c r="A36">
        <v>2028</v>
      </c>
      <c r="B36" t="s">
        <v>10</v>
      </c>
      <c r="C36">
        <v>90485180.767838493</v>
      </c>
      <c r="D36">
        <v>1783195.623198926</v>
      </c>
      <c r="E36" t="s">
        <v>6</v>
      </c>
    </row>
    <row r="37" spans="1:5" x14ac:dyDescent="0.2">
      <c r="A37">
        <v>2028</v>
      </c>
      <c r="B37" t="s">
        <v>11</v>
      </c>
      <c r="C37">
        <v>9014028.2210462578</v>
      </c>
      <c r="D37">
        <v>681936.32477687392</v>
      </c>
      <c r="E37" t="s">
        <v>6</v>
      </c>
    </row>
    <row r="38" spans="1:5" x14ac:dyDescent="0.2">
      <c r="A38">
        <v>2029</v>
      </c>
      <c r="B38" t="s">
        <v>5</v>
      </c>
      <c r="C38">
        <v>28570786.53490318</v>
      </c>
      <c r="D38">
        <v>1340750.719875901</v>
      </c>
      <c r="E38" t="s">
        <v>6</v>
      </c>
    </row>
    <row r="39" spans="1:5" x14ac:dyDescent="0.2">
      <c r="A39">
        <v>2029</v>
      </c>
      <c r="B39" t="s">
        <v>7</v>
      </c>
      <c r="C39">
        <v>1485607.1192383319</v>
      </c>
      <c r="D39">
        <v>194210.35614064051</v>
      </c>
      <c r="E39" t="s">
        <v>6</v>
      </c>
    </row>
    <row r="40" spans="1:5" x14ac:dyDescent="0.2">
      <c r="A40">
        <v>2029</v>
      </c>
      <c r="B40" t="s">
        <v>8</v>
      </c>
      <c r="C40">
        <v>8824534.8330003507</v>
      </c>
      <c r="D40">
        <v>395340.56811332132</v>
      </c>
      <c r="E40" t="s">
        <v>6</v>
      </c>
    </row>
    <row r="41" spans="1:5" x14ac:dyDescent="0.2">
      <c r="A41">
        <v>2029</v>
      </c>
      <c r="B41" t="s">
        <v>9</v>
      </c>
      <c r="C41">
        <v>544995.61946213758</v>
      </c>
      <c r="D41">
        <v>14755.25625</v>
      </c>
      <c r="E41" t="s">
        <v>6</v>
      </c>
    </row>
    <row r="42" spans="1:5" x14ac:dyDescent="0.2">
      <c r="A42">
        <v>2029</v>
      </c>
      <c r="B42" t="s">
        <v>10</v>
      </c>
      <c r="C42">
        <v>86080886.157121062</v>
      </c>
      <c r="D42">
        <v>1696399.9865381501</v>
      </c>
      <c r="E42" t="s">
        <v>6</v>
      </c>
    </row>
    <row r="43" spans="1:5" x14ac:dyDescent="0.2">
      <c r="A43">
        <v>2029</v>
      </c>
      <c r="B43" t="s">
        <v>11</v>
      </c>
      <c r="C43">
        <v>8165690.799831504</v>
      </c>
      <c r="D43">
        <v>617757.23757997004</v>
      </c>
      <c r="E43" t="s">
        <v>6</v>
      </c>
    </row>
    <row r="44" spans="1:5" x14ac:dyDescent="0.2">
      <c r="A44">
        <v>2030</v>
      </c>
      <c r="B44" t="s">
        <v>5</v>
      </c>
      <c r="C44">
        <v>26904909.20247449</v>
      </c>
      <c r="D44">
        <v>1262575.5450360291</v>
      </c>
      <c r="E44" t="s">
        <v>6</v>
      </c>
    </row>
    <row r="45" spans="1:5" x14ac:dyDescent="0.2">
      <c r="A45">
        <v>2030</v>
      </c>
      <c r="B45" t="s">
        <v>7</v>
      </c>
      <c r="C45">
        <v>1451162.069217053</v>
      </c>
      <c r="D45">
        <v>189707.42575932661</v>
      </c>
      <c r="E45" t="s">
        <v>6</v>
      </c>
    </row>
    <row r="46" spans="1:5" x14ac:dyDescent="0.2">
      <c r="A46">
        <v>2030</v>
      </c>
      <c r="B46" t="s">
        <v>8</v>
      </c>
      <c r="C46">
        <v>8325418.8155566603</v>
      </c>
      <c r="D46">
        <v>372980.09091822378</v>
      </c>
      <c r="E46" t="s">
        <v>6</v>
      </c>
    </row>
    <row r="47" spans="1:5" x14ac:dyDescent="0.2">
      <c r="A47">
        <v>2030</v>
      </c>
      <c r="B47" t="s">
        <v>9</v>
      </c>
      <c r="C47">
        <v>549395.81477498065</v>
      </c>
      <c r="D47">
        <v>14874.387500000001</v>
      </c>
      <c r="E47" t="s">
        <v>6</v>
      </c>
    </row>
    <row r="48" spans="1:5" x14ac:dyDescent="0.2">
      <c r="A48">
        <v>2030</v>
      </c>
      <c r="B48" t="s">
        <v>10</v>
      </c>
      <c r="C48">
        <v>81094008.216724232</v>
      </c>
      <c r="D48">
        <v>1598123.3533780859</v>
      </c>
      <c r="E48" t="s">
        <v>6</v>
      </c>
    </row>
    <row r="49" spans="1:5" x14ac:dyDescent="0.2">
      <c r="A49">
        <v>2030</v>
      </c>
      <c r="B49" t="s">
        <v>11</v>
      </c>
      <c r="C49">
        <v>7708117.6102466909</v>
      </c>
      <c r="D49">
        <v>583140.55216807534</v>
      </c>
      <c r="E49" t="s">
        <v>6</v>
      </c>
    </row>
    <row r="50" spans="1:5" x14ac:dyDescent="0.2">
      <c r="A50">
        <v>2031</v>
      </c>
      <c r="B50" t="s">
        <v>5</v>
      </c>
      <c r="C50">
        <v>25649816.24087806</v>
      </c>
      <c r="D50">
        <v>1203677.3838070461</v>
      </c>
      <c r="E50" t="s">
        <v>6</v>
      </c>
    </row>
    <row r="51" spans="1:5" x14ac:dyDescent="0.2">
      <c r="A51">
        <v>2031</v>
      </c>
      <c r="B51" t="s">
        <v>7</v>
      </c>
      <c r="C51">
        <v>1418820.533700892</v>
      </c>
      <c r="D51">
        <v>185479.48349290201</v>
      </c>
      <c r="E51" t="s">
        <v>6</v>
      </c>
    </row>
    <row r="52" spans="1:5" x14ac:dyDescent="0.2">
      <c r="A52">
        <v>2031</v>
      </c>
      <c r="B52" t="s">
        <v>8</v>
      </c>
      <c r="C52">
        <v>7934717.3428855725</v>
      </c>
      <c r="D52">
        <v>355476.60262206139</v>
      </c>
      <c r="E52" t="s">
        <v>6</v>
      </c>
    </row>
    <row r="53" spans="1:5" x14ac:dyDescent="0.2">
      <c r="A53">
        <v>2031</v>
      </c>
      <c r="B53" t="s">
        <v>9</v>
      </c>
      <c r="C53">
        <v>553796.01008782373</v>
      </c>
      <c r="D53">
        <v>14993.518749999999</v>
      </c>
      <c r="E53" t="s">
        <v>6</v>
      </c>
    </row>
    <row r="54" spans="1:5" x14ac:dyDescent="0.2">
      <c r="A54">
        <v>2031</v>
      </c>
      <c r="B54" t="s">
        <v>10</v>
      </c>
      <c r="C54">
        <v>77212182.115628242</v>
      </c>
      <c r="D54">
        <v>1521624.0276901161</v>
      </c>
      <c r="E54" t="s">
        <v>6</v>
      </c>
    </row>
    <row r="55" spans="1:5" x14ac:dyDescent="0.2">
      <c r="A55">
        <v>2031</v>
      </c>
      <c r="B55" t="s">
        <v>11</v>
      </c>
      <c r="C55">
        <v>7234728.422452149</v>
      </c>
      <c r="D55">
        <v>547327.34246899921</v>
      </c>
      <c r="E55" t="s">
        <v>6</v>
      </c>
    </row>
    <row r="56" spans="1:5" x14ac:dyDescent="0.2">
      <c r="A56">
        <v>2032</v>
      </c>
      <c r="B56" t="s">
        <v>5</v>
      </c>
      <c r="C56">
        <v>24368315.71258527</v>
      </c>
      <c r="D56">
        <v>1143539.9859887911</v>
      </c>
      <c r="E56" t="s">
        <v>6</v>
      </c>
    </row>
    <row r="57" spans="1:5" x14ac:dyDescent="0.2">
      <c r="A57">
        <v>2032</v>
      </c>
      <c r="B57" t="s">
        <v>7</v>
      </c>
      <c r="C57">
        <v>1384375.483679614</v>
      </c>
      <c r="D57">
        <v>180976.553111588</v>
      </c>
      <c r="E57" t="s">
        <v>6</v>
      </c>
    </row>
    <row r="58" spans="1:5" x14ac:dyDescent="0.2">
      <c r="A58">
        <v>2032</v>
      </c>
      <c r="B58" t="s">
        <v>8</v>
      </c>
      <c r="C58">
        <v>7542993.0914902166</v>
      </c>
      <c r="D58">
        <v>337927.29367590923</v>
      </c>
      <c r="E58" t="s">
        <v>6</v>
      </c>
    </row>
    <row r="59" spans="1:5" x14ac:dyDescent="0.2">
      <c r="A59">
        <v>2032</v>
      </c>
      <c r="B59" t="s">
        <v>9</v>
      </c>
      <c r="C59">
        <v>558196.2054006668</v>
      </c>
      <c r="D59">
        <v>15112.65</v>
      </c>
      <c r="E59" t="s">
        <v>6</v>
      </c>
    </row>
    <row r="60" spans="1:5" x14ac:dyDescent="0.2">
      <c r="A60">
        <v>2032</v>
      </c>
      <c r="B60" t="s">
        <v>10</v>
      </c>
      <c r="C60">
        <v>73008564.918927848</v>
      </c>
      <c r="D60">
        <v>1438783.1500662719</v>
      </c>
      <c r="E60" t="s">
        <v>6</v>
      </c>
    </row>
    <row r="61" spans="1:5" x14ac:dyDescent="0.2">
      <c r="A61">
        <v>2032</v>
      </c>
      <c r="B61" t="s">
        <v>11</v>
      </c>
      <c r="C61">
        <v>6729434.5486138538</v>
      </c>
      <c r="D61">
        <v>509100.45446647191</v>
      </c>
      <c r="E61" t="s">
        <v>6</v>
      </c>
    </row>
    <row r="62" spans="1:5" x14ac:dyDescent="0.2">
      <c r="A62">
        <v>2033</v>
      </c>
      <c r="B62" t="s">
        <v>5</v>
      </c>
      <c r="C62">
        <v>23034000.050899759</v>
      </c>
      <c r="D62">
        <v>1080924.1149919941</v>
      </c>
      <c r="E62" t="s">
        <v>6</v>
      </c>
    </row>
    <row r="63" spans="1:5" x14ac:dyDescent="0.2">
      <c r="A63">
        <v>2033</v>
      </c>
      <c r="B63" t="s">
        <v>7</v>
      </c>
      <c r="C63">
        <v>1323636.5023443829</v>
      </c>
      <c r="D63">
        <v>173036.2712941565</v>
      </c>
      <c r="E63" t="s">
        <v>6</v>
      </c>
    </row>
    <row r="64" spans="1:5" x14ac:dyDescent="0.2">
      <c r="A64">
        <v>2033</v>
      </c>
      <c r="B64" t="s">
        <v>8</v>
      </c>
      <c r="C64">
        <v>7155359.9549919385</v>
      </c>
      <c r="D64">
        <v>320561.26732971671</v>
      </c>
      <c r="E64" t="s">
        <v>6</v>
      </c>
    </row>
    <row r="65" spans="1:5" x14ac:dyDescent="0.2">
      <c r="A65">
        <v>2033</v>
      </c>
      <c r="B65" t="s">
        <v>9</v>
      </c>
      <c r="C65">
        <v>562596.40071350988</v>
      </c>
      <c r="D65">
        <v>15231.78125</v>
      </c>
      <c r="E65" t="s">
        <v>6</v>
      </c>
    </row>
    <row r="66" spans="1:5" x14ac:dyDescent="0.2">
      <c r="A66">
        <v>2033</v>
      </c>
      <c r="B66" t="s">
        <v>10</v>
      </c>
      <c r="C66">
        <v>68923409.279400513</v>
      </c>
      <c r="D66">
        <v>1358276.799803437</v>
      </c>
      <c r="E66" t="s">
        <v>6</v>
      </c>
    </row>
    <row r="67" spans="1:5" x14ac:dyDescent="0.2">
      <c r="A67">
        <v>2033</v>
      </c>
      <c r="B67" t="s">
        <v>11</v>
      </c>
      <c r="C67">
        <v>6246228.5343443118</v>
      </c>
      <c r="D67">
        <v>472544.57452018012</v>
      </c>
      <c r="E67" t="s">
        <v>6</v>
      </c>
    </row>
    <row r="68" spans="1:5" x14ac:dyDescent="0.2">
      <c r="A68">
        <v>2034</v>
      </c>
      <c r="B68" t="s">
        <v>5</v>
      </c>
      <c r="C68">
        <v>21705552.737369001</v>
      </c>
      <c r="D68">
        <v>1018583.629903923</v>
      </c>
      <c r="E68" t="s">
        <v>6</v>
      </c>
    </row>
    <row r="69" spans="1:5" x14ac:dyDescent="0.2">
      <c r="A69">
        <v>2034</v>
      </c>
      <c r="B69" t="s">
        <v>7</v>
      </c>
      <c r="C69">
        <v>1257638.7347463609</v>
      </c>
      <c r="D69">
        <v>164408.5191895015</v>
      </c>
      <c r="E69" t="s">
        <v>6</v>
      </c>
    </row>
    <row r="70" spans="1:5" x14ac:dyDescent="0.2">
      <c r="A70">
        <v>2034</v>
      </c>
      <c r="B70" t="s">
        <v>8</v>
      </c>
      <c r="C70">
        <v>6759544.5886995038</v>
      </c>
      <c r="D70">
        <v>302828.67578360462</v>
      </c>
      <c r="E70" t="s">
        <v>6</v>
      </c>
    </row>
    <row r="71" spans="1:5" x14ac:dyDescent="0.2">
      <c r="A71">
        <v>2034</v>
      </c>
      <c r="B71" t="s">
        <v>9</v>
      </c>
      <c r="C71">
        <v>566996.59602635307</v>
      </c>
      <c r="D71">
        <v>15350.9125</v>
      </c>
      <c r="E71" t="s">
        <v>6</v>
      </c>
    </row>
    <row r="72" spans="1:5" x14ac:dyDescent="0.2">
      <c r="A72">
        <v>2034</v>
      </c>
      <c r="B72" t="s">
        <v>10</v>
      </c>
      <c r="C72">
        <v>64872731.257259347</v>
      </c>
      <c r="D72">
        <v>1278449.901533731</v>
      </c>
      <c r="E72" t="s">
        <v>6</v>
      </c>
    </row>
    <row r="73" spans="1:5" x14ac:dyDescent="0.2">
      <c r="A73">
        <v>2034</v>
      </c>
      <c r="B73" t="s">
        <v>11</v>
      </c>
      <c r="C73">
        <v>5750206.1077324077</v>
      </c>
      <c r="D73">
        <v>435019.09730668989</v>
      </c>
      <c r="E73" t="s">
        <v>6</v>
      </c>
    </row>
    <row r="74" spans="1:5" x14ac:dyDescent="0.2">
      <c r="A74">
        <v>2035</v>
      </c>
      <c r="B74" t="s">
        <v>5</v>
      </c>
      <c r="C74">
        <v>20380773.141434949</v>
      </c>
      <c r="D74">
        <v>956415.26100880688</v>
      </c>
      <c r="E74" t="s">
        <v>6</v>
      </c>
    </row>
    <row r="75" spans="1:5" x14ac:dyDescent="0.2">
      <c r="A75">
        <v>2035</v>
      </c>
      <c r="B75" t="s">
        <v>7</v>
      </c>
      <c r="C75">
        <v>1213990.8087652</v>
      </c>
      <c r="D75">
        <v>158702.5158055464</v>
      </c>
      <c r="E75" t="s">
        <v>6</v>
      </c>
    </row>
    <row r="76" spans="1:5" x14ac:dyDescent="0.2">
      <c r="A76">
        <v>2035</v>
      </c>
      <c r="B76" t="s">
        <v>8</v>
      </c>
      <c r="C76">
        <v>6344296.4266459402</v>
      </c>
      <c r="D76">
        <v>284225.49188768328</v>
      </c>
      <c r="E76" t="s">
        <v>6</v>
      </c>
    </row>
    <row r="77" spans="1:5" x14ac:dyDescent="0.2">
      <c r="A77">
        <v>2035</v>
      </c>
      <c r="B77" t="s">
        <v>9</v>
      </c>
      <c r="C77">
        <v>570768.19200878998</v>
      </c>
      <c r="D77">
        <v>15453.025</v>
      </c>
      <c r="E77" t="s">
        <v>6</v>
      </c>
    </row>
    <row r="78" spans="1:5" x14ac:dyDescent="0.2">
      <c r="A78">
        <v>2035</v>
      </c>
      <c r="B78" t="s">
        <v>10</v>
      </c>
      <c r="C78">
        <v>60702707.636473708</v>
      </c>
      <c r="D78">
        <v>1196271.0540570391</v>
      </c>
      <c r="E78" t="s">
        <v>6</v>
      </c>
    </row>
    <row r="79" spans="1:5" x14ac:dyDescent="0.2">
      <c r="A79">
        <v>2036</v>
      </c>
      <c r="B79" t="s">
        <v>5</v>
      </c>
      <c r="C79">
        <v>19000244.23803081</v>
      </c>
      <c r="D79">
        <v>891630.72598078439</v>
      </c>
      <c r="E79" t="s">
        <v>6</v>
      </c>
    </row>
    <row r="80" spans="1:5" x14ac:dyDescent="0.2">
      <c r="A80">
        <v>2036</v>
      </c>
      <c r="B80" t="s">
        <v>7</v>
      </c>
      <c r="C80">
        <v>1159562.370945317</v>
      </c>
      <c r="D80">
        <v>151587.1983327831</v>
      </c>
      <c r="E80" t="s">
        <v>6</v>
      </c>
    </row>
    <row r="81" spans="1:5" x14ac:dyDescent="0.2">
      <c r="A81">
        <v>2036</v>
      </c>
      <c r="B81" t="s">
        <v>8</v>
      </c>
      <c r="C81">
        <v>5908592.6901069814</v>
      </c>
      <c r="D81">
        <v>264705.894991963</v>
      </c>
      <c r="E81" t="s">
        <v>6</v>
      </c>
    </row>
    <row r="82" spans="1:5" x14ac:dyDescent="0.2">
      <c r="A82">
        <v>2036</v>
      </c>
      <c r="B82" t="s">
        <v>9</v>
      </c>
      <c r="C82">
        <v>574539.78799122688</v>
      </c>
      <c r="D82">
        <v>15555.137500000001</v>
      </c>
      <c r="E82" t="s">
        <v>6</v>
      </c>
    </row>
    <row r="83" spans="1:5" x14ac:dyDescent="0.2">
      <c r="A83">
        <v>2036</v>
      </c>
      <c r="B83" t="s">
        <v>10</v>
      </c>
      <c r="C83">
        <v>56437207.536772467</v>
      </c>
      <c r="D83">
        <v>1112210.647214758</v>
      </c>
      <c r="E83" t="s">
        <v>6</v>
      </c>
    </row>
    <row r="84" spans="1:5" x14ac:dyDescent="0.2">
      <c r="A84">
        <v>2037</v>
      </c>
      <c r="B84" t="s">
        <v>5</v>
      </c>
      <c r="C84">
        <v>17599176.11608506</v>
      </c>
      <c r="D84">
        <v>825882.34027221764</v>
      </c>
      <c r="E84" t="s">
        <v>6</v>
      </c>
    </row>
    <row r="85" spans="1:5" x14ac:dyDescent="0.2">
      <c r="A85">
        <v>2037</v>
      </c>
      <c r="B85" t="s">
        <v>7</v>
      </c>
      <c r="C85">
        <v>1091198.1495290401</v>
      </c>
      <c r="D85">
        <v>142650.08459887761</v>
      </c>
      <c r="E85" t="s">
        <v>6</v>
      </c>
    </row>
    <row r="86" spans="1:5" x14ac:dyDescent="0.2">
      <c r="A86">
        <v>2037</v>
      </c>
      <c r="B86" t="s">
        <v>8</v>
      </c>
      <c r="C86">
        <v>5474934.5110165598</v>
      </c>
      <c r="D86">
        <v>245277.93939622259</v>
      </c>
      <c r="E86" t="s">
        <v>6</v>
      </c>
    </row>
    <row r="87" spans="1:5" x14ac:dyDescent="0.2">
      <c r="A87">
        <v>2037</v>
      </c>
      <c r="B87" t="s">
        <v>9</v>
      </c>
      <c r="C87">
        <v>578939.98330406996</v>
      </c>
      <c r="D87">
        <v>15674.268749999999</v>
      </c>
      <c r="E87" t="s">
        <v>6</v>
      </c>
    </row>
    <row r="88" spans="1:5" x14ac:dyDescent="0.2">
      <c r="A88">
        <v>2037</v>
      </c>
      <c r="B88" t="s">
        <v>10</v>
      </c>
      <c r="C88">
        <v>52066506.501969777</v>
      </c>
      <c r="D88">
        <v>1026077.040701134</v>
      </c>
      <c r="E88" t="s">
        <v>6</v>
      </c>
    </row>
    <row r="89" spans="1:5" x14ac:dyDescent="0.2">
      <c r="A89">
        <v>2038</v>
      </c>
      <c r="B89" t="s">
        <v>5</v>
      </c>
      <c r="C89">
        <v>16287600.30349919</v>
      </c>
      <c r="D89">
        <v>764333.58967173728</v>
      </c>
      <c r="E89" t="s">
        <v>6</v>
      </c>
    </row>
    <row r="90" spans="1:5" x14ac:dyDescent="0.2">
      <c r="A90">
        <v>2038</v>
      </c>
      <c r="B90" t="s">
        <v>7</v>
      </c>
      <c r="C90">
        <v>1038610.286901135</v>
      </c>
      <c r="D90">
        <v>135775.38172664249</v>
      </c>
      <c r="E90" t="s">
        <v>6</v>
      </c>
    </row>
    <row r="91" spans="1:5" x14ac:dyDescent="0.2">
      <c r="A91">
        <v>2038</v>
      </c>
      <c r="B91" t="s">
        <v>8</v>
      </c>
      <c r="C91">
        <v>5056618.0127901873</v>
      </c>
      <c r="D91">
        <v>226537.29355033149</v>
      </c>
      <c r="E91" t="s">
        <v>6</v>
      </c>
    </row>
    <row r="92" spans="1:5" x14ac:dyDescent="0.2">
      <c r="A92">
        <v>2038</v>
      </c>
      <c r="B92" t="s">
        <v>9</v>
      </c>
      <c r="C92">
        <v>584597.37727772538</v>
      </c>
      <c r="D92">
        <v>15827.4375</v>
      </c>
      <c r="E92" t="s">
        <v>6</v>
      </c>
    </row>
    <row r="93" spans="1:5" x14ac:dyDescent="0.2">
      <c r="A93">
        <v>2038</v>
      </c>
      <c r="B93" t="s">
        <v>10</v>
      </c>
      <c r="C93">
        <v>47652487.435066514</v>
      </c>
      <c r="D93">
        <v>939089.76373460412</v>
      </c>
      <c r="E93" t="s">
        <v>6</v>
      </c>
    </row>
    <row r="94" spans="1:5" x14ac:dyDescent="0.2">
      <c r="A94">
        <v>2039</v>
      </c>
      <c r="B94" t="s">
        <v>5</v>
      </c>
      <c r="C94">
        <v>15057447.821560441</v>
      </c>
      <c r="D94">
        <v>706605.81855484378</v>
      </c>
      <c r="E94" t="s">
        <v>6</v>
      </c>
    </row>
    <row r="95" spans="1:5" x14ac:dyDescent="0.2">
      <c r="A95">
        <v>2039</v>
      </c>
      <c r="B95" t="s">
        <v>7</v>
      </c>
      <c r="C95">
        <v>1009949.9017689259</v>
      </c>
      <c r="D95">
        <v>132028.66866127439</v>
      </c>
      <c r="E95" t="s">
        <v>6</v>
      </c>
    </row>
    <row r="96" spans="1:5" x14ac:dyDescent="0.2">
      <c r="A96">
        <v>2039</v>
      </c>
      <c r="B96" t="s">
        <v>8</v>
      </c>
      <c r="C96">
        <v>4655688.7528764019</v>
      </c>
      <c r="D96">
        <v>208575.59875426959</v>
      </c>
      <c r="E96" t="s">
        <v>6</v>
      </c>
    </row>
    <row r="97" spans="1:5" x14ac:dyDescent="0.2">
      <c r="A97">
        <v>2039</v>
      </c>
      <c r="B97" t="s">
        <v>9</v>
      </c>
      <c r="C97">
        <v>591511.96991219313</v>
      </c>
      <c r="D97">
        <v>16014.643749999999</v>
      </c>
      <c r="E97" t="s">
        <v>6</v>
      </c>
    </row>
    <row r="98" spans="1:5" x14ac:dyDescent="0.2">
      <c r="A98">
        <v>2039</v>
      </c>
      <c r="B98" t="s">
        <v>10</v>
      </c>
      <c r="C98">
        <v>43310075.727349937</v>
      </c>
      <c r="D98">
        <v>853513.65629226563</v>
      </c>
      <c r="E98" t="s">
        <v>6</v>
      </c>
    </row>
    <row r="99" spans="1:5" x14ac:dyDescent="0.2">
      <c r="A99">
        <v>2040</v>
      </c>
      <c r="B99" t="s">
        <v>5</v>
      </c>
      <c r="C99">
        <v>13833897.23129577</v>
      </c>
      <c r="D99">
        <v>649187.85658526816</v>
      </c>
      <c r="E99" t="s">
        <v>6</v>
      </c>
    </row>
    <row r="100" spans="1:5" x14ac:dyDescent="0.2">
      <c r="A100">
        <v>2040</v>
      </c>
      <c r="B100" t="s">
        <v>7</v>
      </c>
      <c r="C100">
        <v>976556.60900020599</v>
      </c>
      <c r="D100">
        <v>127663.2323374051</v>
      </c>
      <c r="E100" t="s">
        <v>6</v>
      </c>
    </row>
    <row r="101" spans="1:5" x14ac:dyDescent="0.2">
      <c r="A101">
        <v>2040</v>
      </c>
      <c r="B101" t="s">
        <v>8</v>
      </c>
      <c r="C101">
        <v>4260896.1653082361</v>
      </c>
      <c r="D101">
        <v>190888.8278581475</v>
      </c>
      <c r="E101" t="s">
        <v>6</v>
      </c>
    </row>
    <row r="102" spans="1:5" x14ac:dyDescent="0.2">
      <c r="A102">
        <v>2040</v>
      </c>
      <c r="B102" t="s">
        <v>9</v>
      </c>
      <c r="C102">
        <v>599683.76120747312</v>
      </c>
      <c r="D102">
        <v>16235.887500000001</v>
      </c>
      <c r="E102" t="s">
        <v>6</v>
      </c>
    </row>
    <row r="103" spans="1:5" x14ac:dyDescent="0.2">
      <c r="A103">
        <v>2040</v>
      </c>
      <c r="B103" t="s">
        <v>10</v>
      </c>
      <c r="C103">
        <v>39049879.876477338</v>
      </c>
      <c r="D103">
        <v>769557.78052585071</v>
      </c>
      <c r="E103" t="s">
        <v>6</v>
      </c>
    </row>
    <row r="104" spans="1:5" x14ac:dyDescent="0.2">
      <c r="A104">
        <v>2041</v>
      </c>
      <c r="B104" t="s">
        <v>5</v>
      </c>
      <c r="C104">
        <v>12629418.77253403</v>
      </c>
      <c r="D104">
        <v>592664.89881905518</v>
      </c>
      <c r="E104" t="s">
        <v>6</v>
      </c>
    </row>
    <row r="105" spans="1:5" x14ac:dyDescent="0.2">
      <c r="A105">
        <v>2041</v>
      </c>
      <c r="B105" t="s">
        <v>7</v>
      </c>
      <c r="C105">
        <v>933697.50095846294</v>
      </c>
      <c r="D105">
        <v>122060.3494965335</v>
      </c>
      <c r="E105" t="s">
        <v>6</v>
      </c>
    </row>
    <row r="106" spans="1:5" x14ac:dyDescent="0.2">
      <c r="A106">
        <v>2041</v>
      </c>
      <c r="B106" t="s">
        <v>8</v>
      </c>
      <c r="C106">
        <v>3872240.2500856891</v>
      </c>
      <c r="D106">
        <v>173476.98086196501</v>
      </c>
      <c r="E106" t="s">
        <v>6</v>
      </c>
    </row>
    <row r="107" spans="1:5" x14ac:dyDescent="0.2">
      <c r="A107">
        <v>2041</v>
      </c>
      <c r="B107" t="s">
        <v>9</v>
      </c>
      <c r="C107">
        <v>607226.95317234704</v>
      </c>
      <c r="D107">
        <v>16440.112499999999</v>
      </c>
      <c r="E107" t="s">
        <v>6</v>
      </c>
    </row>
    <row r="108" spans="1:5" x14ac:dyDescent="0.2">
      <c r="A108">
        <v>2041</v>
      </c>
      <c r="B108" t="s">
        <v>10</v>
      </c>
      <c r="C108">
        <v>34809132.937976442</v>
      </c>
      <c r="D108">
        <v>685985.18537094491</v>
      </c>
      <c r="E108" t="s">
        <v>6</v>
      </c>
    </row>
    <row r="109" spans="1:5" x14ac:dyDescent="0.2">
      <c r="A109">
        <v>2042</v>
      </c>
      <c r="B109" t="s">
        <v>5</v>
      </c>
      <c r="C109">
        <v>11474087.72956829</v>
      </c>
      <c r="D109">
        <v>538448.29803843063</v>
      </c>
      <c r="E109" t="s">
        <v>6</v>
      </c>
    </row>
    <row r="110" spans="1:5" x14ac:dyDescent="0.2">
      <c r="A110">
        <v>2042</v>
      </c>
      <c r="B110" t="s">
        <v>7</v>
      </c>
      <c r="C110">
        <v>891364.27154299896</v>
      </c>
      <c r="D110">
        <v>116526.2136843843</v>
      </c>
      <c r="E110" t="s">
        <v>6</v>
      </c>
    </row>
    <row r="111" spans="1:5" x14ac:dyDescent="0.2">
      <c r="A111">
        <v>2042</v>
      </c>
      <c r="B111" t="s">
        <v>8</v>
      </c>
      <c r="C111">
        <v>3495857.6795543809</v>
      </c>
      <c r="D111">
        <v>156614.981665662</v>
      </c>
      <c r="E111" t="s">
        <v>6</v>
      </c>
    </row>
    <row r="112" spans="1:5" x14ac:dyDescent="0.2">
      <c r="A112">
        <v>2042</v>
      </c>
      <c r="B112" t="s">
        <v>9</v>
      </c>
      <c r="C112">
        <v>614770.14513722085</v>
      </c>
      <c r="D112">
        <v>16644.337500000001</v>
      </c>
      <c r="E112" t="s">
        <v>6</v>
      </c>
    </row>
    <row r="113" spans="1:5" x14ac:dyDescent="0.2">
      <c r="A113">
        <v>2042</v>
      </c>
      <c r="B113" t="s">
        <v>10</v>
      </c>
      <c r="C113">
        <v>30586066.828904349</v>
      </c>
      <c r="D113">
        <v>602761.02713559242</v>
      </c>
      <c r="E113" t="s">
        <v>6</v>
      </c>
    </row>
    <row r="114" spans="1:5" x14ac:dyDescent="0.2">
      <c r="A114">
        <v>2043</v>
      </c>
      <c r="B114" t="s">
        <v>5</v>
      </c>
      <c r="C114">
        <v>10370104.73295659</v>
      </c>
      <c r="D114">
        <v>486641.32395916729</v>
      </c>
      <c r="E114" t="s">
        <v>6</v>
      </c>
    </row>
    <row r="115" spans="1:5" x14ac:dyDescent="0.2">
      <c r="A115">
        <v>2043</v>
      </c>
      <c r="B115" t="s">
        <v>7</v>
      </c>
      <c r="C115">
        <v>851397.49594579078</v>
      </c>
      <c r="D115">
        <v>111301.4395014857</v>
      </c>
      <c r="E115" t="s">
        <v>6</v>
      </c>
    </row>
    <row r="116" spans="1:5" x14ac:dyDescent="0.2">
      <c r="A116">
        <v>2043</v>
      </c>
      <c r="B116" t="s">
        <v>8</v>
      </c>
      <c r="C116">
        <v>3136862.3473356599</v>
      </c>
      <c r="D116">
        <v>140531.93351918829</v>
      </c>
      <c r="E116" t="s">
        <v>6</v>
      </c>
    </row>
    <row r="117" spans="1:5" x14ac:dyDescent="0.2">
      <c r="A117">
        <v>2043</v>
      </c>
      <c r="B117" t="s">
        <v>9</v>
      </c>
      <c r="C117">
        <v>622313.33710209478</v>
      </c>
      <c r="D117">
        <v>16848.5625</v>
      </c>
      <c r="E117" t="s">
        <v>6</v>
      </c>
    </row>
    <row r="118" spans="1:5" x14ac:dyDescent="0.2">
      <c r="A118">
        <v>2043</v>
      </c>
      <c r="B118" t="s">
        <v>10</v>
      </c>
      <c r="C118">
        <v>26448752.742562011</v>
      </c>
      <c r="D118">
        <v>521226.78796007432</v>
      </c>
      <c r="E118" t="s">
        <v>6</v>
      </c>
    </row>
    <row r="119" spans="1:5" x14ac:dyDescent="0.2">
      <c r="A119">
        <v>2044</v>
      </c>
      <c r="B119" t="s">
        <v>5</v>
      </c>
      <c r="C119">
        <v>8759710.6977102533</v>
      </c>
      <c r="D119">
        <v>411069.83209972212</v>
      </c>
      <c r="E119" t="s">
        <v>6</v>
      </c>
    </row>
    <row r="120" spans="1:5" x14ac:dyDescent="0.2">
      <c r="A120">
        <v>2044</v>
      </c>
      <c r="B120" t="s">
        <v>7</v>
      </c>
      <c r="C120">
        <v>781718.57796380692</v>
      </c>
      <c r="D120">
        <v>102192.458195773</v>
      </c>
      <c r="E120" t="s">
        <v>6</v>
      </c>
    </row>
    <row r="121" spans="1:5" x14ac:dyDescent="0.2">
      <c r="A121">
        <v>2044</v>
      </c>
      <c r="B121" t="s">
        <v>8</v>
      </c>
      <c r="C121">
        <v>2669418.752364397</v>
      </c>
      <c r="D121">
        <v>119590.3859028998</v>
      </c>
      <c r="E121" t="s">
        <v>6</v>
      </c>
    </row>
    <row r="122" spans="1:5" x14ac:dyDescent="0.2">
      <c r="A122">
        <v>2044</v>
      </c>
      <c r="B122" t="s">
        <v>9</v>
      </c>
      <c r="C122">
        <v>622106.10655361088</v>
      </c>
      <c r="D122">
        <v>16842.951923076969</v>
      </c>
      <c r="E122" t="s">
        <v>6</v>
      </c>
    </row>
    <row r="123" spans="1:5" x14ac:dyDescent="0.2">
      <c r="A123">
        <v>2044</v>
      </c>
      <c r="B123" t="s">
        <v>10</v>
      </c>
      <c r="C123">
        <v>22240103.309791692</v>
      </c>
      <c r="D123">
        <v>438286.73982832383</v>
      </c>
      <c r="E123" t="s">
        <v>6</v>
      </c>
    </row>
    <row r="124" spans="1:5" x14ac:dyDescent="0.2">
      <c r="A124">
        <v>2045</v>
      </c>
      <c r="B124" t="s">
        <v>5</v>
      </c>
      <c r="C124">
        <v>7467716.4666319154</v>
      </c>
      <c r="D124">
        <v>350439.9928309425</v>
      </c>
      <c r="E124" t="s">
        <v>6</v>
      </c>
    </row>
    <row r="125" spans="1:5" x14ac:dyDescent="0.2">
      <c r="A125">
        <v>2045</v>
      </c>
      <c r="B125" t="s">
        <v>7</v>
      </c>
      <c r="C125">
        <v>733548.09579664364</v>
      </c>
      <c r="D125">
        <v>95895.230364805466</v>
      </c>
      <c r="E125" t="s">
        <v>6</v>
      </c>
    </row>
    <row r="126" spans="1:5" x14ac:dyDescent="0.2">
      <c r="A126">
        <v>2045</v>
      </c>
      <c r="B126" t="s">
        <v>8</v>
      </c>
      <c r="C126">
        <v>2264160.103828744</v>
      </c>
      <c r="D126">
        <v>101434.7338060008</v>
      </c>
      <c r="E126" t="s">
        <v>6</v>
      </c>
    </row>
    <row r="127" spans="1:5" x14ac:dyDescent="0.2">
      <c r="A127">
        <v>2045</v>
      </c>
      <c r="B127" t="s">
        <v>9</v>
      </c>
      <c r="C127">
        <v>627574.22995964973</v>
      </c>
      <c r="D127">
        <v>16990.996346153901</v>
      </c>
      <c r="E127" t="s">
        <v>6</v>
      </c>
    </row>
    <row r="128" spans="1:5" x14ac:dyDescent="0.2">
      <c r="A128">
        <v>2045</v>
      </c>
      <c r="B128" t="s">
        <v>10</v>
      </c>
      <c r="C128">
        <v>18003796.008130729</v>
      </c>
      <c r="D128">
        <v>354801.6368010171</v>
      </c>
      <c r="E128" t="s">
        <v>6</v>
      </c>
    </row>
    <row r="129" spans="1:5" x14ac:dyDescent="0.2">
      <c r="A129">
        <v>2046</v>
      </c>
      <c r="B129" t="s">
        <v>5</v>
      </c>
      <c r="C129">
        <v>6175722.2355535757</v>
      </c>
      <c r="D129">
        <v>289810.15356216283</v>
      </c>
      <c r="E129" t="s">
        <v>6</v>
      </c>
    </row>
    <row r="130" spans="1:5" x14ac:dyDescent="0.2">
      <c r="A130">
        <v>2046</v>
      </c>
      <c r="B130" t="s">
        <v>7</v>
      </c>
      <c r="C130">
        <v>685377.61362948059</v>
      </c>
      <c r="D130">
        <v>89598.002533837949</v>
      </c>
      <c r="E130" t="s">
        <v>6</v>
      </c>
    </row>
    <row r="131" spans="1:5" x14ac:dyDescent="0.2">
      <c r="A131">
        <v>2046</v>
      </c>
      <c r="B131" t="s">
        <v>8</v>
      </c>
      <c r="C131">
        <v>1858901.4552930901</v>
      </c>
      <c r="D131">
        <v>83279.081709101665</v>
      </c>
      <c r="E131" t="s">
        <v>6</v>
      </c>
    </row>
    <row r="132" spans="1:5" x14ac:dyDescent="0.2">
      <c r="A132">
        <v>2046</v>
      </c>
      <c r="B132" t="s">
        <v>9</v>
      </c>
      <c r="C132">
        <v>633042.35336568858</v>
      </c>
      <c r="D132">
        <v>17139.040769230829</v>
      </c>
      <c r="E132" t="s">
        <v>6</v>
      </c>
    </row>
    <row r="133" spans="1:5" x14ac:dyDescent="0.2">
      <c r="A133">
        <v>2046</v>
      </c>
      <c r="B133" t="s">
        <v>10</v>
      </c>
      <c r="C133">
        <v>13767488.70646978</v>
      </c>
      <c r="D133">
        <v>271316.53377371049</v>
      </c>
      <c r="E133" t="s">
        <v>6</v>
      </c>
    </row>
    <row r="134" spans="1:5" x14ac:dyDescent="0.2">
      <c r="A134">
        <v>2047</v>
      </c>
      <c r="B134" t="s">
        <v>5</v>
      </c>
      <c r="C134">
        <v>4883728.0044752369</v>
      </c>
      <c r="D134">
        <v>229180.31429338321</v>
      </c>
      <c r="E134" t="s">
        <v>6</v>
      </c>
    </row>
    <row r="135" spans="1:5" x14ac:dyDescent="0.2">
      <c r="A135">
        <v>2047</v>
      </c>
      <c r="B135" t="s">
        <v>7</v>
      </c>
      <c r="C135">
        <v>637207.13146231743</v>
      </c>
      <c r="D135">
        <v>83300.774702870403</v>
      </c>
      <c r="E135" t="s">
        <v>6</v>
      </c>
    </row>
    <row r="136" spans="1:5" x14ac:dyDescent="0.2">
      <c r="A136">
        <v>2047</v>
      </c>
      <c r="B136" t="s">
        <v>8</v>
      </c>
      <c r="C136">
        <v>1453642.8067574371</v>
      </c>
      <c r="D136">
        <v>65123.42961220257</v>
      </c>
      <c r="E136" t="s">
        <v>6</v>
      </c>
    </row>
    <row r="137" spans="1:5" x14ac:dyDescent="0.2">
      <c r="A137">
        <v>2047</v>
      </c>
      <c r="B137" t="s">
        <v>9</v>
      </c>
      <c r="C137">
        <v>638510.47677172732</v>
      </c>
      <c r="D137">
        <v>17287.08519230775</v>
      </c>
      <c r="E137" t="s">
        <v>6</v>
      </c>
    </row>
    <row r="138" spans="1:5" x14ac:dyDescent="0.2">
      <c r="A138">
        <v>2047</v>
      </c>
      <c r="B138" t="s">
        <v>10</v>
      </c>
      <c r="C138">
        <v>9531181.4048088323</v>
      </c>
      <c r="D138">
        <v>187831.4307464039</v>
      </c>
      <c r="E138" t="s">
        <v>6</v>
      </c>
    </row>
    <row r="139" spans="1:5" x14ac:dyDescent="0.2">
      <c r="A139">
        <v>2048</v>
      </c>
      <c r="B139" t="s">
        <v>5</v>
      </c>
      <c r="C139">
        <v>3591733.7733968981</v>
      </c>
      <c r="D139">
        <v>168550.47502460351</v>
      </c>
      <c r="E139" t="s">
        <v>6</v>
      </c>
    </row>
    <row r="140" spans="1:5" x14ac:dyDescent="0.2">
      <c r="A140">
        <v>2048</v>
      </c>
      <c r="B140" t="s">
        <v>7</v>
      </c>
      <c r="C140">
        <v>589036.64929515438</v>
      </c>
      <c r="D140">
        <v>77003.546871902887</v>
      </c>
      <c r="E140" t="s">
        <v>6</v>
      </c>
    </row>
    <row r="141" spans="1:5" x14ac:dyDescent="0.2">
      <c r="A141">
        <v>2048</v>
      </c>
      <c r="B141" t="s">
        <v>8</v>
      </c>
      <c r="C141">
        <v>1048384.158221784</v>
      </c>
      <c r="D141">
        <v>46967.777515303489</v>
      </c>
      <c r="E141" t="s">
        <v>6</v>
      </c>
    </row>
    <row r="142" spans="1:5" x14ac:dyDescent="0.2">
      <c r="A142">
        <v>2048</v>
      </c>
      <c r="B142" t="s">
        <v>9</v>
      </c>
      <c r="C142">
        <v>643978.60017776617</v>
      </c>
      <c r="D142">
        <v>17435.129615384682</v>
      </c>
      <c r="E142" t="s">
        <v>6</v>
      </c>
    </row>
    <row r="143" spans="1:5" x14ac:dyDescent="0.2">
      <c r="A143">
        <v>2048</v>
      </c>
      <c r="B143" t="s">
        <v>10</v>
      </c>
      <c r="C143">
        <v>5294874.103147882</v>
      </c>
      <c r="D143">
        <v>104346.3277190973</v>
      </c>
      <c r="E143" t="s">
        <v>6</v>
      </c>
    </row>
    <row r="144" spans="1:5" x14ac:dyDescent="0.2">
      <c r="A144">
        <v>2049</v>
      </c>
      <c r="B144" t="s">
        <v>5</v>
      </c>
      <c r="C144">
        <v>2299739.5423185588</v>
      </c>
      <c r="D144">
        <v>107920.6357558239</v>
      </c>
      <c r="E144" t="s">
        <v>6</v>
      </c>
    </row>
    <row r="145" spans="1:5" x14ac:dyDescent="0.2">
      <c r="A145">
        <v>2049</v>
      </c>
      <c r="B145" t="s">
        <v>7</v>
      </c>
      <c r="C145">
        <v>540866.16712799121</v>
      </c>
      <c r="D145">
        <v>70706.319040935356</v>
      </c>
      <c r="E145" t="s">
        <v>6</v>
      </c>
    </row>
    <row r="146" spans="1:5" x14ac:dyDescent="0.2">
      <c r="A146">
        <v>2049</v>
      </c>
      <c r="B146" t="s">
        <v>8</v>
      </c>
      <c r="C146">
        <v>643125.50968613138</v>
      </c>
      <c r="D146">
        <v>28812.125418404401</v>
      </c>
      <c r="E146" t="s">
        <v>6</v>
      </c>
    </row>
    <row r="147" spans="1:5" x14ac:dyDescent="0.2">
      <c r="A147">
        <v>2049</v>
      </c>
      <c r="B147" t="s">
        <v>9</v>
      </c>
      <c r="C147">
        <v>649446.72358380491</v>
      </c>
      <c r="D147">
        <v>17583.17403846161</v>
      </c>
      <c r="E147" t="s">
        <v>6</v>
      </c>
    </row>
    <row r="148" spans="1:5" x14ac:dyDescent="0.2">
      <c r="A148">
        <v>2049</v>
      </c>
      <c r="B148" t="s">
        <v>10</v>
      </c>
      <c r="C148">
        <v>1058566.801486931</v>
      </c>
      <c r="D148">
        <v>20861.224691790751</v>
      </c>
      <c r="E148" t="s">
        <v>6</v>
      </c>
    </row>
    <row r="149" spans="1:5" x14ac:dyDescent="0.2">
      <c r="A149">
        <v>2050</v>
      </c>
      <c r="B149" t="s">
        <v>5</v>
      </c>
      <c r="C149">
        <v>1007745.31124022</v>
      </c>
      <c r="D149">
        <v>47290.796487044187</v>
      </c>
      <c r="E149" t="s">
        <v>6</v>
      </c>
    </row>
    <row r="150" spans="1:5" x14ac:dyDescent="0.2">
      <c r="A150">
        <v>2050</v>
      </c>
      <c r="B150" t="s">
        <v>7</v>
      </c>
      <c r="C150">
        <v>492695.6849608281</v>
      </c>
      <c r="D150">
        <v>64409.091209967817</v>
      </c>
      <c r="E150" t="s">
        <v>6</v>
      </c>
    </row>
    <row r="151" spans="1:5" x14ac:dyDescent="0.2">
      <c r="A151">
        <v>2050</v>
      </c>
      <c r="B151" t="s">
        <v>8</v>
      </c>
      <c r="C151">
        <v>237866.86115047839</v>
      </c>
      <c r="D151">
        <v>10656.47332150532</v>
      </c>
      <c r="E151" t="s">
        <v>6</v>
      </c>
    </row>
    <row r="152" spans="1:5" x14ac:dyDescent="0.2">
      <c r="A152">
        <v>2050</v>
      </c>
      <c r="B152" t="s">
        <v>9</v>
      </c>
      <c r="C152">
        <v>654914.84698984376</v>
      </c>
      <c r="D152">
        <v>17731.218461538541</v>
      </c>
      <c r="E152" t="s">
        <v>6</v>
      </c>
    </row>
    <row r="153" spans="1:5" x14ac:dyDescent="0.2">
      <c r="A153">
        <v>2050</v>
      </c>
      <c r="B153" t="s">
        <v>10</v>
      </c>
      <c r="C153">
        <v>1058566.801486931</v>
      </c>
      <c r="D153">
        <v>20861.224691790751</v>
      </c>
      <c r="E153" t="s">
        <v>6</v>
      </c>
    </row>
    <row r="154" spans="1:5" x14ac:dyDescent="0.2">
      <c r="A154">
        <v>2014</v>
      </c>
      <c r="B154" t="s">
        <v>5</v>
      </c>
      <c r="C154">
        <v>34092168.605000377</v>
      </c>
      <c r="D154">
        <v>1599854.4367493989</v>
      </c>
      <c r="E154" t="s">
        <v>6</v>
      </c>
    </row>
    <row r="155" spans="1:5" x14ac:dyDescent="0.2">
      <c r="A155">
        <v>2014</v>
      </c>
      <c r="B155" t="s">
        <v>7</v>
      </c>
      <c r="C155">
        <v>1516108.0795625171</v>
      </c>
      <c r="D155">
        <v>198197.68380653681</v>
      </c>
      <c r="E155" t="s">
        <v>6</v>
      </c>
    </row>
    <row r="156" spans="1:5" x14ac:dyDescent="0.2">
      <c r="A156">
        <v>2014</v>
      </c>
      <c r="B156" t="s">
        <v>8</v>
      </c>
      <c r="C156">
        <v>11081807.477463931</v>
      </c>
      <c r="D156">
        <v>496466.74264114921</v>
      </c>
      <c r="E156" t="s">
        <v>6</v>
      </c>
    </row>
    <row r="157" spans="1:5" x14ac:dyDescent="0.2">
      <c r="A157">
        <v>2014</v>
      </c>
      <c r="B157" t="s">
        <v>9</v>
      </c>
      <c r="C157">
        <v>430590.54132821708</v>
      </c>
      <c r="D157">
        <v>11657.84375</v>
      </c>
      <c r="E157" t="s">
        <v>6</v>
      </c>
    </row>
    <row r="158" spans="1:5" x14ac:dyDescent="0.2">
      <c r="A158">
        <v>2014</v>
      </c>
      <c r="B158" t="s">
        <v>10</v>
      </c>
      <c r="C158">
        <v>98428293.388732925</v>
      </c>
      <c r="D158">
        <v>1939730.9093083329</v>
      </c>
      <c r="E158" t="s">
        <v>6</v>
      </c>
    </row>
    <row r="159" spans="1:5" x14ac:dyDescent="0.2">
      <c r="A159">
        <v>2015</v>
      </c>
      <c r="B159" t="s">
        <v>5</v>
      </c>
      <c r="C159">
        <v>35914290.707049213</v>
      </c>
      <c r="D159">
        <v>1685361.7614091269</v>
      </c>
      <c r="E159" t="s">
        <v>6</v>
      </c>
    </row>
    <row r="160" spans="1:5" x14ac:dyDescent="0.2">
      <c r="A160">
        <v>2015</v>
      </c>
      <c r="B160" t="s">
        <v>7</v>
      </c>
      <c r="C160">
        <v>1552919.5834020509</v>
      </c>
      <c r="D160">
        <v>203009.9758171014</v>
      </c>
      <c r="E160" t="s">
        <v>6</v>
      </c>
    </row>
    <row r="161" spans="1:5" x14ac:dyDescent="0.2">
      <c r="A161">
        <v>2015</v>
      </c>
      <c r="B161" t="s">
        <v>8</v>
      </c>
      <c r="C161">
        <v>11779342.567415981</v>
      </c>
      <c r="D161">
        <v>527716.42593429773</v>
      </c>
      <c r="E161" t="s">
        <v>6</v>
      </c>
    </row>
    <row r="162" spans="1:5" x14ac:dyDescent="0.2">
      <c r="A162">
        <v>2015</v>
      </c>
      <c r="B162" t="s">
        <v>9</v>
      </c>
      <c r="C162">
        <v>448191.3225795895</v>
      </c>
      <c r="D162">
        <v>12134.36875</v>
      </c>
      <c r="E162" t="s">
        <v>6</v>
      </c>
    </row>
    <row r="163" spans="1:5" x14ac:dyDescent="0.2">
      <c r="A163">
        <v>2015</v>
      </c>
      <c r="B163" t="s">
        <v>10</v>
      </c>
      <c r="C163">
        <v>110756251.70797309</v>
      </c>
      <c r="D163">
        <v>2182678.551467008</v>
      </c>
      <c r="E163" t="s">
        <v>6</v>
      </c>
    </row>
    <row r="164" spans="1:5" x14ac:dyDescent="0.2">
      <c r="A164">
        <v>2016</v>
      </c>
      <c r="B164" t="s">
        <v>5</v>
      </c>
      <c r="C164">
        <v>34152319.17358654</v>
      </c>
      <c r="D164">
        <v>1602677.142313851</v>
      </c>
      <c r="E164" t="s">
        <v>6</v>
      </c>
    </row>
    <row r="165" spans="1:5" x14ac:dyDescent="0.2">
      <c r="A165">
        <v>2016</v>
      </c>
      <c r="B165" t="s">
        <v>7</v>
      </c>
      <c r="C165">
        <v>1584998.1796050731</v>
      </c>
      <c r="D165">
        <v>207203.54456916481</v>
      </c>
      <c r="E165" t="s">
        <v>6</v>
      </c>
    </row>
    <row r="166" spans="1:5" x14ac:dyDescent="0.2">
      <c r="A166">
        <v>2016</v>
      </c>
      <c r="B166" t="s">
        <v>8</v>
      </c>
      <c r="C166">
        <v>11364094.40536241</v>
      </c>
      <c r="D166">
        <v>509113.24203837651</v>
      </c>
      <c r="E166" t="s">
        <v>6</v>
      </c>
    </row>
    <row r="167" spans="1:5" x14ac:dyDescent="0.2">
      <c r="A167">
        <v>2016</v>
      </c>
      <c r="B167" t="s">
        <v>9</v>
      </c>
      <c r="C167">
        <v>454477.31588365103</v>
      </c>
      <c r="D167">
        <v>12304.55625</v>
      </c>
      <c r="E167" t="s">
        <v>6</v>
      </c>
    </row>
    <row r="168" spans="1:5" x14ac:dyDescent="0.2">
      <c r="A168">
        <v>2016</v>
      </c>
      <c r="B168" t="s">
        <v>10</v>
      </c>
      <c r="C168">
        <v>108350774.86418299</v>
      </c>
      <c r="D168">
        <v>2135273.7085617548</v>
      </c>
      <c r="E168" t="s">
        <v>6</v>
      </c>
    </row>
    <row r="169" spans="1:5" x14ac:dyDescent="0.2">
      <c r="A169">
        <v>2017</v>
      </c>
      <c r="B169" t="s">
        <v>5</v>
      </c>
      <c r="C169">
        <v>35091988.421865337</v>
      </c>
      <c r="D169">
        <v>1646773.3109487591</v>
      </c>
      <c r="E169" t="s">
        <v>6</v>
      </c>
    </row>
    <row r="170" spans="1:5" x14ac:dyDescent="0.2">
      <c r="A170">
        <v>2017</v>
      </c>
      <c r="B170" t="s">
        <v>7</v>
      </c>
      <c r="C170">
        <v>1583420.5437262361</v>
      </c>
      <c r="D170">
        <v>206997.30348299781</v>
      </c>
      <c r="E170" t="s">
        <v>6</v>
      </c>
    </row>
    <row r="171" spans="1:5" x14ac:dyDescent="0.2">
      <c r="A171">
        <v>2017</v>
      </c>
      <c r="B171" t="s">
        <v>8</v>
      </c>
      <c r="C171">
        <v>11052146.894460101</v>
      </c>
      <c r="D171">
        <v>495137.94379144057</v>
      </c>
      <c r="E171" t="s">
        <v>6</v>
      </c>
    </row>
    <row r="172" spans="1:5" x14ac:dyDescent="0.2">
      <c r="A172">
        <v>2017</v>
      </c>
      <c r="B172" t="s">
        <v>9</v>
      </c>
      <c r="C172">
        <v>467677.90182218031</v>
      </c>
      <c r="D172">
        <v>12661.95</v>
      </c>
      <c r="E172" t="s">
        <v>6</v>
      </c>
    </row>
    <row r="173" spans="1:5" x14ac:dyDescent="0.2">
      <c r="A173">
        <v>2017</v>
      </c>
      <c r="B173" t="s">
        <v>10</v>
      </c>
      <c r="C173">
        <v>113020281.9163326</v>
      </c>
      <c r="D173">
        <v>2227295.8990158341</v>
      </c>
      <c r="E173" t="s">
        <v>6</v>
      </c>
    </row>
    <row r="174" spans="1:5" x14ac:dyDescent="0.2">
      <c r="A174">
        <v>2018</v>
      </c>
      <c r="B174" t="s">
        <v>5</v>
      </c>
      <c r="C174">
        <v>36100610.760962412</v>
      </c>
      <c r="D174">
        <v>1694105.2640112089</v>
      </c>
      <c r="E174" t="s">
        <v>6</v>
      </c>
    </row>
    <row r="175" spans="1:5" x14ac:dyDescent="0.2">
      <c r="A175">
        <v>2018</v>
      </c>
      <c r="B175" t="s">
        <v>7</v>
      </c>
      <c r="C175">
        <v>1545557.282634144</v>
      </c>
      <c r="D175">
        <v>202047.51741498851</v>
      </c>
      <c r="E175" t="s">
        <v>6</v>
      </c>
    </row>
    <row r="176" spans="1:5" x14ac:dyDescent="0.2">
      <c r="A176">
        <v>2018</v>
      </c>
      <c r="B176" t="s">
        <v>8</v>
      </c>
      <c r="C176">
        <v>11028622.983801899</v>
      </c>
      <c r="D176">
        <v>494084.06884167157</v>
      </c>
      <c r="E176" t="s">
        <v>6</v>
      </c>
    </row>
    <row r="177" spans="1:5" x14ac:dyDescent="0.2">
      <c r="A177">
        <v>2018</v>
      </c>
      <c r="B177" t="s">
        <v>9</v>
      </c>
      <c r="C177">
        <v>473335.29579583567</v>
      </c>
      <c r="D177">
        <v>12815.11875</v>
      </c>
      <c r="E177" t="s">
        <v>6</v>
      </c>
    </row>
    <row r="178" spans="1:5" x14ac:dyDescent="0.2">
      <c r="A178">
        <v>2018</v>
      </c>
      <c r="B178" t="s">
        <v>10</v>
      </c>
      <c r="C178">
        <v>108731796.73837399</v>
      </c>
      <c r="D178">
        <v>2142782.5241781329</v>
      </c>
      <c r="E178" t="s">
        <v>6</v>
      </c>
    </row>
    <row r="179" spans="1:5" x14ac:dyDescent="0.2">
      <c r="A179">
        <v>2019</v>
      </c>
      <c r="B179" t="s">
        <v>5</v>
      </c>
      <c r="C179">
        <v>34982690.437483177</v>
      </c>
      <c r="D179">
        <v>1641644.2483987189</v>
      </c>
      <c r="E179" t="s">
        <v>6</v>
      </c>
    </row>
    <row r="180" spans="1:5" x14ac:dyDescent="0.2">
      <c r="A180">
        <v>2019</v>
      </c>
      <c r="B180" t="s">
        <v>7</v>
      </c>
      <c r="C180">
        <v>1537669.1032399579</v>
      </c>
      <c r="D180">
        <v>201016.3119841532</v>
      </c>
      <c r="E180" t="s">
        <v>6</v>
      </c>
    </row>
    <row r="181" spans="1:5" x14ac:dyDescent="0.2">
      <c r="A181">
        <v>2019</v>
      </c>
      <c r="B181" t="s">
        <v>8</v>
      </c>
      <c r="C181">
        <v>11137037.5285745</v>
      </c>
      <c r="D181">
        <v>498941.05774060678</v>
      </c>
      <c r="E181" t="s">
        <v>6</v>
      </c>
    </row>
    <row r="182" spans="1:5" x14ac:dyDescent="0.2">
      <c r="A182">
        <v>2019</v>
      </c>
      <c r="B182" t="s">
        <v>9</v>
      </c>
      <c r="C182">
        <v>485907.28240395879</v>
      </c>
      <c r="D182">
        <v>13155.49375</v>
      </c>
      <c r="E182" t="s">
        <v>6</v>
      </c>
    </row>
    <row r="183" spans="1:5" x14ac:dyDescent="0.2">
      <c r="A183">
        <v>2019</v>
      </c>
      <c r="B183" t="s">
        <v>10</v>
      </c>
      <c r="C183">
        <v>110839351.60628849</v>
      </c>
      <c r="D183">
        <v>2184316.2049889099</v>
      </c>
      <c r="E183" t="s">
        <v>6</v>
      </c>
    </row>
    <row r="184" spans="1:5" x14ac:dyDescent="0.2">
      <c r="A184">
        <v>2020</v>
      </c>
      <c r="B184" t="s">
        <v>5</v>
      </c>
      <c r="C184">
        <v>35640678.974334143</v>
      </c>
      <c r="D184">
        <v>1672521.8934147309</v>
      </c>
      <c r="E184" t="s">
        <v>6</v>
      </c>
    </row>
    <row r="185" spans="1:5" x14ac:dyDescent="0.2">
      <c r="A185">
        <v>2020</v>
      </c>
      <c r="B185" t="s">
        <v>7</v>
      </c>
      <c r="C185">
        <v>1468516.063884262</v>
      </c>
      <c r="D185">
        <v>191976.07770716411</v>
      </c>
      <c r="E185" t="s">
        <v>6</v>
      </c>
    </row>
    <row r="186" spans="1:5" x14ac:dyDescent="0.2">
      <c r="A186">
        <v>2020</v>
      </c>
      <c r="B186" t="s">
        <v>8</v>
      </c>
      <c r="C186">
        <v>11309887.132976109</v>
      </c>
      <c r="D186">
        <v>506684.74758890888</v>
      </c>
      <c r="E186" t="s">
        <v>6</v>
      </c>
    </row>
    <row r="187" spans="1:5" x14ac:dyDescent="0.2">
      <c r="A187">
        <v>2020</v>
      </c>
      <c r="B187" t="s">
        <v>9</v>
      </c>
      <c r="C187">
        <v>506651.060307362</v>
      </c>
      <c r="D187">
        <v>13717.112499999999</v>
      </c>
      <c r="E187" t="s">
        <v>6</v>
      </c>
    </row>
    <row r="188" spans="1:5" x14ac:dyDescent="0.2">
      <c r="A188">
        <v>2020</v>
      </c>
      <c r="B188" t="s">
        <v>10</v>
      </c>
      <c r="C188">
        <v>114259708.0592925</v>
      </c>
      <c r="D188">
        <v>2251721.3270765338</v>
      </c>
      <c r="E188" t="s">
        <v>6</v>
      </c>
    </row>
    <row r="189" spans="1:5" x14ac:dyDescent="0.2">
      <c r="A189">
        <v>2021</v>
      </c>
      <c r="B189" t="s">
        <v>5</v>
      </c>
      <c r="C189">
        <v>36916311.154472187</v>
      </c>
      <c r="D189">
        <v>1732383.9053242591</v>
      </c>
      <c r="E189" t="s">
        <v>6</v>
      </c>
    </row>
    <row r="190" spans="1:5" x14ac:dyDescent="0.2">
      <c r="A190">
        <v>2021</v>
      </c>
      <c r="B190" t="s">
        <v>7</v>
      </c>
      <c r="C190">
        <v>1557389.551725423</v>
      </c>
      <c r="D190">
        <v>203594.32556124139</v>
      </c>
      <c r="E190" t="s">
        <v>6</v>
      </c>
    </row>
    <row r="191" spans="1:5" x14ac:dyDescent="0.2">
      <c r="A191">
        <v>2021</v>
      </c>
      <c r="B191" t="s">
        <v>8</v>
      </c>
      <c r="C191">
        <v>11148288.09454147</v>
      </c>
      <c r="D191">
        <v>499445.08489049622</v>
      </c>
      <c r="E191" t="s">
        <v>6</v>
      </c>
    </row>
    <row r="192" spans="1:5" x14ac:dyDescent="0.2">
      <c r="A192">
        <v>2021</v>
      </c>
      <c r="B192" t="s">
        <v>9</v>
      </c>
      <c r="C192">
        <v>517965.84825467278</v>
      </c>
      <c r="D192">
        <v>14023.45</v>
      </c>
      <c r="E192" t="s">
        <v>6</v>
      </c>
    </row>
    <row r="193" spans="1:5" x14ac:dyDescent="0.2">
      <c r="A193">
        <v>2021</v>
      </c>
      <c r="B193" t="s">
        <v>10</v>
      </c>
      <c r="C193">
        <v>113075976.52903339</v>
      </c>
      <c r="D193">
        <v>2228393.4753124272</v>
      </c>
      <c r="E193" t="s">
        <v>6</v>
      </c>
    </row>
    <row r="194" spans="1:5" x14ac:dyDescent="0.2">
      <c r="A194">
        <v>2022</v>
      </c>
      <c r="B194" t="s">
        <v>5</v>
      </c>
      <c r="C194">
        <v>36727790.470000952</v>
      </c>
      <c r="D194">
        <v>1723537.1330064051</v>
      </c>
      <c r="E194" t="s">
        <v>6</v>
      </c>
    </row>
    <row r="195" spans="1:5" x14ac:dyDescent="0.2">
      <c r="A195">
        <v>2022</v>
      </c>
      <c r="B195" t="s">
        <v>7</v>
      </c>
      <c r="C195">
        <v>1667298.184617745</v>
      </c>
      <c r="D195">
        <v>217962.45456421259</v>
      </c>
      <c r="E195" t="s">
        <v>6</v>
      </c>
    </row>
    <row r="196" spans="1:5" x14ac:dyDescent="0.2">
      <c r="A196">
        <v>2022</v>
      </c>
      <c r="B196" t="s">
        <v>8</v>
      </c>
      <c r="C196">
        <v>11082830.256188201</v>
      </c>
      <c r="D196">
        <v>496512.5632911392</v>
      </c>
      <c r="E196" t="s">
        <v>6</v>
      </c>
    </row>
    <row r="197" spans="1:5" x14ac:dyDescent="0.2">
      <c r="A197">
        <v>2022</v>
      </c>
      <c r="B197" t="s">
        <v>9</v>
      </c>
      <c r="C197">
        <v>532423.6328540144</v>
      </c>
      <c r="D197">
        <v>14414.88125</v>
      </c>
      <c r="E197" t="s">
        <v>6</v>
      </c>
    </row>
    <row r="198" spans="1:5" x14ac:dyDescent="0.2">
      <c r="A198">
        <v>2022</v>
      </c>
      <c r="B198" t="s">
        <v>10</v>
      </c>
      <c r="C198">
        <v>111436963.6409824</v>
      </c>
      <c r="D198">
        <v>2196093.372869818</v>
      </c>
      <c r="E19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92DC-7418-4843-BA08-652279515E7F}">
  <dimension ref="A1:C212"/>
  <sheetViews>
    <sheetView topLeftCell="A136" workbookViewId="0">
      <selection activeCell="A212" sqref="A212"/>
    </sheetView>
  </sheetViews>
  <sheetFormatPr baseColWidth="10" defaultColWidth="8.83203125" defaultRowHeight="15" x14ac:dyDescent="0.2"/>
  <sheetData>
    <row r="1" spans="1:3" s="1" customFormat="1" x14ac:dyDescent="0.2">
      <c r="A1" s="1" t="s">
        <v>1</v>
      </c>
      <c r="B1" s="1" t="s">
        <v>0</v>
      </c>
      <c r="C1" s="1" t="s">
        <v>12</v>
      </c>
    </row>
    <row r="2" spans="1:3" x14ac:dyDescent="0.2">
      <c r="A2" t="s">
        <v>5</v>
      </c>
      <c r="B2">
        <v>2054</v>
      </c>
      <c r="C2">
        <v>5156336</v>
      </c>
    </row>
    <row r="3" spans="1:3" x14ac:dyDescent="0.2">
      <c r="A3" t="s">
        <v>5</v>
      </c>
      <c r="B3">
        <v>2053</v>
      </c>
      <c r="C3">
        <v>5092122</v>
      </c>
    </row>
    <row r="4" spans="1:3" x14ac:dyDescent="0.2">
      <c r="A4" t="s">
        <v>5</v>
      </c>
      <c r="B4">
        <v>2052</v>
      </c>
      <c r="C4">
        <v>5028072</v>
      </c>
    </row>
    <row r="5" spans="1:3" x14ac:dyDescent="0.2">
      <c r="A5" t="s">
        <v>5</v>
      </c>
      <c r="B5">
        <v>2051</v>
      </c>
      <c r="C5">
        <v>4964259</v>
      </c>
    </row>
    <row r="6" spans="1:3" x14ac:dyDescent="0.2">
      <c r="A6" t="s">
        <v>5</v>
      </c>
      <c r="B6">
        <v>2050</v>
      </c>
      <c r="C6">
        <v>4900650</v>
      </c>
    </row>
    <row r="7" spans="1:3" x14ac:dyDescent="0.2">
      <c r="A7" t="s">
        <v>5</v>
      </c>
      <c r="B7">
        <v>2049</v>
      </c>
      <c r="C7">
        <v>4837252</v>
      </c>
    </row>
    <row r="8" spans="1:3" x14ac:dyDescent="0.2">
      <c r="A8" t="s">
        <v>5</v>
      </c>
      <c r="B8">
        <v>2048</v>
      </c>
      <c r="C8">
        <v>4774007</v>
      </c>
    </row>
    <row r="9" spans="1:3" x14ac:dyDescent="0.2">
      <c r="A9" t="s">
        <v>5</v>
      </c>
      <c r="B9">
        <v>2047</v>
      </c>
      <c r="C9">
        <v>4710865</v>
      </c>
    </row>
    <row r="10" spans="1:3" x14ac:dyDescent="0.2">
      <c r="A10" t="s">
        <v>5</v>
      </c>
      <c r="B10">
        <v>2046</v>
      </c>
      <c r="C10">
        <v>4647961</v>
      </c>
    </row>
    <row r="11" spans="1:3" x14ac:dyDescent="0.2">
      <c r="A11" t="s">
        <v>5</v>
      </c>
      <c r="B11">
        <v>2045</v>
      </c>
      <c r="C11">
        <v>4585155</v>
      </c>
    </row>
    <row r="12" spans="1:3" x14ac:dyDescent="0.2">
      <c r="A12" t="s">
        <v>5</v>
      </c>
      <c r="B12">
        <v>2044</v>
      </c>
      <c r="C12">
        <v>4522453</v>
      </c>
    </row>
    <row r="13" spans="1:3" x14ac:dyDescent="0.2">
      <c r="A13" t="s">
        <v>5</v>
      </c>
      <c r="B13">
        <v>2043</v>
      </c>
      <c r="C13">
        <v>4459819</v>
      </c>
    </row>
    <row r="14" spans="1:3" x14ac:dyDescent="0.2">
      <c r="A14" t="s">
        <v>5</v>
      </c>
      <c r="B14">
        <v>2042</v>
      </c>
      <c r="C14">
        <v>4397371</v>
      </c>
    </row>
    <row r="15" spans="1:3" x14ac:dyDescent="0.2">
      <c r="A15" t="s">
        <v>5</v>
      </c>
      <c r="B15">
        <v>2041</v>
      </c>
      <c r="C15">
        <v>4335351</v>
      </c>
    </row>
    <row r="16" spans="1:3" x14ac:dyDescent="0.2">
      <c r="A16" t="s">
        <v>5</v>
      </c>
      <c r="B16">
        <v>2040</v>
      </c>
      <c r="C16">
        <v>4273870</v>
      </c>
    </row>
    <row r="17" spans="1:3" x14ac:dyDescent="0.2">
      <c r="A17" t="s">
        <v>5</v>
      </c>
      <c r="B17">
        <v>2039</v>
      </c>
      <c r="C17">
        <v>4213117</v>
      </c>
    </row>
    <row r="18" spans="1:3" x14ac:dyDescent="0.2">
      <c r="A18" t="s">
        <v>5</v>
      </c>
      <c r="B18">
        <v>2038</v>
      </c>
      <c r="C18">
        <v>4152704</v>
      </c>
    </row>
    <row r="19" spans="1:3" x14ac:dyDescent="0.2">
      <c r="A19" t="s">
        <v>5</v>
      </c>
      <c r="B19">
        <v>2037</v>
      </c>
      <c r="C19">
        <v>4092396</v>
      </c>
    </row>
    <row r="20" spans="1:3" x14ac:dyDescent="0.2">
      <c r="A20" t="s">
        <v>5</v>
      </c>
      <c r="B20">
        <v>2036</v>
      </c>
      <c r="C20">
        <v>4032327</v>
      </c>
    </row>
    <row r="21" spans="1:3" x14ac:dyDescent="0.2">
      <c r="A21" t="s">
        <v>5</v>
      </c>
      <c r="B21">
        <v>2035</v>
      </c>
      <c r="C21">
        <v>3972588</v>
      </c>
    </row>
    <row r="22" spans="1:3" x14ac:dyDescent="0.2">
      <c r="A22" t="s">
        <v>5</v>
      </c>
      <c r="B22">
        <v>2034</v>
      </c>
      <c r="C22">
        <v>3913218</v>
      </c>
    </row>
    <row r="23" spans="1:3" x14ac:dyDescent="0.2">
      <c r="A23" t="s">
        <v>5</v>
      </c>
      <c r="B23">
        <v>2033</v>
      </c>
      <c r="C23">
        <v>3854316</v>
      </c>
    </row>
    <row r="24" spans="1:3" x14ac:dyDescent="0.2">
      <c r="A24" t="s">
        <v>5</v>
      </c>
      <c r="B24">
        <v>2032</v>
      </c>
      <c r="C24">
        <v>3796345</v>
      </c>
    </row>
    <row r="25" spans="1:3" x14ac:dyDescent="0.2">
      <c r="A25" t="s">
        <v>5</v>
      </c>
      <c r="B25">
        <v>2031</v>
      </c>
      <c r="C25">
        <v>3739472</v>
      </c>
    </row>
    <row r="26" spans="1:3" x14ac:dyDescent="0.2">
      <c r="A26" t="s">
        <v>5</v>
      </c>
      <c r="B26">
        <v>2030</v>
      </c>
      <c r="C26">
        <v>3681001</v>
      </c>
    </row>
    <row r="27" spans="1:3" x14ac:dyDescent="0.2">
      <c r="A27" t="s">
        <v>5</v>
      </c>
      <c r="B27">
        <v>2029</v>
      </c>
      <c r="C27">
        <v>3620758</v>
      </c>
    </row>
    <row r="28" spans="1:3" x14ac:dyDescent="0.2">
      <c r="A28" t="s">
        <v>5</v>
      </c>
      <c r="B28">
        <v>2028</v>
      </c>
      <c r="C28">
        <v>3562504</v>
      </c>
    </row>
    <row r="29" spans="1:3" x14ac:dyDescent="0.2">
      <c r="A29" t="s">
        <v>5</v>
      </c>
      <c r="B29">
        <v>2027</v>
      </c>
      <c r="C29">
        <v>3510515</v>
      </c>
    </row>
    <row r="30" spans="1:3" x14ac:dyDescent="0.2">
      <c r="A30" t="s">
        <v>5</v>
      </c>
      <c r="B30">
        <v>2026</v>
      </c>
      <c r="C30">
        <v>3467571</v>
      </c>
    </row>
    <row r="31" spans="1:3" x14ac:dyDescent="0.2">
      <c r="A31" t="s">
        <v>5</v>
      </c>
      <c r="B31">
        <v>2025</v>
      </c>
      <c r="C31">
        <v>3431915</v>
      </c>
    </row>
    <row r="32" spans="1:3" x14ac:dyDescent="0.2">
      <c r="A32" t="s">
        <v>5</v>
      </c>
      <c r="B32">
        <v>2024</v>
      </c>
      <c r="C32">
        <v>3398977</v>
      </c>
    </row>
    <row r="33" spans="1:3" x14ac:dyDescent="0.2">
      <c r="A33" t="s">
        <v>5</v>
      </c>
      <c r="B33">
        <v>2023</v>
      </c>
      <c r="C33">
        <v>3348318</v>
      </c>
    </row>
    <row r="34" spans="1:3" x14ac:dyDescent="0.2">
      <c r="A34" t="s">
        <v>5</v>
      </c>
      <c r="B34">
        <v>2022</v>
      </c>
      <c r="C34">
        <v>3294520</v>
      </c>
    </row>
    <row r="35" spans="1:3" x14ac:dyDescent="0.2">
      <c r="A35" t="s">
        <v>5</v>
      </c>
      <c r="B35">
        <v>2021</v>
      </c>
      <c r="C35">
        <v>3244717</v>
      </c>
    </row>
    <row r="36" spans="1:3" x14ac:dyDescent="0.2">
      <c r="A36" t="s">
        <v>5</v>
      </c>
      <c r="B36">
        <v>2020</v>
      </c>
      <c r="C36">
        <v>3188230</v>
      </c>
    </row>
    <row r="37" spans="1:3" x14ac:dyDescent="0.2">
      <c r="A37" t="s">
        <v>5</v>
      </c>
      <c r="B37">
        <v>2019</v>
      </c>
      <c r="C37">
        <v>3123427</v>
      </c>
    </row>
    <row r="38" spans="1:3" x14ac:dyDescent="0.2">
      <c r="A38" t="s">
        <v>7</v>
      </c>
      <c r="B38">
        <v>2054</v>
      </c>
      <c r="C38">
        <v>3432719</v>
      </c>
    </row>
    <row r="39" spans="1:3" x14ac:dyDescent="0.2">
      <c r="A39" t="s">
        <v>7</v>
      </c>
      <c r="B39">
        <v>2053</v>
      </c>
      <c r="C39">
        <v>3384276</v>
      </c>
    </row>
    <row r="40" spans="1:3" x14ac:dyDescent="0.2">
      <c r="A40" t="s">
        <v>7</v>
      </c>
      <c r="B40">
        <v>2052</v>
      </c>
      <c r="C40">
        <v>3335869</v>
      </c>
    </row>
    <row r="41" spans="1:3" x14ac:dyDescent="0.2">
      <c r="A41" t="s">
        <v>7</v>
      </c>
      <c r="B41">
        <v>2051</v>
      </c>
      <c r="C41">
        <v>3287461</v>
      </c>
    </row>
    <row r="42" spans="1:3" x14ac:dyDescent="0.2">
      <c r="A42" t="s">
        <v>7</v>
      </c>
      <c r="B42">
        <v>2050</v>
      </c>
      <c r="C42">
        <v>3239062</v>
      </c>
    </row>
    <row r="43" spans="1:3" x14ac:dyDescent="0.2">
      <c r="A43" t="s">
        <v>7</v>
      </c>
      <c r="B43">
        <v>2049</v>
      </c>
      <c r="C43">
        <v>3190682</v>
      </c>
    </row>
    <row r="44" spans="1:3" x14ac:dyDescent="0.2">
      <c r="A44" t="s">
        <v>7</v>
      </c>
      <c r="B44">
        <v>2048</v>
      </c>
      <c r="C44">
        <v>3142320</v>
      </c>
    </row>
    <row r="45" spans="1:3" x14ac:dyDescent="0.2">
      <c r="A45" t="s">
        <v>7</v>
      </c>
      <c r="B45">
        <v>2047</v>
      </c>
      <c r="C45">
        <v>3093985</v>
      </c>
    </row>
    <row r="46" spans="1:3" x14ac:dyDescent="0.2">
      <c r="A46" t="s">
        <v>7</v>
      </c>
      <c r="B46">
        <v>2046</v>
      </c>
      <c r="C46">
        <v>3045780</v>
      </c>
    </row>
    <row r="47" spans="1:3" x14ac:dyDescent="0.2">
      <c r="A47" t="s">
        <v>7</v>
      </c>
      <c r="B47">
        <v>2045</v>
      </c>
      <c r="C47">
        <v>2997586</v>
      </c>
    </row>
    <row r="48" spans="1:3" x14ac:dyDescent="0.2">
      <c r="A48" t="s">
        <v>7</v>
      </c>
      <c r="B48">
        <v>2044</v>
      </c>
      <c r="C48">
        <v>2949443</v>
      </c>
    </row>
    <row r="49" spans="1:3" x14ac:dyDescent="0.2">
      <c r="A49" t="s">
        <v>7</v>
      </c>
      <c r="B49">
        <v>2043</v>
      </c>
      <c r="C49">
        <v>2901540</v>
      </c>
    </row>
    <row r="50" spans="1:3" x14ac:dyDescent="0.2">
      <c r="A50" t="s">
        <v>7</v>
      </c>
      <c r="B50">
        <v>2042</v>
      </c>
      <c r="C50">
        <v>2853686</v>
      </c>
    </row>
    <row r="51" spans="1:3" x14ac:dyDescent="0.2">
      <c r="A51" t="s">
        <v>7</v>
      </c>
      <c r="B51">
        <v>2041</v>
      </c>
      <c r="C51">
        <v>2806243</v>
      </c>
    </row>
    <row r="52" spans="1:3" x14ac:dyDescent="0.2">
      <c r="A52" t="s">
        <v>7</v>
      </c>
      <c r="B52">
        <v>2040</v>
      </c>
      <c r="C52">
        <v>2759116</v>
      </c>
    </row>
    <row r="53" spans="1:3" x14ac:dyDescent="0.2">
      <c r="A53" t="s">
        <v>7</v>
      </c>
      <c r="B53">
        <v>2039</v>
      </c>
      <c r="C53">
        <v>2712378</v>
      </c>
    </row>
    <row r="54" spans="1:3" x14ac:dyDescent="0.2">
      <c r="A54" t="s">
        <v>7</v>
      </c>
      <c r="B54">
        <v>2038</v>
      </c>
      <c r="C54">
        <v>2665895</v>
      </c>
    </row>
    <row r="55" spans="1:3" x14ac:dyDescent="0.2">
      <c r="A55" t="s">
        <v>7</v>
      </c>
      <c r="B55">
        <v>2037</v>
      </c>
      <c r="C55">
        <v>2619415</v>
      </c>
    </row>
    <row r="56" spans="1:3" x14ac:dyDescent="0.2">
      <c r="A56" t="s">
        <v>7</v>
      </c>
      <c r="B56">
        <v>2036</v>
      </c>
      <c r="C56">
        <v>2573000</v>
      </c>
    </row>
    <row r="57" spans="1:3" x14ac:dyDescent="0.2">
      <c r="A57" t="s">
        <v>7</v>
      </c>
      <c r="B57">
        <v>2035</v>
      </c>
      <c r="C57">
        <v>2526718</v>
      </c>
    </row>
    <row r="58" spans="1:3" x14ac:dyDescent="0.2">
      <c r="A58" t="s">
        <v>7</v>
      </c>
      <c r="B58">
        <v>2034</v>
      </c>
      <c r="C58">
        <v>2480590</v>
      </c>
    </row>
    <row r="59" spans="1:3" x14ac:dyDescent="0.2">
      <c r="A59" t="s">
        <v>7</v>
      </c>
      <c r="B59">
        <v>2033</v>
      </c>
      <c r="C59">
        <v>2434699</v>
      </c>
    </row>
    <row r="60" spans="1:3" x14ac:dyDescent="0.2">
      <c r="A60" t="s">
        <v>7</v>
      </c>
      <c r="B60">
        <v>2032</v>
      </c>
      <c r="C60">
        <v>2389386</v>
      </c>
    </row>
    <row r="61" spans="1:3" x14ac:dyDescent="0.2">
      <c r="A61" t="s">
        <v>7</v>
      </c>
      <c r="B61">
        <v>2031</v>
      </c>
      <c r="C61">
        <v>2345448</v>
      </c>
    </row>
    <row r="62" spans="1:3" x14ac:dyDescent="0.2">
      <c r="A62" t="s">
        <v>7</v>
      </c>
      <c r="B62">
        <v>2030</v>
      </c>
      <c r="C62">
        <v>2302293</v>
      </c>
    </row>
    <row r="63" spans="1:3" x14ac:dyDescent="0.2">
      <c r="A63" t="s">
        <v>7</v>
      </c>
      <c r="B63">
        <v>2029</v>
      </c>
      <c r="C63">
        <v>2258547</v>
      </c>
    </row>
    <row r="64" spans="1:3" x14ac:dyDescent="0.2">
      <c r="A64" t="s">
        <v>7</v>
      </c>
      <c r="B64">
        <v>2028</v>
      </c>
      <c r="C64">
        <v>2215462</v>
      </c>
    </row>
    <row r="65" spans="1:3" x14ac:dyDescent="0.2">
      <c r="A65" t="s">
        <v>7</v>
      </c>
      <c r="B65">
        <v>2027</v>
      </c>
      <c r="C65">
        <v>2176290</v>
      </c>
    </row>
    <row r="66" spans="1:3" x14ac:dyDescent="0.2">
      <c r="A66" t="s">
        <v>7</v>
      </c>
      <c r="B66">
        <v>2026</v>
      </c>
      <c r="C66">
        <v>2143602</v>
      </c>
    </row>
    <row r="67" spans="1:3" x14ac:dyDescent="0.2">
      <c r="A67" t="s">
        <v>7</v>
      </c>
      <c r="B67">
        <v>2025</v>
      </c>
      <c r="C67">
        <v>2117170</v>
      </c>
    </row>
    <row r="68" spans="1:3" x14ac:dyDescent="0.2">
      <c r="A68" t="s">
        <v>7</v>
      </c>
      <c r="B68">
        <v>2024</v>
      </c>
      <c r="C68">
        <v>2093393</v>
      </c>
    </row>
    <row r="69" spans="1:3" x14ac:dyDescent="0.2">
      <c r="A69" t="s">
        <v>7</v>
      </c>
      <c r="B69">
        <v>2023</v>
      </c>
      <c r="C69">
        <v>2060308</v>
      </c>
    </row>
    <row r="70" spans="1:3" x14ac:dyDescent="0.2">
      <c r="A70" t="s">
        <v>7</v>
      </c>
      <c r="B70">
        <v>2022</v>
      </c>
      <c r="C70">
        <v>2027509</v>
      </c>
    </row>
    <row r="71" spans="1:3" x14ac:dyDescent="0.2">
      <c r="A71" t="s">
        <v>7</v>
      </c>
      <c r="B71">
        <v>2021</v>
      </c>
      <c r="C71">
        <v>1992702</v>
      </c>
    </row>
    <row r="72" spans="1:3" x14ac:dyDescent="0.2">
      <c r="A72" t="s">
        <v>7</v>
      </c>
      <c r="B72">
        <v>2020</v>
      </c>
      <c r="C72">
        <v>1962997</v>
      </c>
    </row>
    <row r="73" spans="1:3" x14ac:dyDescent="0.2">
      <c r="A73" t="s">
        <v>7</v>
      </c>
      <c r="B73">
        <v>2019</v>
      </c>
      <c r="C73">
        <v>1927487</v>
      </c>
    </row>
    <row r="74" spans="1:3" x14ac:dyDescent="0.2">
      <c r="A74" t="s">
        <v>8</v>
      </c>
      <c r="B74">
        <v>2054</v>
      </c>
      <c r="C74">
        <v>1055042</v>
      </c>
    </row>
    <row r="75" spans="1:3" x14ac:dyDescent="0.2">
      <c r="A75" t="s">
        <v>8</v>
      </c>
      <c r="B75">
        <v>2053</v>
      </c>
      <c r="C75">
        <v>1047616</v>
      </c>
    </row>
    <row r="76" spans="1:3" x14ac:dyDescent="0.2">
      <c r="A76" t="s">
        <v>8</v>
      </c>
      <c r="B76">
        <v>2052</v>
      </c>
      <c r="C76">
        <v>1040196</v>
      </c>
    </row>
    <row r="77" spans="1:3" x14ac:dyDescent="0.2">
      <c r="A77" t="s">
        <v>8</v>
      </c>
      <c r="B77">
        <v>2051</v>
      </c>
      <c r="C77">
        <v>1032778</v>
      </c>
    </row>
    <row r="78" spans="1:3" x14ac:dyDescent="0.2">
      <c r="A78" t="s">
        <v>8</v>
      </c>
      <c r="B78">
        <v>2050</v>
      </c>
      <c r="C78">
        <v>1025379</v>
      </c>
    </row>
    <row r="79" spans="1:3" x14ac:dyDescent="0.2">
      <c r="A79" t="s">
        <v>8</v>
      </c>
      <c r="B79">
        <v>2049</v>
      </c>
      <c r="C79">
        <v>1017968</v>
      </c>
    </row>
    <row r="80" spans="1:3" x14ac:dyDescent="0.2">
      <c r="A80" t="s">
        <v>8</v>
      </c>
      <c r="B80">
        <v>2048</v>
      </c>
      <c r="C80">
        <v>1010577</v>
      </c>
    </row>
    <row r="81" spans="1:3" x14ac:dyDescent="0.2">
      <c r="A81" t="s">
        <v>8</v>
      </c>
      <c r="B81">
        <v>2047</v>
      </c>
      <c r="C81">
        <v>1003167</v>
      </c>
    </row>
    <row r="82" spans="1:3" x14ac:dyDescent="0.2">
      <c r="A82" t="s">
        <v>8</v>
      </c>
      <c r="B82">
        <v>2046</v>
      </c>
      <c r="C82">
        <v>995717</v>
      </c>
    </row>
    <row r="83" spans="1:3" x14ac:dyDescent="0.2">
      <c r="A83" t="s">
        <v>8</v>
      </c>
      <c r="B83">
        <v>2045</v>
      </c>
      <c r="C83">
        <v>988271</v>
      </c>
    </row>
    <row r="84" spans="1:3" x14ac:dyDescent="0.2">
      <c r="A84" t="s">
        <v>8</v>
      </c>
      <c r="B84">
        <v>2044</v>
      </c>
      <c r="C84">
        <v>980787</v>
      </c>
    </row>
    <row r="85" spans="1:3" x14ac:dyDescent="0.2">
      <c r="A85" t="s">
        <v>8</v>
      </c>
      <c r="B85">
        <v>2043</v>
      </c>
      <c r="C85">
        <v>973294</v>
      </c>
    </row>
    <row r="86" spans="1:3" x14ac:dyDescent="0.2">
      <c r="A86" t="s">
        <v>8</v>
      </c>
      <c r="B86">
        <v>2042</v>
      </c>
      <c r="C86">
        <v>965776</v>
      </c>
    </row>
    <row r="87" spans="1:3" x14ac:dyDescent="0.2">
      <c r="A87" t="s">
        <v>8</v>
      </c>
      <c r="B87">
        <v>2041</v>
      </c>
      <c r="C87">
        <v>958194</v>
      </c>
    </row>
    <row r="88" spans="1:3" x14ac:dyDescent="0.2">
      <c r="A88" t="s">
        <v>8</v>
      </c>
      <c r="B88">
        <v>2040</v>
      </c>
      <c r="C88">
        <v>950652</v>
      </c>
    </row>
    <row r="89" spans="1:3" x14ac:dyDescent="0.2">
      <c r="A89" t="s">
        <v>8</v>
      </c>
      <c r="B89">
        <v>2039</v>
      </c>
      <c r="C89">
        <v>943128</v>
      </c>
    </row>
    <row r="90" spans="1:3" x14ac:dyDescent="0.2">
      <c r="A90" t="s">
        <v>8</v>
      </c>
      <c r="B90">
        <v>2038</v>
      </c>
      <c r="C90">
        <v>935591</v>
      </c>
    </row>
    <row r="91" spans="1:3" x14ac:dyDescent="0.2">
      <c r="A91" t="s">
        <v>8</v>
      </c>
      <c r="B91">
        <v>2037</v>
      </c>
      <c r="C91">
        <v>927961</v>
      </c>
    </row>
    <row r="92" spans="1:3" x14ac:dyDescent="0.2">
      <c r="A92" t="s">
        <v>8</v>
      </c>
      <c r="B92">
        <v>2036</v>
      </c>
      <c r="C92">
        <v>920260</v>
      </c>
    </row>
    <row r="93" spans="1:3" x14ac:dyDescent="0.2">
      <c r="A93" t="s">
        <v>8</v>
      </c>
      <c r="B93">
        <v>2035</v>
      </c>
      <c r="C93">
        <v>912509</v>
      </c>
    </row>
    <row r="94" spans="1:3" x14ac:dyDescent="0.2">
      <c r="A94" t="s">
        <v>8</v>
      </c>
      <c r="B94">
        <v>2034</v>
      </c>
      <c r="C94">
        <v>904707</v>
      </c>
    </row>
    <row r="95" spans="1:3" x14ac:dyDescent="0.2">
      <c r="A95" t="s">
        <v>8</v>
      </c>
      <c r="B95">
        <v>2033</v>
      </c>
      <c r="C95">
        <v>896792</v>
      </c>
    </row>
    <row r="96" spans="1:3" x14ac:dyDescent="0.2">
      <c r="A96" t="s">
        <v>8</v>
      </c>
      <c r="B96">
        <v>2032</v>
      </c>
      <c r="C96">
        <v>888717</v>
      </c>
    </row>
    <row r="97" spans="1:3" x14ac:dyDescent="0.2">
      <c r="A97" t="s">
        <v>8</v>
      </c>
      <c r="B97">
        <v>2031</v>
      </c>
      <c r="C97">
        <v>880568</v>
      </c>
    </row>
    <row r="98" spans="1:3" x14ac:dyDescent="0.2">
      <c r="A98" t="s">
        <v>8</v>
      </c>
      <c r="B98">
        <v>2030</v>
      </c>
      <c r="C98">
        <v>871800</v>
      </c>
    </row>
    <row r="99" spans="1:3" x14ac:dyDescent="0.2">
      <c r="A99" t="s">
        <v>8</v>
      </c>
      <c r="B99">
        <v>2029</v>
      </c>
      <c r="C99">
        <v>862076</v>
      </c>
    </row>
    <row r="100" spans="1:3" x14ac:dyDescent="0.2">
      <c r="A100" t="s">
        <v>8</v>
      </c>
      <c r="B100">
        <v>2028</v>
      </c>
      <c r="C100">
        <v>851568</v>
      </c>
    </row>
    <row r="101" spans="1:3" x14ac:dyDescent="0.2">
      <c r="A101" t="s">
        <v>8</v>
      </c>
      <c r="B101">
        <v>2027</v>
      </c>
      <c r="C101">
        <v>840841</v>
      </c>
    </row>
    <row r="102" spans="1:3" x14ac:dyDescent="0.2">
      <c r="A102" t="s">
        <v>8</v>
      </c>
      <c r="B102">
        <v>2026</v>
      </c>
      <c r="C102">
        <v>830761</v>
      </c>
    </row>
    <row r="103" spans="1:3" x14ac:dyDescent="0.2">
      <c r="A103" t="s">
        <v>8</v>
      </c>
      <c r="B103">
        <v>2025</v>
      </c>
      <c r="C103">
        <v>821895</v>
      </c>
    </row>
    <row r="104" spans="1:3" x14ac:dyDescent="0.2">
      <c r="A104" t="s">
        <v>8</v>
      </c>
      <c r="B104">
        <v>2024</v>
      </c>
      <c r="C104">
        <v>813947</v>
      </c>
    </row>
    <row r="105" spans="1:3" x14ac:dyDescent="0.2">
      <c r="A105" t="s">
        <v>8</v>
      </c>
      <c r="B105">
        <v>2023</v>
      </c>
      <c r="C105">
        <v>802833</v>
      </c>
    </row>
    <row r="106" spans="1:3" x14ac:dyDescent="0.2">
      <c r="A106" t="s">
        <v>8</v>
      </c>
      <c r="B106">
        <v>2022</v>
      </c>
      <c r="C106">
        <v>791264</v>
      </c>
    </row>
    <row r="107" spans="1:3" x14ac:dyDescent="0.2">
      <c r="A107" t="s">
        <v>8</v>
      </c>
      <c r="B107">
        <v>2021</v>
      </c>
      <c r="C107">
        <v>780158</v>
      </c>
    </row>
    <row r="108" spans="1:3" x14ac:dyDescent="0.2">
      <c r="A108" t="s">
        <v>8</v>
      </c>
      <c r="B108">
        <v>2020</v>
      </c>
      <c r="C108">
        <v>769090</v>
      </c>
    </row>
    <row r="109" spans="1:3" x14ac:dyDescent="0.2">
      <c r="A109" t="s">
        <v>8</v>
      </c>
      <c r="B109">
        <v>2019</v>
      </c>
      <c r="C109">
        <v>759875</v>
      </c>
    </row>
    <row r="110" spans="1:3" x14ac:dyDescent="0.2">
      <c r="A110" t="s">
        <v>9</v>
      </c>
      <c r="B110">
        <v>2054</v>
      </c>
      <c r="C110">
        <v>309365</v>
      </c>
    </row>
    <row r="111" spans="1:3" x14ac:dyDescent="0.2">
      <c r="A111" t="s">
        <v>9</v>
      </c>
      <c r="B111">
        <v>2053</v>
      </c>
      <c r="C111">
        <v>308093</v>
      </c>
    </row>
    <row r="112" spans="1:3" x14ac:dyDescent="0.2">
      <c r="A112" t="s">
        <v>9</v>
      </c>
      <c r="B112">
        <v>2052</v>
      </c>
      <c r="C112">
        <v>306830</v>
      </c>
    </row>
    <row r="113" spans="1:3" x14ac:dyDescent="0.2">
      <c r="A113" t="s">
        <v>9</v>
      </c>
      <c r="B113">
        <v>2051</v>
      </c>
      <c r="C113">
        <v>305573</v>
      </c>
    </row>
    <row r="114" spans="1:3" x14ac:dyDescent="0.2">
      <c r="A114" t="s">
        <v>9</v>
      </c>
      <c r="B114">
        <v>2050</v>
      </c>
      <c r="C114">
        <v>304340</v>
      </c>
    </row>
    <row r="115" spans="1:3" x14ac:dyDescent="0.2">
      <c r="A115" t="s">
        <v>9</v>
      </c>
      <c r="B115">
        <v>2049</v>
      </c>
      <c r="C115">
        <v>303120</v>
      </c>
    </row>
    <row r="116" spans="1:3" x14ac:dyDescent="0.2">
      <c r="A116" t="s">
        <v>9</v>
      </c>
      <c r="B116">
        <v>2048</v>
      </c>
      <c r="C116">
        <v>301921</v>
      </c>
    </row>
    <row r="117" spans="1:3" x14ac:dyDescent="0.2">
      <c r="A117" t="s">
        <v>9</v>
      </c>
      <c r="B117">
        <v>2047</v>
      </c>
      <c r="C117">
        <v>300715</v>
      </c>
    </row>
    <row r="118" spans="1:3" x14ac:dyDescent="0.2">
      <c r="A118" t="s">
        <v>9</v>
      </c>
      <c r="B118">
        <v>2046</v>
      </c>
      <c r="C118">
        <v>299505</v>
      </c>
    </row>
    <row r="119" spans="1:3" x14ac:dyDescent="0.2">
      <c r="A119" t="s">
        <v>9</v>
      </c>
      <c r="B119">
        <v>2045</v>
      </c>
      <c r="C119">
        <v>298292</v>
      </c>
    </row>
    <row r="120" spans="1:3" x14ac:dyDescent="0.2">
      <c r="A120" t="s">
        <v>9</v>
      </c>
      <c r="B120">
        <v>2044</v>
      </c>
      <c r="C120">
        <v>297054</v>
      </c>
    </row>
    <row r="121" spans="1:3" x14ac:dyDescent="0.2">
      <c r="A121" t="s">
        <v>9</v>
      </c>
      <c r="B121">
        <v>2043</v>
      </c>
      <c r="C121">
        <v>295825</v>
      </c>
    </row>
    <row r="122" spans="1:3" x14ac:dyDescent="0.2">
      <c r="A122" t="s">
        <v>9</v>
      </c>
      <c r="B122">
        <v>2042</v>
      </c>
      <c r="C122">
        <v>294547</v>
      </c>
    </row>
    <row r="123" spans="1:3" x14ac:dyDescent="0.2">
      <c r="A123" t="s">
        <v>9</v>
      </c>
      <c r="B123">
        <v>2041</v>
      </c>
      <c r="C123">
        <v>293237</v>
      </c>
    </row>
    <row r="124" spans="1:3" x14ac:dyDescent="0.2">
      <c r="A124" t="s">
        <v>9</v>
      </c>
      <c r="B124">
        <v>2040</v>
      </c>
      <c r="C124">
        <v>291920</v>
      </c>
    </row>
    <row r="125" spans="1:3" x14ac:dyDescent="0.2">
      <c r="A125" t="s">
        <v>9</v>
      </c>
      <c r="B125">
        <v>2039</v>
      </c>
      <c r="C125">
        <v>290587</v>
      </c>
    </row>
    <row r="126" spans="1:3" x14ac:dyDescent="0.2">
      <c r="A126" t="s">
        <v>9</v>
      </c>
      <c r="B126">
        <v>2038</v>
      </c>
      <c r="C126">
        <v>289249</v>
      </c>
    </row>
    <row r="127" spans="1:3" x14ac:dyDescent="0.2">
      <c r="A127" t="s">
        <v>9</v>
      </c>
      <c r="B127">
        <v>2037</v>
      </c>
      <c r="C127">
        <v>287867</v>
      </c>
    </row>
    <row r="128" spans="1:3" x14ac:dyDescent="0.2">
      <c r="A128" t="s">
        <v>9</v>
      </c>
      <c r="B128">
        <v>2036</v>
      </c>
      <c r="C128">
        <v>286443</v>
      </c>
    </row>
    <row r="129" spans="1:3" x14ac:dyDescent="0.2">
      <c r="A129" t="s">
        <v>9</v>
      </c>
      <c r="B129">
        <v>2035</v>
      </c>
      <c r="C129">
        <v>284984</v>
      </c>
    </row>
    <row r="130" spans="1:3" x14ac:dyDescent="0.2">
      <c r="A130" t="s">
        <v>9</v>
      </c>
      <c r="B130">
        <v>2034</v>
      </c>
      <c r="C130">
        <v>283489</v>
      </c>
    </row>
    <row r="131" spans="1:3" x14ac:dyDescent="0.2">
      <c r="A131" t="s">
        <v>9</v>
      </c>
      <c r="B131">
        <v>2033</v>
      </c>
      <c r="C131">
        <v>281942</v>
      </c>
    </row>
    <row r="132" spans="1:3" x14ac:dyDescent="0.2">
      <c r="A132" t="s">
        <v>9</v>
      </c>
      <c r="B132">
        <v>2032</v>
      </c>
      <c r="C132">
        <v>280324</v>
      </c>
    </row>
    <row r="133" spans="1:3" x14ac:dyDescent="0.2">
      <c r="A133" t="s">
        <v>9</v>
      </c>
      <c r="B133">
        <v>2031</v>
      </c>
      <c r="C133">
        <v>278671</v>
      </c>
    </row>
    <row r="134" spans="1:3" x14ac:dyDescent="0.2">
      <c r="A134" t="s">
        <v>9</v>
      </c>
      <c r="B134">
        <v>2030</v>
      </c>
      <c r="C134">
        <v>276823</v>
      </c>
    </row>
    <row r="135" spans="1:3" x14ac:dyDescent="0.2">
      <c r="A135" t="s">
        <v>9</v>
      </c>
      <c r="B135">
        <v>2029</v>
      </c>
      <c r="C135">
        <v>274658</v>
      </c>
    </row>
    <row r="136" spans="1:3" x14ac:dyDescent="0.2">
      <c r="A136" t="s">
        <v>9</v>
      </c>
      <c r="B136">
        <v>2028</v>
      </c>
      <c r="C136">
        <v>272248</v>
      </c>
    </row>
    <row r="137" spans="1:3" x14ac:dyDescent="0.2">
      <c r="A137" t="s">
        <v>9</v>
      </c>
      <c r="B137">
        <v>2027</v>
      </c>
      <c r="C137">
        <v>269696</v>
      </c>
    </row>
    <row r="138" spans="1:3" x14ac:dyDescent="0.2">
      <c r="A138" t="s">
        <v>9</v>
      </c>
      <c r="B138">
        <v>2026</v>
      </c>
      <c r="C138">
        <v>266967</v>
      </c>
    </row>
    <row r="139" spans="1:3" x14ac:dyDescent="0.2">
      <c r="A139" t="s">
        <v>9</v>
      </c>
      <c r="B139">
        <v>2025</v>
      </c>
      <c r="C139">
        <v>264134</v>
      </c>
    </row>
    <row r="140" spans="1:3" x14ac:dyDescent="0.2">
      <c r="A140" t="s">
        <v>9</v>
      </c>
      <c r="B140">
        <v>2024</v>
      </c>
      <c r="C140">
        <v>261201</v>
      </c>
    </row>
    <row r="141" spans="1:3" x14ac:dyDescent="0.2">
      <c r="A141" t="s">
        <v>9</v>
      </c>
      <c r="B141">
        <v>2023</v>
      </c>
      <c r="C141">
        <v>258288</v>
      </c>
    </row>
    <row r="142" spans="1:3" x14ac:dyDescent="0.2">
      <c r="A142" t="s">
        <v>9</v>
      </c>
      <c r="B142">
        <v>2022</v>
      </c>
      <c r="C142">
        <v>255040</v>
      </c>
    </row>
    <row r="143" spans="1:3" x14ac:dyDescent="0.2">
      <c r="A143" t="s">
        <v>9</v>
      </c>
      <c r="B143">
        <v>2021</v>
      </c>
      <c r="C143">
        <v>251458</v>
      </c>
    </row>
    <row r="144" spans="1:3" x14ac:dyDescent="0.2">
      <c r="A144" t="s">
        <v>9</v>
      </c>
      <c r="B144">
        <v>2020</v>
      </c>
      <c r="C144">
        <v>248390</v>
      </c>
    </row>
    <row r="145" spans="1:3" x14ac:dyDescent="0.2">
      <c r="A145" t="s">
        <v>9</v>
      </c>
      <c r="B145">
        <v>2019</v>
      </c>
      <c r="C145">
        <v>245597</v>
      </c>
    </row>
    <row r="146" spans="1:3" x14ac:dyDescent="0.2">
      <c r="A146" t="s">
        <v>10</v>
      </c>
      <c r="B146">
        <v>2054</v>
      </c>
      <c r="C146">
        <v>4707555</v>
      </c>
    </row>
    <row r="147" spans="1:3" x14ac:dyDescent="0.2">
      <c r="A147" t="s">
        <v>10</v>
      </c>
      <c r="B147">
        <v>2053</v>
      </c>
      <c r="C147">
        <v>4638742</v>
      </c>
    </row>
    <row r="148" spans="1:3" x14ac:dyDescent="0.2">
      <c r="A148" t="s">
        <v>10</v>
      </c>
      <c r="B148">
        <v>2052</v>
      </c>
      <c r="C148">
        <v>4570137</v>
      </c>
    </row>
    <row r="149" spans="1:3" x14ac:dyDescent="0.2">
      <c r="A149" t="s">
        <v>10</v>
      </c>
      <c r="B149">
        <v>2051</v>
      </c>
      <c r="C149">
        <v>4501710</v>
      </c>
    </row>
    <row r="150" spans="1:3" x14ac:dyDescent="0.2">
      <c r="A150" t="s">
        <v>10</v>
      </c>
      <c r="B150">
        <v>2050</v>
      </c>
      <c r="C150">
        <v>4433440</v>
      </c>
    </row>
    <row r="151" spans="1:3" x14ac:dyDescent="0.2">
      <c r="A151" t="s">
        <v>10</v>
      </c>
      <c r="B151">
        <v>2049</v>
      </c>
      <c r="C151">
        <v>4365311</v>
      </c>
    </row>
    <row r="152" spans="1:3" x14ac:dyDescent="0.2">
      <c r="A152" t="s">
        <v>10</v>
      </c>
      <c r="B152">
        <v>2048</v>
      </c>
      <c r="C152">
        <v>4297319</v>
      </c>
    </row>
    <row r="153" spans="1:3" x14ac:dyDescent="0.2">
      <c r="A153" t="s">
        <v>10</v>
      </c>
      <c r="B153">
        <v>2047</v>
      </c>
      <c r="C153">
        <v>4229693</v>
      </c>
    </row>
    <row r="154" spans="1:3" x14ac:dyDescent="0.2">
      <c r="A154" t="s">
        <v>10</v>
      </c>
      <c r="B154">
        <v>2046</v>
      </c>
      <c r="C154">
        <v>4162154</v>
      </c>
    </row>
    <row r="155" spans="1:3" x14ac:dyDescent="0.2">
      <c r="A155" t="s">
        <v>10</v>
      </c>
      <c r="B155">
        <v>2045</v>
      </c>
      <c r="C155">
        <v>4094834</v>
      </c>
    </row>
    <row r="156" spans="1:3" x14ac:dyDescent="0.2">
      <c r="A156" t="s">
        <v>10</v>
      </c>
      <c r="B156">
        <v>2044</v>
      </c>
      <c r="C156">
        <v>4027766</v>
      </c>
    </row>
    <row r="157" spans="1:3" x14ac:dyDescent="0.2">
      <c r="A157" t="s">
        <v>10</v>
      </c>
      <c r="B157">
        <v>2043</v>
      </c>
      <c r="C157">
        <v>3960883</v>
      </c>
    </row>
    <row r="158" spans="1:3" x14ac:dyDescent="0.2">
      <c r="A158" t="s">
        <v>10</v>
      </c>
      <c r="B158">
        <v>2042</v>
      </c>
      <c r="C158">
        <v>3894650</v>
      </c>
    </row>
    <row r="159" spans="1:3" x14ac:dyDescent="0.2">
      <c r="A159" t="s">
        <v>10</v>
      </c>
      <c r="B159">
        <v>2041</v>
      </c>
      <c r="C159">
        <v>3828815</v>
      </c>
    </row>
    <row r="160" spans="1:3" x14ac:dyDescent="0.2">
      <c r="A160" t="s">
        <v>10</v>
      </c>
      <c r="B160">
        <v>2040</v>
      </c>
      <c r="C160">
        <v>3763715</v>
      </c>
    </row>
    <row r="161" spans="1:3" x14ac:dyDescent="0.2">
      <c r="A161" t="s">
        <v>10</v>
      </c>
      <c r="B161">
        <v>2039</v>
      </c>
      <c r="C161">
        <v>3699621</v>
      </c>
    </row>
    <row r="162" spans="1:3" x14ac:dyDescent="0.2">
      <c r="A162" t="s">
        <v>10</v>
      </c>
      <c r="B162">
        <v>2038</v>
      </c>
      <c r="C162">
        <v>3636013</v>
      </c>
    </row>
    <row r="163" spans="1:3" x14ac:dyDescent="0.2">
      <c r="A163" t="s">
        <v>10</v>
      </c>
      <c r="B163">
        <v>2037</v>
      </c>
      <c r="C163">
        <v>3572554</v>
      </c>
    </row>
    <row r="164" spans="1:3" x14ac:dyDescent="0.2">
      <c r="A164" t="s">
        <v>10</v>
      </c>
      <c r="B164">
        <v>2036</v>
      </c>
      <c r="C164">
        <v>3509369</v>
      </c>
    </row>
    <row r="165" spans="1:3" x14ac:dyDescent="0.2">
      <c r="A165" t="s">
        <v>10</v>
      </c>
      <c r="B165">
        <v>2035</v>
      </c>
      <c r="C165">
        <v>3446570</v>
      </c>
    </row>
    <row r="166" spans="1:3" x14ac:dyDescent="0.2">
      <c r="A166" t="s">
        <v>10</v>
      </c>
      <c r="B166">
        <v>2034</v>
      </c>
      <c r="C166">
        <v>3384184</v>
      </c>
    </row>
    <row r="167" spans="1:3" x14ac:dyDescent="0.2">
      <c r="A167" t="s">
        <v>10</v>
      </c>
      <c r="B167">
        <v>2033</v>
      </c>
      <c r="C167">
        <v>3322364</v>
      </c>
    </row>
    <row r="168" spans="1:3" x14ac:dyDescent="0.2">
      <c r="A168" t="s">
        <v>10</v>
      </c>
      <c r="B168">
        <v>2032</v>
      </c>
      <c r="C168">
        <v>3261548</v>
      </c>
    </row>
    <row r="169" spans="1:3" x14ac:dyDescent="0.2">
      <c r="A169" t="s">
        <v>10</v>
      </c>
      <c r="B169">
        <v>2031</v>
      </c>
      <c r="C169">
        <v>3202041</v>
      </c>
    </row>
    <row r="170" spans="1:3" x14ac:dyDescent="0.2">
      <c r="A170" t="s">
        <v>10</v>
      </c>
      <c r="B170">
        <v>2030</v>
      </c>
      <c r="C170">
        <v>3141081</v>
      </c>
    </row>
    <row r="171" spans="1:3" x14ac:dyDescent="0.2">
      <c r="A171" t="s">
        <v>10</v>
      </c>
      <c r="B171">
        <v>2029</v>
      </c>
      <c r="C171">
        <v>3077194</v>
      </c>
    </row>
    <row r="172" spans="1:3" x14ac:dyDescent="0.2">
      <c r="A172" t="s">
        <v>10</v>
      </c>
      <c r="B172">
        <v>2028</v>
      </c>
      <c r="C172">
        <v>3012273</v>
      </c>
    </row>
    <row r="173" spans="1:3" x14ac:dyDescent="0.2">
      <c r="A173" t="s">
        <v>10</v>
      </c>
      <c r="B173">
        <v>2027</v>
      </c>
      <c r="C173">
        <v>2950745</v>
      </c>
    </row>
    <row r="174" spans="1:3" x14ac:dyDescent="0.2">
      <c r="A174" t="s">
        <v>10</v>
      </c>
      <c r="B174">
        <v>2026</v>
      </c>
      <c r="C174">
        <v>2896208</v>
      </c>
    </row>
    <row r="175" spans="1:3" x14ac:dyDescent="0.2">
      <c r="A175" t="s">
        <v>10</v>
      </c>
      <c r="B175">
        <v>2025</v>
      </c>
      <c r="C175">
        <v>2848457</v>
      </c>
    </row>
    <row r="176" spans="1:3" x14ac:dyDescent="0.2">
      <c r="A176" t="s">
        <v>10</v>
      </c>
      <c r="B176">
        <v>2024</v>
      </c>
      <c r="C176">
        <v>2804135</v>
      </c>
    </row>
    <row r="177" spans="1:3" x14ac:dyDescent="0.2">
      <c r="A177" t="s">
        <v>10</v>
      </c>
      <c r="B177">
        <v>2023</v>
      </c>
      <c r="C177">
        <v>2743463</v>
      </c>
    </row>
    <row r="178" spans="1:3" x14ac:dyDescent="0.2">
      <c r="A178" t="s">
        <v>10</v>
      </c>
      <c r="B178">
        <v>2022</v>
      </c>
      <c r="C178">
        <v>2687080</v>
      </c>
    </row>
    <row r="179" spans="1:3" x14ac:dyDescent="0.2">
      <c r="A179" t="s">
        <v>10</v>
      </c>
      <c r="B179">
        <v>2021</v>
      </c>
      <c r="C179">
        <v>2628069</v>
      </c>
    </row>
    <row r="180" spans="1:3" x14ac:dyDescent="0.2">
      <c r="A180" t="s">
        <v>10</v>
      </c>
      <c r="B180">
        <v>2020</v>
      </c>
      <c r="C180">
        <v>2562609</v>
      </c>
    </row>
    <row r="181" spans="1:3" x14ac:dyDescent="0.2">
      <c r="A181" t="s">
        <v>10</v>
      </c>
      <c r="B181">
        <v>2019</v>
      </c>
      <c r="C181">
        <v>2497980</v>
      </c>
    </row>
    <row r="182" spans="1:3" x14ac:dyDescent="0.2">
      <c r="A182" t="s">
        <v>11</v>
      </c>
      <c r="B182">
        <v>2020</v>
      </c>
      <c r="C182">
        <v>1013561</v>
      </c>
    </row>
    <row r="183" spans="1:3" x14ac:dyDescent="0.2">
      <c r="A183" t="s">
        <v>11</v>
      </c>
      <c r="B183">
        <v>2021</v>
      </c>
      <c r="C183">
        <v>1023854</v>
      </c>
    </row>
    <row r="184" spans="1:3" x14ac:dyDescent="0.2">
      <c r="A184" t="s">
        <v>11</v>
      </c>
      <c r="B184">
        <v>2022</v>
      </c>
      <c r="C184">
        <v>1039188</v>
      </c>
    </row>
    <row r="185" spans="1:3" x14ac:dyDescent="0.2">
      <c r="A185" t="s">
        <v>11</v>
      </c>
      <c r="B185">
        <v>2023</v>
      </c>
      <c r="C185">
        <v>1062521</v>
      </c>
    </row>
    <row r="186" spans="1:3" x14ac:dyDescent="0.2">
      <c r="A186" t="s">
        <v>11</v>
      </c>
      <c r="B186">
        <v>2024</v>
      </c>
      <c r="C186">
        <v>1076748</v>
      </c>
    </row>
    <row r="187" spans="1:3" x14ac:dyDescent="0.2">
      <c r="A187" t="s">
        <v>11</v>
      </c>
      <c r="B187">
        <v>2025</v>
      </c>
      <c r="C187">
        <v>1091119</v>
      </c>
    </row>
    <row r="188" spans="1:3" x14ac:dyDescent="0.2">
      <c r="A188" t="s">
        <v>11</v>
      </c>
      <c r="B188">
        <v>2026</v>
      </c>
      <c r="C188">
        <v>1108172</v>
      </c>
    </row>
    <row r="189" spans="1:3" x14ac:dyDescent="0.2">
      <c r="A189" t="s">
        <v>11</v>
      </c>
      <c r="B189">
        <v>2027</v>
      </c>
      <c r="C189">
        <v>1127300</v>
      </c>
    </row>
    <row r="190" spans="1:3" x14ac:dyDescent="0.2">
      <c r="A190" t="s">
        <v>11</v>
      </c>
      <c r="B190">
        <v>2028</v>
      </c>
      <c r="C190">
        <v>1147018</v>
      </c>
    </row>
    <row r="191" spans="1:3" x14ac:dyDescent="0.2">
      <c r="A191" t="s">
        <v>11</v>
      </c>
      <c r="B191">
        <v>2029</v>
      </c>
      <c r="C191">
        <v>1167097</v>
      </c>
    </row>
    <row r="192" spans="1:3" x14ac:dyDescent="0.2">
      <c r="A192" t="s">
        <v>11</v>
      </c>
      <c r="B192">
        <v>2030</v>
      </c>
      <c r="C192">
        <v>1186636</v>
      </c>
    </row>
    <row r="193" spans="1:3" x14ac:dyDescent="0.2">
      <c r="A193" t="s">
        <v>11</v>
      </c>
      <c r="B193">
        <v>2031</v>
      </c>
      <c r="C193">
        <v>1205115</v>
      </c>
    </row>
    <row r="194" spans="1:3" x14ac:dyDescent="0.2">
      <c r="A194" t="s">
        <v>11</v>
      </c>
      <c r="B194">
        <v>2032</v>
      </c>
      <c r="C194">
        <v>1223187</v>
      </c>
    </row>
    <row r="195" spans="1:3" x14ac:dyDescent="0.2">
      <c r="A195" t="s">
        <v>11</v>
      </c>
      <c r="B195">
        <v>2033</v>
      </c>
      <c r="C195">
        <v>1241799</v>
      </c>
    </row>
    <row r="196" spans="1:3" x14ac:dyDescent="0.2">
      <c r="A196" t="s">
        <v>11</v>
      </c>
      <c r="B196">
        <v>2034</v>
      </c>
      <c r="C196">
        <v>1260757</v>
      </c>
    </row>
    <row r="197" spans="1:3" x14ac:dyDescent="0.2">
      <c r="A197" t="s">
        <v>11</v>
      </c>
      <c r="B197">
        <v>2035</v>
      </c>
      <c r="C197">
        <v>1275858.4857142961</v>
      </c>
    </row>
    <row r="198" spans="1:3" x14ac:dyDescent="0.2">
      <c r="A198" t="s">
        <v>11</v>
      </c>
      <c r="B198">
        <v>2036</v>
      </c>
      <c r="C198">
        <v>1293890.1964285809</v>
      </c>
    </row>
    <row r="199" spans="1:3" x14ac:dyDescent="0.2">
      <c r="A199" t="s">
        <v>11</v>
      </c>
      <c r="B199">
        <v>2037</v>
      </c>
      <c r="C199">
        <v>1311921.9071428671</v>
      </c>
    </row>
    <row r="200" spans="1:3" x14ac:dyDescent="0.2">
      <c r="A200" t="s">
        <v>11</v>
      </c>
      <c r="B200">
        <v>2038</v>
      </c>
      <c r="C200">
        <v>1329953.6178571531</v>
      </c>
    </row>
    <row r="201" spans="1:3" x14ac:dyDescent="0.2">
      <c r="A201" t="s">
        <v>11</v>
      </c>
      <c r="B201">
        <v>2039</v>
      </c>
      <c r="C201">
        <v>1347985.3285714381</v>
      </c>
    </row>
    <row r="202" spans="1:3" x14ac:dyDescent="0.2">
      <c r="A202" t="s">
        <v>11</v>
      </c>
      <c r="B202">
        <v>2040</v>
      </c>
      <c r="C202">
        <v>1366017.0392857241</v>
      </c>
    </row>
    <row r="203" spans="1:3" x14ac:dyDescent="0.2">
      <c r="A203" t="s">
        <v>11</v>
      </c>
      <c r="B203">
        <v>2041</v>
      </c>
      <c r="C203">
        <v>1384048.75000001</v>
      </c>
    </row>
    <row r="204" spans="1:3" x14ac:dyDescent="0.2">
      <c r="A204" t="s">
        <v>11</v>
      </c>
      <c r="B204">
        <v>2042</v>
      </c>
      <c r="C204">
        <v>1402080.460714295</v>
      </c>
    </row>
    <row r="205" spans="1:3" x14ac:dyDescent="0.2">
      <c r="A205" t="s">
        <v>11</v>
      </c>
      <c r="B205">
        <v>2043</v>
      </c>
      <c r="C205">
        <v>1420112.171428581</v>
      </c>
    </row>
    <row r="206" spans="1:3" x14ac:dyDescent="0.2">
      <c r="A206" t="s">
        <v>11</v>
      </c>
      <c r="B206">
        <v>2044</v>
      </c>
      <c r="C206">
        <v>1438143.882142866</v>
      </c>
    </row>
    <row r="207" spans="1:3" x14ac:dyDescent="0.2">
      <c r="A207" t="s">
        <v>11</v>
      </c>
      <c r="B207">
        <v>2045</v>
      </c>
      <c r="C207">
        <v>1456175.592857152</v>
      </c>
    </row>
    <row r="208" spans="1:3" x14ac:dyDescent="0.2">
      <c r="A208" t="s">
        <v>11</v>
      </c>
      <c r="B208">
        <v>2046</v>
      </c>
      <c r="C208">
        <v>1474207.303571438</v>
      </c>
    </row>
    <row r="209" spans="1:3" x14ac:dyDescent="0.2">
      <c r="A209" t="s">
        <v>11</v>
      </c>
      <c r="B209">
        <v>2047</v>
      </c>
      <c r="C209">
        <v>1492239.014285723</v>
      </c>
    </row>
    <row r="210" spans="1:3" x14ac:dyDescent="0.2">
      <c r="A210" t="s">
        <v>11</v>
      </c>
      <c r="B210">
        <v>2048</v>
      </c>
      <c r="C210">
        <v>1510270.7250000089</v>
      </c>
    </row>
    <row r="211" spans="1:3" x14ac:dyDescent="0.2">
      <c r="A211" t="s">
        <v>11</v>
      </c>
      <c r="B211">
        <v>2049</v>
      </c>
      <c r="C211">
        <v>1528302.4357142949</v>
      </c>
    </row>
    <row r="212" spans="1:3" x14ac:dyDescent="0.2">
      <c r="A212" t="s">
        <v>11</v>
      </c>
      <c r="B212">
        <v>2050</v>
      </c>
      <c r="C212">
        <v>1546334.1464285799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Households</vt:lpstr>
      <vt:lpstr>Gas Conns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Jefferson</cp:lastModifiedBy>
  <dcterms:created xsi:type="dcterms:W3CDTF">2025-09-30T04:52:23Z</dcterms:created>
  <dcterms:modified xsi:type="dcterms:W3CDTF">2025-09-30T05:04:55Z</dcterms:modified>
</cp:coreProperties>
</file>