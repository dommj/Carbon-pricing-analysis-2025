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DE2092AA-699B-1A40-A4F4-B62EE716C584}" xr6:coauthVersionLast="47" xr6:coauthVersionMax="47" xr10:uidLastSave="{00000000-0000-0000-0000-000000000000}"/>
  <bookViews>
    <workbookView xWindow="-17980" yWindow="-28200" windowWidth="33800" windowHeight="2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S5" i="1"/>
  <c r="T5" i="1"/>
  <c r="U5" i="1"/>
  <c r="R6" i="1"/>
  <c r="S6" i="1"/>
  <c r="T6" i="1"/>
  <c r="U6" i="1"/>
  <c r="S4" i="1"/>
  <c r="T4" i="1"/>
  <c r="U4" i="1"/>
  <c r="R4" i="1"/>
  <c r="N5" i="1"/>
  <c r="O5" i="1"/>
  <c r="P5" i="1"/>
  <c r="Q5" i="1"/>
  <c r="N6" i="1"/>
  <c r="O6" i="1"/>
  <c r="P6" i="1"/>
  <c r="Q6" i="1"/>
  <c r="O4" i="1"/>
  <c r="P4" i="1"/>
  <c r="Q4" i="1"/>
  <c r="N4" i="1"/>
  <c r="K4" i="1"/>
  <c r="L4" i="1"/>
  <c r="M4" i="1"/>
  <c r="K5" i="1"/>
  <c r="L5" i="1"/>
  <c r="M5" i="1"/>
  <c r="K6" i="1"/>
  <c r="L6" i="1"/>
  <c r="M6" i="1"/>
  <c r="J5" i="1"/>
  <c r="J6" i="1"/>
  <c r="J4" i="1"/>
</calcChain>
</file>

<file path=xl/sharedStrings.xml><?xml version="1.0" encoding="utf-8"?>
<sst xmlns="http://schemas.openxmlformats.org/spreadsheetml/2006/main" count="714" uniqueCount="13">
  <si>
    <t>year</t>
  </si>
  <si>
    <t>grid</t>
  </si>
  <si>
    <t>renewable</t>
  </si>
  <si>
    <t>scenario</t>
  </si>
  <si>
    <t>generation_sent_out_gwh</t>
  </si>
  <si>
    <t>pct_renewable</t>
  </si>
  <si>
    <t>Other</t>
  </si>
  <si>
    <t>Renewable</t>
  </si>
  <si>
    <t>No new policy</t>
  </si>
  <si>
    <t>Safeguard &lt; 1.5°C</t>
  </si>
  <si>
    <t>Safeguard &lt; 2°C</t>
  </si>
  <si>
    <t>nem</t>
  </si>
  <si>
    <t>wem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</si>
</sst>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"/>
  <sheetViews>
    <sheetView tabSelected="1" topLeftCell="E1" zoomScale="150" workbookViewId="0">
      <selection activeCell="I4" sqref="I4"/>
    </sheetView>
  </sheetViews>
  <sheetFormatPr baseColWidth="10" defaultColWidth="8.83203125" defaultRowHeight="15" x14ac:dyDescent="0.2"/>
  <cols>
    <col min="1" max="1" width="10.83203125" customWidth="1"/>
    <col min="2" max="2" width="5.5" bestFit="1" customWidth="1"/>
    <col min="3" max="3" width="9.5" bestFit="1" customWidth="1"/>
    <col min="4" max="4" width="14.6640625" bestFit="1" customWidth="1"/>
    <col min="5" max="5" width="22" bestFit="1" customWidth="1"/>
    <col min="6" max="6" width="12.83203125" bestFit="1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1" x14ac:dyDescent="0.2">
      <c r="A2">
        <v>2025</v>
      </c>
      <c r="B2" t="s">
        <v>6</v>
      </c>
      <c r="C2" t="s">
        <v>7</v>
      </c>
      <c r="D2" t="s">
        <v>8</v>
      </c>
      <c r="E2">
        <v>349.20756718384308</v>
      </c>
      <c r="F2">
        <v>3.7676216033183579E-2</v>
      </c>
      <c r="J2" t="s">
        <v>8</v>
      </c>
      <c r="N2" t="s">
        <v>10</v>
      </c>
      <c r="R2" t="s">
        <v>9</v>
      </c>
    </row>
    <row r="3" spans="1:21" x14ac:dyDescent="0.2">
      <c r="A3">
        <v>2025</v>
      </c>
      <c r="B3" t="s">
        <v>6</v>
      </c>
      <c r="C3" t="s">
        <v>7</v>
      </c>
      <c r="D3" t="s">
        <v>9</v>
      </c>
      <c r="E3">
        <v>349.20756718384308</v>
      </c>
      <c r="F3">
        <v>3.7676216025430379E-2</v>
      </c>
      <c r="J3">
        <v>2025</v>
      </c>
      <c r="K3">
        <v>2030</v>
      </c>
      <c r="L3">
        <v>2035</v>
      </c>
      <c r="M3">
        <v>2050</v>
      </c>
      <c r="N3">
        <v>2025</v>
      </c>
      <c r="O3">
        <v>2030</v>
      </c>
      <c r="P3">
        <v>2035</v>
      </c>
      <c r="Q3">
        <v>2050</v>
      </c>
      <c r="R3">
        <v>2025</v>
      </c>
      <c r="S3">
        <v>2030</v>
      </c>
      <c r="T3">
        <v>2035</v>
      </c>
      <c r="U3">
        <v>2050</v>
      </c>
    </row>
    <row r="4" spans="1:21" x14ac:dyDescent="0.2">
      <c r="A4">
        <v>2025</v>
      </c>
      <c r="B4" t="s">
        <v>6</v>
      </c>
      <c r="C4" t="s">
        <v>7</v>
      </c>
      <c r="D4" t="s">
        <v>10</v>
      </c>
      <c r="E4">
        <v>349.20956254944917</v>
      </c>
      <c r="F4">
        <v>3.7676387094860042E-2</v>
      </c>
      <c r="I4" t="s">
        <v>6</v>
      </c>
      <c r="J4" s="2">
        <f>SUMIFS($F$2:$F$235,$D$2:$D$235,$J$2,$B$2:$B$235,$I4,$A$2:$A$235,J$3)</f>
        <v>3.7676216033183579E-2</v>
      </c>
      <c r="K4" s="2">
        <f t="shared" ref="K4:Q4" si="0">SUMIFS($F$2:$F$235,$D$2:$D$235,$J$2,$B$2:$B$235,$I4,$A$2:$A$235,K$3)</f>
        <v>5.4210628454305007E-2</v>
      </c>
      <c r="L4" s="2">
        <f t="shared" si="0"/>
        <v>5.1693100905502838E-2</v>
      </c>
      <c r="M4" s="2">
        <f t="shared" si="0"/>
        <v>4.545803997336563E-2</v>
      </c>
      <c r="N4" s="2">
        <f>SUMIFS($F$2:$F$235,$D$2:$D$235,$N$2,$B$2:$B$235,$I4,$A$2:$A$235,N$3)</f>
        <v>3.7676387094860042E-2</v>
      </c>
      <c r="O4" s="2">
        <f t="shared" ref="O4:U6" si="1">SUMIFS($F$2:$F$235,$D$2:$D$235,$N$2,$B$2:$B$235,$I4,$A$2:$A$235,O$3)</f>
        <v>4.244912215277926E-2</v>
      </c>
      <c r="P4" s="2">
        <f t="shared" si="1"/>
        <v>0.2244799527164513</v>
      </c>
      <c r="Q4" s="2">
        <f t="shared" si="1"/>
        <v>0.21500579819195009</v>
      </c>
      <c r="R4" s="2">
        <f>SUMIFS($F$2:$F$235,$D$2:$D$235,$R$2,$B$2:$B$235,$I4,$A$2:$A$235,R$3)</f>
        <v>3.7676216025430379E-2</v>
      </c>
      <c r="S4" s="2">
        <f t="shared" ref="S4:U6" si="2">SUMIFS($F$2:$F$235,$D$2:$D$235,$R$2,$B$2:$B$235,$I4,$A$2:$A$235,S$3)</f>
        <v>4.2448541678171421E-2</v>
      </c>
      <c r="T4" s="2">
        <f t="shared" si="2"/>
        <v>0.30820390781547902</v>
      </c>
      <c r="U4" s="2">
        <f t="shared" si="2"/>
        <v>0.33223643624128152</v>
      </c>
    </row>
    <row r="5" spans="1:21" x14ac:dyDescent="0.2">
      <c r="A5">
        <v>2025</v>
      </c>
      <c r="B5" t="s">
        <v>11</v>
      </c>
      <c r="C5" t="s">
        <v>7</v>
      </c>
      <c r="D5" t="s">
        <v>8</v>
      </c>
      <c r="E5">
        <v>105505.7083338602</v>
      </c>
      <c r="F5">
        <v>0.4989630836755708</v>
      </c>
      <c r="I5" t="s">
        <v>11</v>
      </c>
      <c r="J5" s="2">
        <f t="shared" ref="J5:Q6" si="3">SUMIFS($F$2:$F$235,$D$2:$D$235,$J$2,$B$2:$B$235,$I5,$A$2:$A$235,J$3)</f>
        <v>0.4989630836755708</v>
      </c>
      <c r="K5" s="2">
        <f t="shared" si="3"/>
        <v>0.70261209093217758</v>
      </c>
      <c r="L5" s="2">
        <f t="shared" si="3"/>
        <v>0.78873428169834114</v>
      </c>
      <c r="M5" s="2">
        <f t="shared" si="3"/>
        <v>0.9264779258472543</v>
      </c>
      <c r="N5" s="2">
        <f t="shared" ref="N5:N6" si="4">SUMIFS($F$2:$F$235,$D$2:$D$235,$N$2,$B$2:$B$235,$I5,$A$2:$A$235,N$3)</f>
        <v>0.49896249454471298</v>
      </c>
      <c r="O5" s="2">
        <f t="shared" si="1"/>
        <v>0.70289246727647225</v>
      </c>
      <c r="P5" s="2">
        <f t="shared" si="1"/>
        <v>0.93406096076633593</v>
      </c>
      <c r="Q5" s="2">
        <f t="shared" si="1"/>
        <v>0.97612192170236345</v>
      </c>
      <c r="R5" s="2">
        <f t="shared" ref="R5:R6" si="5">SUMIFS($F$2:$F$235,$D$2:$D$235,$R$2,$B$2:$B$235,$I5,$A$2:$A$235,R$3)</f>
        <v>0.4989630836755708</v>
      </c>
      <c r="S5" s="2">
        <f t="shared" si="2"/>
        <v>0.75011219412076391</v>
      </c>
      <c r="T5" s="2">
        <f t="shared" si="2"/>
        <v>0.95961885099431443</v>
      </c>
      <c r="U5" s="2">
        <f t="shared" si="2"/>
        <v>0.98004689038977133</v>
      </c>
    </row>
    <row r="6" spans="1:21" x14ac:dyDescent="0.2">
      <c r="A6">
        <v>2025</v>
      </c>
      <c r="B6" t="s">
        <v>11</v>
      </c>
      <c r="C6" t="s">
        <v>7</v>
      </c>
      <c r="D6" t="s">
        <v>9</v>
      </c>
      <c r="E6">
        <v>105505.7083338602</v>
      </c>
      <c r="F6">
        <v>0.4989630836755708</v>
      </c>
      <c r="I6" t="s">
        <v>12</v>
      </c>
      <c r="J6" s="2">
        <f t="shared" si="3"/>
        <v>0.35414745102007322</v>
      </c>
      <c r="K6" s="2">
        <f t="shared" si="3"/>
        <v>0.42123359865401111</v>
      </c>
      <c r="L6" s="2">
        <f t="shared" si="3"/>
        <v>0.44792164896603942</v>
      </c>
      <c r="M6" s="2">
        <f t="shared" si="3"/>
        <v>0.54364348593155465</v>
      </c>
      <c r="N6" s="2">
        <f t="shared" si="4"/>
        <v>0.35414709533755229</v>
      </c>
      <c r="O6" s="2">
        <f t="shared" si="1"/>
        <v>0.42123376237336058</v>
      </c>
      <c r="P6" s="2">
        <f t="shared" si="1"/>
        <v>0.93444596748393605</v>
      </c>
      <c r="Q6" s="2">
        <f t="shared" si="1"/>
        <v>0.91999486504694139</v>
      </c>
      <c r="R6" s="2">
        <f t="shared" si="5"/>
        <v>0.35414745102007322</v>
      </c>
      <c r="S6" s="2">
        <f t="shared" si="2"/>
        <v>0.4216752075124523</v>
      </c>
      <c r="T6" s="2">
        <f t="shared" si="2"/>
        <v>0.96892364318418345</v>
      </c>
      <c r="U6" s="2">
        <f t="shared" si="2"/>
        <v>0.92779927616695168</v>
      </c>
    </row>
    <row r="7" spans="1:21" x14ac:dyDescent="0.2">
      <c r="A7">
        <v>2025</v>
      </c>
      <c r="B7" t="s">
        <v>11</v>
      </c>
      <c r="C7" t="s">
        <v>7</v>
      </c>
      <c r="D7" t="s">
        <v>10</v>
      </c>
      <c r="E7">
        <v>105505.4679473322</v>
      </c>
      <c r="F7">
        <v>0.49896249454471298</v>
      </c>
    </row>
    <row r="8" spans="1:21" x14ac:dyDescent="0.2">
      <c r="A8">
        <v>2025</v>
      </c>
      <c r="B8" t="s">
        <v>12</v>
      </c>
      <c r="C8" t="s">
        <v>7</v>
      </c>
      <c r="D8" t="s">
        <v>8</v>
      </c>
      <c r="E8">
        <v>8000.745187760549</v>
      </c>
      <c r="F8">
        <v>0.35414745102007322</v>
      </c>
    </row>
    <row r="9" spans="1:21" x14ac:dyDescent="0.2">
      <c r="A9">
        <v>2025</v>
      </c>
      <c r="B9" t="s">
        <v>12</v>
      </c>
      <c r="C9" t="s">
        <v>7</v>
      </c>
      <c r="D9" t="s">
        <v>9</v>
      </c>
      <c r="E9">
        <v>8000.745187760549</v>
      </c>
      <c r="F9">
        <v>0.35414745102007322</v>
      </c>
    </row>
    <row r="10" spans="1:21" x14ac:dyDescent="0.2">
      <c r="A10">
        <v>2025</v>
      </c>
      <c r="B10" t="s">
        <v>12</v>
      </c>
      <c r="C10" t="s">
        <v>7</v>
      </c>
      <c r="D10" t="s">
        <v>10</v>
      </c>
      <c r="E10">
        <v>8000.745187760549</v>
      </c>
      <c r="F10">
        <v>0.35414709533755229</v>
      </c>
    </row>
    <row r="11" spans="1:21" x14ac:dyDescent="0.2">
      <c r="A11">
        <v>2026</v>
      </c>
      <c r="B11" t="s">
        <v>6</v>
      </c>
      <c r="C11" t="s">
        <v>7</v>
      </c>
      <c r="D11" t="s">
        <v>8</v>
      </c>
      <c r="E11">
        <v>380.78804613523192</v>
      </c>
      <c r="F11">
        <v>4.0493866915648727E-2</v>
      </c>
    </row>
    <row r="12" spans="1:21" x14ac:dyDescent="0.2">
      <c r="A12">
        <v>2026</v>
      </c>
      <c r="B12" t="s">
        <v>6</v>
      </c>
      <c r="C12" t="s">
        <v>7</v>
      </c>
      <c r="D12" t="s">
        <v>9</v>
      </c>
      <c r="E12">
        <v>380.78804613523192</v>
      </c>
      <c r="F12">
        <v>4.0493910019846549E-2</v>
      </c>
    </row>
    <row r="13" spans="1:21" x14ac:dyDescent="0.2">
      <c r="A13">
        <v>2026</v>
      </c>
      <c r="B13" t="s">
        <v>6</v>
      </c>
      <c r="C13" t="s">
        <v>7</v>
      </c>
      <c r="D13" t="s">
        <v>10</v>
      </c>
      <c r="E13">
        <v>380.79648616430728</v>
      </c>
      <c r="F13">
        <v>4.0494773057400263E-2</v>
      </c>
    </row>
    <row r="14" spans="1:21" x14ac:dyDescent="0.2">
      <c r="A14">
        <v>2026</v>
      </c>
      <c r="B14" t="s">
        <v>11</v>
      </c>
      <c r="C14" t="s">
        <v>7</v>
      </c>
      <c r="D14" t="s">
        <v>8</v>
      </c>
      <c r="E14">
        <v>114957.3232471205</v>
      </c>
      <c r="F14">
        <v>0.53155615704867099</v>
      </c>
    </row>
    <row r="15" spans="1:21" x14ac:dyDescent="0.2">
      <c r="A15">
        <v>2026</v>
      </c>
      <c r="B15" t="s">
        <v>11</v>
      </c>
      <c r="C15" t="s">
        <v>7</v>
      </c>
      <c r="D15" t="s">
        <v>9</v>
      </c>
      <c r="E15">
        <v>114957.3232471205</v>
      </c>
      <c r="F15">
        <v>0.53155615704867099</v>
      </c>
    </row>
    <row r="16" spans="1:21" x14ac:dyDescent="0.2">
      <c r="A16">
        <v>2026</v>
      </c>
      <c r="B16" t="s">
        <v>11</v>
      </c>
      <c r="C16" t="s">
        <v>7</v>
      </c>
      <c r="D16" t="s">
        <v>10</v>
      </c>
      <c r="E16">
        <v>114957.2761482519</v>
      </c>
      <c r="F16">
        <v>0.53155604743032558</v>
      </c>
    </row>
    <row r="17" spans="1:6" x14ac:dyDescent="0.2">
      <c r="A17">
        <v>2026</v>
      </c>
      <c r="B17" t="s">
        <v>12</v>
      </c>
      <c r="C17" t="s">
        <v>7</v>
      </c>
      <c r="D17" t="s">
        <v>8</v>
      </c>
      <c r="E17">
        <v>8291.1391877605492</v>
      </c>
      <c r="F17">
        <v>0.36280914562465361</v>
      </c>
    </row>
    <row r="18" spans="1:6" x14ac:dyDescent="0.2">
      <c r="A18">
        <v>2026</v>
      </c>
      <c r="B18" t="s">
        <v>12</v>
      </c>
      <c r="C18" t="s">
        <v>7</v>
      </c>
      <c r="D18" t="s">
        <v>9</v>
      </c>
      <c r="E18">
        <v>8291.1391877605492</v>
      </c>
      <c r="F18">
        <v>0.36280914562465361</v>
      </c>
    </row>
    <row r="19" spans="1:6" x14ac:dyDescent="0.2">
      <c r="A19">
        <v>2026</v>
      </c>
      <c r="B19" t="s">
        <v>12</v>
      </c>
      <c r="C19" t="s">
        <v>7</v>
      </c>
      <c r="D19" t="s">
        <v>10</v>
      </c>
      <c r="E19">
        <v>8291.1391877605492</v>
      </c>
      <c r="F19">
        <v>0.36280926334039748</v>
      </c>
    </row>
    <row r="20" spans="1:6" x14ac:dyDescent="0.2">
      <c r="A20">
        <v>2027</v>
      </c>
      <c r="B20" t="s">
        <v>6</v>
      </c>
      <c r="C20" t="s">
        <v>7</v>
      </c>
      <c r="D20" t="s">
        <v>8</v>
      </c>
      <c r="E20">
        <v>522.23680797415466</v>
      </c>
      <c r="F20">
        <v>5.4309057261331027E-2</v>
      </c>
    </row>
    <row r="21" spans="1:6" x14ac:dyDescent="0.2">
      <c r="A21">
        <v>2027</v>
      </c>
      <c r="B21" t="s">
        <v>6</v>
      </c>
      <c r="C21" t="s">
        <v>7</v>
      </c>
      <c r="D21" t="s">
        <v>9</v>
      </c>
      <c r="E21">
        <v>513.73670590114148</v>
      </c>
      <c r="F21">
        <v>5.4189310685453178E-2</v>
      </c>
    </row>
    <row r="22" spans="1:6" x14ac:dyDescent="0.2">
      <c r="A22">
        <v>2027</v>
      </c>
      <c r="B22" t="s">
        <v>6</v>
      </c>
      <c r="C22" t="s">
        <v>7</v>
      </c>
      <c r="D22" t="s">
        <v>10</v>
      </c>
      <c r="E22">
        <v>513.74810953959172</v>
      </c>
      <c r="F22">
        <v>5.4190488367253688E-2</v>
      </c>
    </row>
    <row r="23" spans="1:6" x14ac:dyDescent="0.2">
      <c r="A23">
        <v>2027</v>
      </c>
      <c r="B23" t="s">
        <v>11</v>
      </c>
      <c r="C23" t="s">
        <v>7</v>
      </c>
      <c r="D23" t="s">
        <v>8</v>
      </c>
      <c r="E23">
        <v>124264.95523100909</v>
      </c>
      <c r="F23">
        <v>0.560218684395829</v>
      </c>
    </row>
    <row r="24" spans="1:6" x14ac:dyDescent="0.2">
      <c r="A24">
        <v>2027</v>
      </c>
      <c r="B24" t="s">
        <v>11</v>
      </c>
      <c r="C24" t="s">
        <v>7</v>
      </c>
      <c r="D24" t="s">
        <v>9</v>
      </c>
      <c r="E24">
        <v>124264.95523100909</v>
      </c>
      <c r="F24">
        <v>0.560218684395829</v>
      </c>
    </row>
    <row r="25" spans="1:6" x14ac:dyDescent="0.2">
      <c r="A25">
        <v>2027</v>
      </c>
      <c r="B25" t="s">
        <v>11</v>
      </c>
      <c r="C25" t="s">
        <v>7</v>
      </c>
      <c r="D25" t="s">
        <v>10</v>
      </c>
      <c r="E25">
        <v>124265.07329994479</v>
      </c>
      <c r="F25">
        <v>0.56021889252515256</v>
      </c>
    </row>
    <row r="26" spans="1:6" x14ac:dyDescent="0.2">
      <c r="A26">
        <v>2027</v>
      </c>
      <c r="B26" t="s">
        <v>12</v>
      </c>
      <c r="C26" t="s">
        <v>7</v>
      </c>
      <c r="D26" t="s">
        <v>8</v>
      </c>
      <c r="E26">
        <v>8932.8084034667663</v>
      </c>
      <c r="F26">
        <v>0.37634534765791527</v>
      </c>
    </row>
    <row r="27" spans="1:6" x14ac:dyDescent="0.2">
      <c r="A27">
        <v>2027</v>
      </c>
      <c r="B27" t="s">
        <v>12</v>
      </c>
      <c r="C27" t="s">
        <v>7</v>
      </c>
      <c r="D27" t="s">
        <v>9</v>
      </c>
      <c r="E27">
        <v>8932.8084034667663</v>
      </c>
      <c r="F27">
        <v>0.37634534765791527</v>
      </c>
    </row>
    <row r="28" spans="1:6" x14ac:dyDescent="0.2">
      <c r="A28">
        <v>2027</v>
      </c>
      <c r="B28" t="s">
        <v>12</v>
      </c>
      <c r="C28" t="s">
        <v>7</v>
      </c>
      <c r="D28" t="s">
        <v>10</v>
      </c>
      <c r="E28">
        <v>8932.8084034667663</v>
      </c>
      <c r="F28">
        <v>0.37634521693978779</v>
      </c>
    </row>
    <row r="29" spans="1:6" x14ac:dyDescent="0.2">
      <c r="A29">
        <v>2028</v>
      </c>
      <c r="B29" t="s">
        <v>6</v>
      </c>
      <c r="C29" t="s">
        <v>7</v>
      </c>
      <c r="D29" t="s">
        <v>8</v>
      </c>
      <c r="E29">
        <v>557.06963040897813</v>
      </c>
      <c r="F29">
        <v>5.7497019745943782E-2</v>
      </c>
    </row>
    <row r="30" spans="1:6" x14ac:dyDescent="0.2">
      <c r="A30">
        <v>2028</v>
      </c>
      <c r="B30" t="s">
        <v>6</v>
      </c>
      <c r="C30" t="s">
        <v>7</v>
      </c>
      <c r="D30" t="s">
        <v>9</v>
      </c>
      <c r="E30">
        <v>465.09747986694828</v>
      </c>
      <c r="F30">
        <v>4.9490841547226327E-2</v>
      </c>
    </row>
    <row r="31" spans="1:6" x14ac:dyDescent="0.2">
      <c r="A31">
        <v>2028</v>
      </c>
      <c r="B31" t="s">
        <v>6</v>
      </c>
      <c r="C31" t="s">
        <v>7</v>
      </c>
      <c r="D31" t="s">
        <v>10</v>
      </c>
      <c r="E31">
        <v>465.09031571802041</v>
      </c>
      <c r="F31">
        <v>4.9490150082097582E-2</v>
      </c>
    </row>
    <row r="32" spans="1:6" x14ac:dyDescent="0.2">
      <c r="A32">
        <v>2028</v>
      </c>
      <c r="B32" t="s">
        <v>11</v>
      </c>
      <c r="C32" t="s">
        <v>7</v>
      </c>
      <c r="D32" t="s">
        <v>8</v>
      </c>
      <c r="E32">
        <v>138369.88492414789</v>
      </c>
      <c r="F32">
        <v>0.60780544346388565</v>
      </c>
    </row>
    <row r="33" spans="1:6" x14ac:dyDescent="0.2">
      <c r="A33">
        <v>2028</v>
      </c>
      <c r="B33" t="s">
        <v>11</v>
      </c>
      <c r="C33" t="s">
        <v>7</v>
      </c>
      <c r="D33" t="s">
        <v>9</v>
      </c>
      <c r="E33">
        <v>138370.62813641</v>
      </c>
      <c r="F33">
        <v>0.60780669768119244</v>
      </c>
    </row>
    <row r="34" spans="1:6" x14ac:dyDescent="0.2">
      <c r="A34">
        <v>2028</v>
      </c>
      <c r="B34" t="s">
        <v>11</v>
      </c>
      <c r="C34" t="s">
        <v>7</v>
      </c>
      <c r="D34" t="s">
        <v>10</v>
      </c>
      <c r="E34">
        <v>138370.64828723969</v>
      </c>
      <c r="F34">
        <v>0.60780657472243527</v>
      </c>
    </row>
    <row r="35" spans="1:6" x14ac:dyDescent="0.2">
      <c r="A35">
        <v>2028</v>
      </c>
      <c r="B35" t="s">
        <v>12</v>
      </c>
      <c r="C35" t="s">
        <v>7</v>
      </c>
      <c r="D35" t="s">
        <v>8</v>
      </c>
      <c r="E35">
        <v>9320.0004034667654</v>
      </c>
      <c r="F35">
        <v>0.38955964327728598</v>
      </c>
    </row>
    <row r="36" spans="1:6" x14ac:dyDescent="0.2">
      <c r="A36">
        <v>2028</v>
      </c>
      <c r="B36" t="s">
        <v>12</v>
      </c>
      <c r="C36" t="s">
        <v>7</v>
      </c>
      <c r="D36" t="s">
        <v>9</v>
      </c>
      <c r="E36">
        <v>9320.0004034667654</v>
      </c>
      <c r="F36">
        <v>0.38955964327728598</v>
      </c>
    </row>
    <row r="37" spans="1:6" x14ac:dyDescent="0.2">
      <c r="A37">
        <v>2028</v>
      </c>
      <c r="B37" t="s">
        <v>12</v>
      </c>
      <c r="C37" t="s">
        <v>7</v>
      </c>
      <c r="D37" t="s">
        <v>10</v>
      </c>
      <c r="E37">
        <v>9320.0004034667654</v>
      </c>
      <c r="F37">
        <v>0.38955973105425917</v>
      </c>
    </row>
    <row r="38" spans="1:6" x14ac:dyDescent="0.2">
      <c r="A38">
        <v>2029</v>
      </c>
      <c r="B38" t="s">
        <v>6</v>
      </c>
      <c r="C38" t="s">
        <v>7</v>
      </c>
      <c r="D38" t="s">
        <v>8</v>
      </c>
      <c r="E38">
        <v>526.98649917279204</v>
      </c>
      <c r="F38">
        <v>5.4209654584319082E-2</v>
      </c>
    </row>
    <row r="39" spans="1:6" x14ac:dyDescent="0.2">
      <c r="A39">
        <v>2029</v>
      </c>
      <c r="B39" t="s">
        <v>6</v>
      </c>
      <c r="C39" t="s">
        <v>7</v>
      </c>
      <c r="D39" t="s">
        <v>9</v>
      </c>
      <c r="E39">
        <v>399.5268522701557</v>
      </c>
      <c r="F39">
        <v>4.2506850272516793E-2</v>
      </c>
    </row>
    <row r="40" spans="1:6" x14ac:dyDescent="0.2">
      <c r="A40">
        <v>2029</v>
      </c>
      <c r="B40" t="s">
        <v>6</v>
      </c>
      <c r="C40" t="s">
        <v>7</v>
      </c>
      <c r="D40" t="s">
        <v>10</v>
      </c>
      <c r="E40">
        <v>399.52203233750299</v>
      </c>
      <c r="F40">
        <v>4.2506518828217522E-2</v>
      </c>
    </row>
    <row r="41" spans="1:6" x14ac:dyDescent="0.2">
      <c r="A41">
        <v>2029</v>
      </c>
      <c r="B41" t="s">
        <v>11</v>
      </c>
      <c r="C41" t="s">
        <v>7</v>
      </c>
      <c r="D41" t="s">
        <v>8</v>
      </c>
      <c r="E41">
        <v>156086.54187536129</v>
      </c>
      <c r="F41">
        <v>0.67018271974560917</v>
      </c>
    </row>
    <row r="42" spans="1:6" x14ac:dyDescent="0.2">
      <c r="A42">
        <v>2029</v>
      </c>
      <c r="B42" t="s">
        <v>11</v>
      </c>
      <c r="C42" t="s">
        <v>7</v>
      </c>
      <c r="D42" t="s">
        <v>9</v>
      </c>
      <c r="E42">
        <v>156564.11515684461</v>
      </c>
      <c r="F42">
        <v>0.67165958737241238</v>
      </c>
    </row>
    <row r="43" spans="1:6" x14ac:dyDescent="0.2">
      <c r="A43">
        <v>2029</v>
      </c>
      <c r="B43" t="s">
        <v>11</v>
      </c>
      <c r="C43" t="s">
        <v>7</v>
      </c>
      <c r="D43" t="s">
        <v>10</v>
      </c>
      <c r="E43">
        <v>156090.24074983361</v>
      </c>
      <c r="F43">
        <v>0.67025282438488243</v>
      </c>
    </row>
    <row r="44" spans="1:6" x14ac:dyDescent="0.2">
      <c r="A44">
        <v>2029</v>
      </c>
      <c r="B44" t="s">
        <v>12</v>
      </c>
      <c r="C44" t="s">
        <v>7</v>
      </c>
      <c r="D44" t="s">
        <v>8</v>
      </c>
      <c r="E44">
        <v>9812.476006789213</v>
      </c>
      <c r="F44">
        <v>0.4005181210773569</v>
      </c>
    </row>
    <row r="45" spans="1:6" x14ac:dyDescent="0.2">
      <c r="A45">
        <v>2029</v>
      </c>
      <c r="B45" t="s">
        <v>12</v>
      </c>
      <c r="C45" t="s">
        <v>7</v>
      </c>
      <c r="D45" t="s">
        <v>9</v>
      </c>
      <c r="E45">
        <v>9812.476006789213</v>
      </c>
      <c r="F45">
        <v>0.4005181210773569</v>
      </c>
    </row>
    <row r="46" spans="1:6" x14ac:dyDescent="0.2">
      <c r="A46">
        <v>2029</v>
      </c>
      <c r="B46" t="s">
        <v>12</v>
      </c>
      <c r="C46" t="s">
        <v>7</v>
      </c>
      <c r="D46" t="s">
        <v>10</v>
      </c>
      <c r="E46">
        <v>9812.476006789213</v>
      </c>
      <c r="F46">
        <v>0.40051813200708258</v>
      </c>
    </row>
    <row r="47" spans="1:6" x14ac:dyDescent="0.2">
      <c r="A47">
        <v>2030</v>
      </c>
      <c r="B47" t="s">
        <v>6</v>
      </c>
      <c r="C47" t="s">
        <v>7</v>
      </c>
      <c r="D47" t="s">
        <v>8</v>
      </c>
      <c r="E47">
        <v>531.58652291725832</v>
      </c>
      <c r="F47">
        <v>5.4210628454305007E-2</v>
      </c>
    </row>
    <row r="48" spans="1:6" x14ac:dyDescent="0.2">
      <c r="A48">
        <v>2030</v>
      </c>
      <c r="B48" t="s">
        <v>6</v>
      </c>
      <c r="C48" t="s">
        <v>7</v>
      </c>
      <c r="D48" t="s">
        <v>9</v>
      </c>
      <c r="E48">
        <v>402.49915501659319</v>
      </c>
      <c r="F48">
        <v>4.2448541678171421E-2</v>
      </c>
    </row>
    <row r="49" spans="1:6" x14ac:dyDescent="0.2">
      <c r="A49">
        <v>2030</v>
      </c>
      <c r="B49" t="s">
        <v>6</v>
      </c>
      <c r="C49" t="s">
        <v>7</v>
      </c>
      <c r="D49" t="s">
        <v>10</v>
      </c>
      <c r="E49">
        <v>402.50510023212581</v>
      </c>
      <c r="F49">
        <v>4.244912215277926E-2</v>
      </c>
    </row>
    <row r="50" spans="1:6" x14ac:dyDescent="0.2">
      <c r="A50">
        <v>2030</v>
      </c>
      <c r="B50" t="s">
        <v>11</v>
      </c>
      <c r="C50" t="s">
        <v>7</v>
      </c>
      <c r="D50" t="s">
        <v>8</v>
      </c>
      <c r="E50">
        <v>168780.83099320481</v>
      </c>
      <c r="F50">
        <v>0.70261209093217758</v>
      </c>
    </row>
    <row r="51" spans="1:6" x14ac:dyDescent="0.2">
      <c r="A51">
        <v>2030</v>
      </c>
      <c r="B51" t="s">
        <v>11</v>
      </c>
      <c r="C51" t="s">
        <v>7</v>
      </c>
      <c r="D51" t="s">
        <v>9</v>
      </c>
      <c r="E51">
        <v>182958.29058024829</v>
      </c>
      <c r="F51">
        <v>0.75011219412076391</v>
      </c>
    </row>
    <row r="52" spans="1:6" x14ac:dyDescent="0.2">
      <c r="A52">
        <v>2030</v>
      </c>
      <c r="B52" t="s">
        <v>11</v>
      </c>
      <c r="C52" t="s">
        <v>7</v>
      </c>
      <c r="D52" t="s">
        <v>10</v>
      </c>
      <c r="E52">
        <v>168807.8544858869</v>
      </c>
      <c r="F52">
        <v>0.70289246727647225</v>
      </c>
    </row>
    <row r="53" spans="1:6" x14ac:dyDescent="0.2">
      <c r="A53">
        <v>2030</v>
      </c>
      <c r="B53" t="s">
        <v>12</v>
      </c>
      <c r="C53" t="s">
        <v>7</v>
      </c>
      <c r="D53" t="s">
        <v>8</v>
      </c>
      <c r="E53">
        <v>10534.144262749211</v>
      </c>
      <c r="F53">
        <v>0.42123359865401111</v>
      </c>
    </row>
    <row r="54" spans="1:6" x14ac:dyDescent="0.2">
      <c r="A54">
        <v>2030</v>
      </c>
      <c r="B54" t="s">
        <v>12</v>
      </c>
      <c r="C54" t="s">
        <v>7</v>
      </c>
      <c r="D54" t="s">
        <v>9</v>
      </c>
      <c r="E54">
        <v>10534.144262749211</v>
      </c>
      <c r="F54">
        <v>0.4216752075124523</v>
      </c>
    </row>
    <row r="55" spans="1:6" x14ac:dyDescent="0.2">
      <c r="A55">
        <v>2030</v>
      </c>
      <c r="B55" t="s">
        <v>12</v>
      </c>
      <c r="C55" t="s">
        <v>7</v>
      </c>
      <c r="D55" t="s">
        <v>10</v>
      </c>
      <c r="E55">
        <v>10534.144262749211</v>
      </c>
      <c r="F55">
        <v>0.42123376237336058</v>
      </c>
    </row>
    <row r="56" spans="1:6" x14ac:dyDescent="0.2">
      <c r="A56">
        <v>2031</v>
      </c>
      <c r="B56" t="s">
        <v>6</v>
      </c>
      <c r="C56" t="s">
        <v>7</v>
      </c>
      <c r="D56" t="s">
        <v>8</v>
      </c>
      <c r="E56">
        <v>536.4027399834489</v>
      </c>
      <c r="F56">
        <v>5.4217403618527837E-2</v>
      </c>
    </row>
    <row r="57" spans="1:6" x14ac:dyDescent="0.2">
      <c r="A57">
        <v>2031</v>
      </c>
      <c r="B57" t="s">
        <v>6</v>
      </c>
      <c r="C57" t="s">
        <v>7</v>
      </c>
      <c r="D57" t="s">
        <v>9</v>
      </c>
      <c r="E57">
        <v>798.67882616503857</v>
      </c>
      <c r="F57">
        <v>0.1059967231728722</v>
      </c>
    </row>
    <row r="58" spans="1:6" x14ac:dyDescent="0.2">
      <c r="A58">
        <v>2031</v>
      </c>
      <c r="B58" t="s">
        <v>6</v>
      </c>
      <c r="C58" t="s">
        <v>7</v>
      </c>
      <c r="D58" t="s">
        <v>10</v>
      </c>
      <c r="E58">
        <v>744.45966698742643</v>
      </c>
      <c r="F58">
        <v>9.1089960650761567E-2</v>
      </c>
    </row>
    <row r="59" spans="1:6" x14ac:dyDescent="0.2">
      <c r="A59">
        <v>2031</v>
      </c>
      <c r="B59" t="s">
        <v>11</v>
      </c>
      <c r="C59" t="s">
        <v>7</v>
      </c>
      <c r="D59" t="s">
        <v>8</v>
      </c>
      <c r="E59">
        <v>181017.407512923</v>
      </c>
      <c r="F59">
        <v>0.72116645334013196</v>
      </c>
    </row>
    <row r="60" spans="1:6" x14ac:dyDescent="0.2">
      <c r="A60">
        <v>2031</v>
      </c>
      <c r="B60" t="s">
        <v>11</v>
      </c>
      <c r="C60" t="s">
        <v>7</v>
      </c>
      <c r="D60" t="s">
        <v>9</v>
      </c>
      <c r="E60">
        <v>222288.15186467959</v>
      </c>
      <c r="F60">
        <v>0.87288667248375773</v>
      </c>
    </row>
    <row r="61" spans="1:6" x14ac:dyDescent="0.2">
      <c r="A61">
        <v>2031</v>
      </c>
      <c r="B61" t="s">
        <v>11</v>
      </c>
      <c r="C61" t="s">
        <v>7</v>
      </c>
      <c r="D61" t="s">
        <v>10</v>
      </c>
      <c r="E61">
        <v>198658.80879916111</v>
      </c>
      <c r="F61">
        <v>0.78299543925267001</v>
      </c>
    </row>
    <row r="62" spans="1:6" x14ac:dyDescent="0.2">
      <c r="A62">
        <v>2031</v>
      </c>
      <c r="B62" t="s">
        <v>12</v>
      </c>
      <c r="C62" t="s">
        <v>7</v>
      </c>
      <c r="D62" t="s">
        <v>8</v>
      </c>
      <c r="E62">
        <v>10921.33626274921</v>
      </c>
      <c r="F62">
        <v>0.42834924086576681</v>
      </c>
    </row>
    <row r="63" spans="1:6" x14ac:dyDescent="0.2">
      <c r="A63">
        <v>2031</v>
      </c>
      <c r="B63" t="s">
        <v>12</v>
      </c>
      <c r="C63" t="s">
        <v>7</v>
      </c>
      <c r="D63" t="s">
        <v>9</v>
      </c>
      <c r="E63">
        <v>20754.318377632029</v>
      </c>
      <c r="F63">
        <v>0.69156191963900637</v>
      </c>
    </row>
    <row r="64" spans="1:6" x14ac:dyDescent="0.2">
      <c r="A64">
        <v>2031</v>
      </c>
      <c r="B64" t="s">
        <v>12</v>
      </c>
      <c r="C64" t="s">
        <v>7</v>
      </c>
      <c r="D64" t="s">
        <v>10</v>
      </c>
      <c r="E64">
        <v>18660.544718401299</v>
      </c>
      <c r="F64">
        <v>0.66596654809354083</v>
      </c>
    </row>
    <row r="65" spans="1:6" x14ac:dyDescent="0.2">
      <c r="A65">
        <v>2032</v>
      </c>
      <c r="B65" t="s">
        <v>6</v>
      </c>
      <c r="C65" t="s">
        <v>7</v>
      </c>
      <c r="D65" t="s">
        <v>8</v>
      </c>
      <c r="E65">
        <v>540.29152519836907</v>
      </c>
      <c r="F65">
        <v>5.4119090135970403E-2</v>
      </c>
    </row>
    <row r="66" spans="1:6" x14ac:dyDescent="0.2">
      <c r="A66">
        <v>2032</v>
      </c>
      <c r="B66" t="s">
        <v>6</v>
      </c>
      <c r="C66" t="s">
        <v>7</v>
      </c>
      <c r="D66" t="s">
        <v>9</v>
      </c>
      <c r="E66">
        <v>1401.0972534962771</v>
      </c>
      <c r="F66">
        <v>0.24298841314337191</v>
      </c>
    </row>
    <row r="67" spans="1:6" x14ac:dyDescent="0.2">
      <c r="A67">
        <v>2032</v>
      </c>
      <c r="B67" t="s">
        <v>6</v>
      </c>
      <c r="C67" t="s">
        <v>7</v>
      </c>
      <c r="D67" t="s">
        <v>10</v>
      </c>
      <c r="E67">
        <v>907.36318310006106</v>
      </c>
      <c r="F67">
        <v>0.12484820968296401</v>
      </c>
    </row>
    <row r="68" spans="1:6" x14ac:dyDescent="0.2">
      <c r="A68">
        <v>2032</v>
      </c>
      <c r="B68" t="s">
        <v>11</v>
      </c>
      <c r="C68" t="s">
        <v>7</v>
      </c>
      <c r="D68" t="s">
        <v>8</v>
      </c>
      <c r="E68">
        <v>189298.27216795331</v>
      </c>
      <c r="F68">
        <v>0.72283337269467729</v>
      </c>
    </row>
    <row r="69" spans="1:6" x14ac:dyDescent="0.2">
      <c r="A69">
        <v>2032</v>
      </c>
      <c r="B69" t="s">
        <v>11</v>
      </c>
      <c r="C69" t="s">
        <v>7</v>
      </c>
      <c r="D69" t="s">
        <v>9</v>
      </c>
      <c r="E69">
        <v>244916.6220796339</v>
      </c>
      <c r="F69">
        <v>0.91897929327951322</v>
      </c>
    </row>
    <row r="70" spans="1:6" x14ac:dyDescent="0.2">
      <c r="A70">
        <v>2032</v>
      </c>
      <c r="B70" t="s">
        <v>11</v>
      </c>
      <c r="C70" t="s">
        <v>7</v>
      </c>
      <c r="D70" t="s">
        <v>10</v>
      </c>
      <c r="E70">
        <v>216605.65658109169</v>
      </c>
      <c r="F70">
        <v>0.82013473823492133</v>
      </c>
    </row>
    <row r="71" spans="1:6" x14ac:dyDescent="0.2">
      <c r="A71">
        <v>2032</v>
      </c>
      <c r="B71" t="s">
        <v>12</v>
      </c>
      <c r="C71" t="s">
        <v>7</v>
      </c>
      <c r="D71" t="s">
        <v>8</v>
      </c>
      <c r="E71">
        <v>11308.528262749211</v>
      </c>
      <c r="F71">
        <v>0.4347991032657838</v>
      </c>
    </row>
    <row r="72" spans="1:6" x14ac:dyDescent="0.2">
      <c r="A72">
        <v>2032</v>
      </c>
      <c r="B72" t="s">
        <v>12</v>
      </c>
      <c r="C72" t="s">
        <v>7</v>
      </c>
      <c r="D72" t="s">
        <v>9</v>
      </c>
      <c r="E72">
        <v>30496.086667575179</v>
      </c>
      <c r="F72">
        <v>0.84239198928843328</v>
      </c>
    </row>
    <row r="73" spans="1:6" x14ac:dyDescent="0.2">
      <c r="A73">
        <v>2032</v>
      </c>
      <c r="B73" t="s">
        <v>12</v>
      </c>
      <c r="C73" t="s">
        <v>7</v>
      </c>
      <c r="D73" t="s">
        <v>10</v>
      </c>
      <c r="E73">
        <v>22524.36435335147</v>
      </c>
      <c r="F73">
        <v>0.73365628908090008</v>
      </c>
    </row>
    <row r="74" spans="1:6" x14ac:dyDescent="0.2">
      <c r="A74">
        <v>2033</v>
      </c>
      <c r="B74" t="s">
        <v>6</v>
      </c>
      <c r="C74" t="s">
        <v>7</v>
      </c>
      <c r="D74" t="s">
        <v>8</v>
      </c>
      <c r="E74">
        <v>544.19136179363318</v>
      </c>
      <c r="F74">
        <v>5.4011289547350072E-2</v>
      </c>
    </row>
    <row r="75" spans="1:6" x14ac:dyDescent="0.2">
      <c r="A75">
        <v>2033</v>
      </c>
      <c r="B75" t="s">
        <v>6</v>
      </c>
      <c r="C75" t="s">
        <v>7</v>
      </c>
      <c r="D75" t="s">
        <v>9</v>
      </c>
      <c r="E75">
        <v>1398.277369356</v>
      </c>
      <c r="F75">
        <v>0.25120827789531008</v>
      </c>
    </row>
    <row r="76" spans="1:6" x14ac:dyDescent="0.2">
      <c r="A76">
        <v>2033</v>
      </c>
      <c r="B76" t="s">
        <v>6</v>
      </c>
      <c r="C76" t="s">
        <v>7</v>
      </c>
      <c r="D76" t="s">
        <v>10</v>
      </c>
      <c r="E76">
        <v>1300.397382255331</v>
      </c>
      <c r="F76">
        <v>0.19767953649618639</v>
      </c>
    </row>
    <row r="77" spans="1:6" x14ac:dyDescent="0.2">
      <c r="A77">
        <v>2033</v>
      </c>
      <c r="B77" t="s">
        <v>11</v>
      </c>
      <c r="C77" t="s">
        <v>7</v>
      </c>
      <c r="D77" t="s">
        <v>8</v>
      </c>
      <c r="E77">
        <v>200937.60498167991</v>
      </c>
      <c r="F77">
        <v>0.73651185239880002</v>
      </c>
    </row>
    <row r="78" spans="1:6" x14ac:dyDescent="0.2">
      <c r="A78">
        <v>2033</v>
      </c>
      <c r="B78" t="s">
        <v>11</v>
      </c>
      <c r="C78" t="s">
        <v>7</v>
      </c>
      <c r="D78" t="s">
        <v>9</v>
      </c>
      <c r="E78">
        <v>258094.42167897959</v>
      </c>
      <c r="F78">
        <v>0.93710614687348037</v>
      </c>
    </row>
    <row r="79" spans="1:6" x14ac:dyDescent="0.2">
      <c r="A79">
        <v>2033</v>
      </c>
      <c r="B79" t="s">
        <v>11</v>
      </c>
      <c r="C79" t="s">
        <v>7</v>
      </c>
      <c r="D79" t="s">
        <v>10</v>
      </c>
      <c r="E79">
        <v>244481.96306700521</v>
      </c>
      <c r="F79">
        <v>0.88886506614519412</v>
      </c>
    </row>
    <row r="80" spans="1:6" x14ac:dyDescent="0.2">
      <c r="A80">
        <v>2033</v>
      </c>
      <c r="B80" t="s">
        <v>12</v>
      </c>
      <c r="C80" t="s">
        <v>7</v>
      </c>
      <c r="D80" t="s">
        <v>8</v>
      </c>
      <c r="E80">
        <v>11695.720262749221</v>
      </c>
      <c r="F80">
        <v>0.44052456257130129</v>
      </c>
    </row>
    <row r="81" spans="1:6" x14ac:dyDescent="0.2">
      <c r="A81">
        <v>2033</v>
      </c>
      <c r="B81" t="s">
        <v>12</v>
      </c>
      <c r="C81" t="s">
        <v>7</v>
      </c>
      <c r="D81" t="s">
        <v>9</v>
      </c>
      <c r="E81">
        <v>37460.215981376023</v>
      </c>
      <c r="F81">
        <v>0.89480062227226975</v>
      </c>
    </row>
    <row r="82" spans="1:6" x14ac:dyDescent="0.2">
      <c r="A82">
        <v>2033</v>
      </c>
      <c r="B82" t="s">
        <v>12</v>
      </c>
      <c r="C82" t="s">
        <v>7</v>
      </c>
      <c r="D82" t="s">
        <v>10</v>
      </c>
      <c r="E82">
        <v>27845.07377470953</v>
      </c>
      <c r="F82">
        <v>0.79025042452912675</v>
      </c>
    </row>
    <row r="83" spans="1:6" x14ac:dyDescent="0.2">
      <c r="A83">
        <v>2034</v>
      </c>
      <c r="B83" t="s">
        <v>6</v>
      </c>
      <c r="C83" t="s">
        <v>7</v>
      </c>
      <c r="D83" t="s">
        <v>8</v>
      </c>
      <c r="E83">
        <v>558.9714906182827</v>
      </c>
      <c r="F83">
        <v>5.4748088285767889E-2</v>
      </c>
    </row>
    <row r="84" spans="1:6" x14ac:dyDescent="0.2">
      <c r="A84">
        <v>2034</v>
      </c>
      <c r="B84" t="s">
        <v>6</v>
      </c>
      <c r="C84" t="s">
        <v>7</v>
      </c>
      <c r="D84" t="s">
        <v>9</v>
      </c>
      <c r="E84">
        <v>1448.272975206148</v>
      </c>
      <c r="F84">
        <v>0.28825293654902179</v>
      </c>
    </row>
    <row r="85" spans="1:6" x14ac:dyDescent="0.2">
      <c r="A85">
        <v>2034</v>
      </c>
      <c r="B85" t="s">
        <v>6</v>
      </c>
      <c r="C85" t="s">
        <v>7</v>
      </c>
      <c r="D85" t="s">
        <v>10</v>
      </c>
      <c r="E85">
        <v>1360.5542630631669</v>
      </c>
      <c r="F85">
        <v>0.22717824245548121</v>
      </c>
    </row>
    <row r="86" spans="1:6" x14ac:dyDescent="0.2">
      <c r="A86">
        <v>2034</v>
      </c>
      <c r="B86" t="s">
        <v>11</v>
      </c>
      <c r="C86" t="s">
        <v>7</v>
      </c>
      <c r="D86" t="s">
        <v>8</v>
      </c>
      <c r="E86">
        <v>214614.17895237671</v>
      </c>
      <c r="F86">
        <v>0.75779657142019097</v>
      </c>
    </row>
    <row r="87" spans="1:6" x14ac:dyDescent="0.2">
      <c r="A87">
        <v>2034</v>
      </c>
      <c r="B87" t="s">
        <v>11</v>
      </c>
      <c r="C87" t="s">
        <v>7</v>
      </c>
      <c r="D87" t="s">
        <v>9</v>
      </c>
      <c r="E87">
        <v>270642.00657632091</v>
      </c>
      <c r="F87">
        <v>0.94745719468496126</v>
      </c>
    </row>
    <row r="88" spans="1:6" x14ac:dyDescent="0.2">
      <c r="A88">
        <v>2034</v>
      </c>
      <c r="B88" t="s">
        <v>11</v>
      </c>
      <c r="C88" t="s">
        <v>7</v>
      </c>
      <c r="D88" t="s">
        <v>10</v>
      </c>
      <c r="E88">
        <v>260094.94247737649</v>
      </c>
      <c r="F88">
        <v>0.9104786569687402</v>
      </c>
    </row>
    <row r="89" spans="1:6" x14ac:dyDescent="0.2">
      <c r="A89">
        <v>2034</v>
      </c>
      <c r="B89" t="s">
        <v>12</v>
      </c>
      <c r="C89" t="s">
        <v>7</v>
      </c>
      <c r="D89" t="s">
        <v>8</v>
      </c>
      <c r="E89">
        <v>12082.912262749211</v>
      </c>
      <c r="F89">
        <v>0.44563202198552587</v>
      </c>
    </row>
    <row r="90" spans="1:6" x14ac:dyDescent="0.2">
      <c r="A90">
        <v>2034</v>
      </c>
      <c r="B90" t="s">
        <v>12</v>
      </c>
      <c r="C90" t="s">
        <v>7</v>
      </c>
      <c r="D90" t="s">
        <v>9</v>
      </c>
      <c r="E90">
        <v>44296.102338781136</v>
      </c>
      <c r="F90">
        <v>0.93641915517087926</v>
      </c>
    </row>
    <row r="91" spans="1:6" x14ac:dyDescent="0.2">
      <c r="A91">
        <v>2034</v>
      </c>
      <c r="B91" t="s">
        <v>12</v>
      </c>
      <c r="C91" t="s">
        <v>7</v>
      </c>
      <c r="D91" t="s">
        <v>10</v>
      </c>
      <c r="E91">
        <v>31724.935041329911</v>
      </c>
      <c r="F91">
        <v>0.85541767725513562</v>
      </c>
    </row>
    <row r="92" spans="1:6" x14ac:dyDescent="0.2">
      <c r="A92">
        <v>2035</v>
      </c>
      <c r="B92" t="s">
        <v>6</v>
      </c>
      <c r="C92" t="s">
        <v>7</v>
      </c>
      <c r="D92" t="s">
        <v>8</v>
      </c>
      <c r="E92">
        <v>530.40780520971725</v>
      </c>
      <c r="F92">
        <v>5.1693100905502838E-2</v>
      </c>
    </row>
    <row r="93" spans="1:6" x14ac:dyDescent="0.2">
      <c r="A93">
        <v>2035</v>
      </c>
      <c r="B93" t="s">
        <v>6</v>
      </c>
      <c r="C93" t="s">
        <v>7</v>
      </c>
      <c r="D93" t="s">
        <v>9</v>
      </c>
      <c r="E93">
        <v>1483.120494667352</v>
      </c>
      <c r="F93">
        <v>0.30820390781547902</v>
      </c>
    </row>
    <row r="94" spans="1:6" x14ac:dyDescent="0.2">
      <c r="A94">
        <v>2035</v>
      </c>
      <c r="B94" t="s">
        <v>6</v>
      </c>
      <c r="C94" t="s">
        <v>7</v>
      </c>
      <c r="D94" t="s">
        <v>10</v>
      </c>
      <c r="E94">
        <v>1354.171457982445</v>
      </c>
      <c r="F94">
        <v>0.2244799527164513</v>
      </c>
    </row>
    <row r="95" spans="1:6" x14ac:dyDescent="0.2">
      <c r="A95">
        <v>2035</v>
      </c>
      <c r="B95" t="s">
        <v>11</v>
      </c>
      <c r="C95" t="s">
        <v>7</v>
      </c>
      <c r="D95" t="s">
        <v>8</v>
      </c>
      <c r="E95">
        <v>228723.01961958109</v>
      </c>
      <c r="F95">
        <v>0.78873428169834114</v>
      </c>
    </row>
    <row r="96" spans="1:6" x14ac:dyDescent="0.2">
      <c r="A96">
        <v>2035</v>
      </c>
      <c r="B96" t="s">
        <v>11</v>
      </c>
      <c r="C96" t="s">
        <v>7</v>
      </c>
      <c r="D96" t="s">
        <v>9</v>
      </c>
      <c r="E96">
        <v>279330.73106574849</v>
      </c>
      <c r="F96">
        <v>0.95961885099431443</v>
      </c>
    </row>
    <row r="97" spans="1:6" x14ac:dyDescent="0.2">
      <c r="A97">
        <v>2035</v>
      </c>
      <c r="B97" t="s">
        <v>11</v>
      </c>
      <c r="C97" t="s">
        <v>7</v>
      </c>
      <c r="D97" t="s">
        <v>10</v>
      </c>
      <c r="E97">
        <v>271733.9012252753</v>
      </c>
      <c r="F97">
        <v>0.93406096076633593</v>
      </c>
    </row>
    <row r="98" spans="1:6" x14ac:dyDescent="0.2">
      <c r="A98">
        <v>2035</v>
      </c>
      <c r="B98" t="s">
        <v>12</v>
      </c>
      <c r="C98" t="s">
        <v>7</v>
      </c>
      <c r="D98" t="s">
        <v>8</v>
      </c>
      <c r="E98">
        <v>12282.19951210921</v>
      </c>
      <c r="F98">
        <v>0.44792164896603942</v>
      </c>
    </row>
    <row r="99" spans="1:6" x14ac:dyDescent="0.2">
      <c r="A99">
        <v>2035</v>
      </c>
      <c r="B99" t="s">
        <v>12</v>
      </c>
      <c r="C99" t="s">
        <v>7</v>
      </c>
      <c r="D99" t="s">
        <v>9</v>
      </c>
      <c r="E99">
        <v>44725.059200393662</v>
      </c>
      <c r="F99">
        <v>0.96892364318418345</v>
      </c>
    </row>
    <row r="100" spans="1:6" x14ac:dyDescent="0.2">
      <c r="A100">
        <v>2035</v>
      </c>
      <c r="B100" t="s">
        <v>12</v>
      </c>
      <c r="C100" t="s">
        <v>7</v>
      </c>
      <c r="D100" t="s">
        <v>10</v>
      </c>
      <c r="E100">
        <v>40157.661367189947</v>
      </c>
      <c r="F100">
        <v>0.93444596748393605</v>
      </c>
    </row>
    <row r="101" spans="1:6" x14ac:dyDescent="0.2">
      <c r="A101">
        <v>2036</v>
      </c>
      <c r="B101" t="s">
        <v>6</v>
      </c>
      <c r="C101" t="s">
        <v>7</v>
      </c>
      <c r="D101" t="s">
        <v>8</v>
      </c>
      <c r="E101">
        <v>573.90231504245878</v>
      </c>
      <c r="F101">
        <v>5.5299883465338158E-2</v>
      </c>
    </row>
    <row r="102" spans="1:6" x14ac:dyDescent="0.2">
      <c r="A102">
        <v>2036</v>
      </c>
      <c r="B102" t="s">
        <v>6</v>
      </c>
      <c r="C102" t="s">
        <v>7</v>
      </c>
      <c r="D102" t="s">
        <v>9</v>
      </c>
      <c r="E102">
        <v>1804.859009723298</v>
      </c>
      <c r="F102">
        <v>0.37706816414073602</v>
      </c>
    </row>
    <row r="103" spans="1:6" x14ac:dyDescent="0.2">
      <c r="A103">
        <v>2036</v>
      </c>
      <c r="B103" t="s">
        <v>6</v>
      </c>
      <c r="C103" t="s">
        <v>7</v>
      </c>
      <c r="D103" t="s">
        <v>10</v>
      </c>
      <c r="E103">
        <v>1513.2724467363259</v>
      </c>
      <c r="F103">
        <v>0.245801539104782</v>
      </c>
    </row>
    <row r="104" spans="1:6" x14ac:dyDescent="0.2">
      <c r="A104">
        <v>2036</v>
      </c>
      <c r="B104" t="s">
        <v>11</v>
      </c>
      <c r="C104" t="s">
        <v>7</v>
      </c>
      <c r="D104" t="s">
        <v>8</v>
      </c>
      <c r="E104">
        <v>240288.09419900319</v>
      </c>
      <c r="F104">
        <v>0.80353165687146288</v>
      </c>
    </row>
    <row r="105" spans="1:6" x14ac:dyDescent="0.2">
      <c r="A105">
        <v>2036</v>
      </c>
      <c r="B105" t="s">
        <v>11</v>
      </c>
      <c r="C105" t="s">
        <v>7</v>
      </c>
      <c r="D105" t="s">
        <v>9</v>
      </c>
      <c r="E105">
        <v>288689.6209990994</v>
      </c>
      <c r="F105">
        <v>0.96442110283590166</v>
      </c>
    </row>
    <row r="106" spans="1:6" x14ac:dyDescent="0.2">
      <c r="A106">
        <v>2036</v>
      </c>
      <c r="B106" t="s">
        <v>11</v>
      </c>
      <c r="C106" t="s">
        <v>7</v>
      </c>
      <c r="D106" t="s">
        <v>10</v>
      </c>
      <c r="E106">
        <v>283968.53222355328</v>
      </c>
      <c r="F106">
        <v>0.94844186270230268</v>
      </c>
    </row>
    <row r="107" spans="1:6" x14ac:dyDescent="0.2">
      <c r="A107">
        <v>2036</v>
      </c>
      <c r="B107" t="s">
        <v>12</v>
      </c>
      <c r="C107" t="s">
        <v>7</v>
      </c>
      <c r="D107" t="s">
        <v>8</v>
      </c>
      <c r="E107">
        <v>12377.993232859209</v>
      </c>
      <c r="F107">
        <v>0.44154049494264141</v>
      </c>
    </row>
    <row r="108" spans="1:6" x14ac:dyDescent="0.2">
      <c r="A108">
        <v>2036</v>
      </c>
      <c r="B108" t="s">
        <v>12</v>
      </c>
      <c r="C108" t="s">
        <v>7</v>
      </c>
      <c r="D108" t="s">
        <v>9</v>
      </c>
      <c r="E108">
        <v>44652.971918145959</v>
      </c>
      <c r="F108">
        <v>0.96994078785903348</v>
      </c>
    </row>
    <row r="109" spans="1:6" x14ac:dyDescent="0.2">
      <c r="A109">
        <v>2036</v>
      </c>
      <c r="B109" t="s">
        <v>12</v>
      </c>
      <c r="C109" t="s">
        <v>7</v>
      </c>
      <c r="D109" t="s">
        <v>10</v>
      </c>
      <c r="E109">
        <v>41462.507808447393</v>
      </c>
      <c r="F109">
        <v>0.94735996259171373</v>
      </c>
    </row>
    <row r="110" spans="1:6" x14ac:dyDescent="0.2">
      <c r="A110">
        <v>2037</v>
      </c>
      <c r="B110" t="s">
        <v>6</v>
      </c>
      <c r="C110" t="s">
        <v>7</v>
      </c>
      <c r="D110" t="s">
        <v>8</v>
      </c>
      <c r="E110">
        <v>543.90865344906138</v>
      </c>
      <c r="F110">
        <v>5.204798410728307E-2</v>
      </c>
    </row>
    <row r="111" spans="1:6" x14ac:dyDescent="0.2">
      <c r="A111">
        <v>2037</v>
      </c>
      <c r="B111" t="s">
        <v>6</v>
      </c>
      <c r="C111" t="s">
        <v>7</v>
      </c>
      <c r="D111" t="s">
        <v>9</v>
      </c>
      <c r="E111">
        <v>1875.07939774441</v>
      </c>
      <c r="F111">
        <v>0.38171502292226972</v>
      </c>
    </row>
    <row r="112" spans="1:6" x14ac:dyDescent="0.2">
      <c r="A112">
        <v>2037</v>
      </c>
      <c r="B112" t="s">
        <v>6</v>
      </c>
      <c r="C112" t="s">
        <v>7</v>
      </c>
      <c r="D112" t="s">
        <v>10</v>
      </c>
      <c r="E112">
        <v>1518.7347206384809</v>
      </c>
      <c r="F112">
        <v>0.24345008526145151</v>
      </c>
    </row>
    <row r="113" spans="1:6" x14ac:dyDescent="0.2">
      <c r="A113">
        <v>2037</v>
      </c>
      <c r="B113" t="s">
        <v>11</v>
      </c>
      <c r="C113" t="s">
        <v>7</v>
      </c>
      <c r="D113" t="s">
        <v>8</v>
      </c>
      <c r="E113">
        <v>256217.91676887899</v>
      </c>
      <c r="F113">
        <v>0.82824367920138398</v>
      </c>
    </row>
    <row r="114" spans="1:6" x14ac:dyDescent="0.2">
      <c r="A114">
        <v>2037</v>
      </c>
      <c r="B114" t="s">
        <v>11</v>
      </c>
      <c r="C114" t="s">
        <v>7</v>
      </c>
      <c r="D114" t="s">
        <v>9</v>
      </c>
      <c r="E114">
        <v>298546.23558999202</v>
      </c>
      <c r="F114">
        <v>0.9656081644175013</v>
      </c>
    </row>
    <row r="115" spans="1:6" x14ac:dyDescent="0.2">
      <c r="A115">
        <v>2037</v>
      </c>
      <c r="B115" t="s">
        <v>11</v>
      </c>
      <c r="C115" t="s">
        <v>7</v>
      </c>
      <c r="D115" t="s">
        <v>10</v>
      </c>
      <c r="E115">
        <v>296591.88785816211</v>
      </c>
      <c r="F115">
        <v>0.95774453651956415</v>
      </c>
    </row>
    <row r="116" spans="1:6" x14ac:dyDescent="0.2">
      <c r="A116">
        <v>2037</v>
      </c>
      <c r="B116" t="s">
        <v>12</v>
      </c>
      <c r="C116" t="s">
        <v>7</v>
      </c>
      <c r="D116" t="s">
        <v>8</v>
      </c>
      <c r="E116">
        <v>12475.223859420459</v>
      </c>
      <c r="F116">
        <v>0.43503309658710648</v>
      </c>
    </row>
    <row r="117" spans="1:6" x14ac:dyDescent="0.2">
      <c r="A117">
        <v>2037</v>
      </c>
      <c r="B117" t="s">
        <v>12</v>
      </c>
      <c r="C117" t="s">
        <v>7</v>
      </c>
      <c r="D117" t="s">
        <v>9</v>
      </c>
      <c r="E117">
        <v>44874.254355780657</v>
      </c>
      <c r="F117">
        <v>0.96658438038390748</v>
      </c>
    </row>
    <row r="118" spans="1:6" x14ac:dyDescent="0.2">
      <c r="A118">
        <v>2037</v>
      </c>
      <c r="B118" t="s">
        <v>12</v>
      </c>
      <c r="C118" t="s">
        <v>7</v>
      </c>
      <c r="D118" t="s">
        <v>10</v>
      </c>
      <c r="E118">
        <v>43666.873856654573</v>
      </c>
      <c r="F118">
        <v>0.96123287362608467</v>
      </c>
    </row>
    <row r="119" spans="1:6" x14ac:dyDescent="0.2">
      <c r="A119">
        <v>2038</v>
      </c>
      <c r="B119" t="s">
        <v>6</v>
      </c>
      <c r="C119" t="s">
        <v>7</v>
      </c>
      <c r="D119" t="s">
        <v>8</v>
      </c>
      <c r="E119">
        <v>547.88113551739252</v>
      </c>
      <c r="F119">
        <v>5.1879042371796691E-2</v>
      </c>
    </row>
    <row r="120" spans="1:6" x14ac:dyDescent="0.2">
      <c r="A120">
        <v>2038</v>
      </c>
      <c r="B120" t="s">
        <v>6</v>
      </c>
      <c r="C120" t="s">
        <v>7</v>
      </c>
      <c r="D120" t="s">
        <v>9</v>
      </c>
      <c r="E120">
        <v>1875.176242601596</v>
      </c>
      <c r="F120">
        <v>0.37721431823482188</v>
      </c>
    </row>
    <row r="121" spans="1:6" x14ac:dyDescent="0.2">
      <c r="A121">
        <v>2038</v>
      </c>
      <c r="B121" t="s">
        <v>6</v>
      </c>
      <c r="C121" t="s">
        <v>7</v>
      </c>
      <c r="D121" t="s">
        <v>10</v>
      </c>
      <c r="E121">
        <v>1524.564766401309</v>
      </c>
      <c r="F121">
        <v>0.24150502012162139</v>
      </c>
    </row>
    <row r="122" spans="1:6" x14ac:dyDescent="0.2">
      <c r="A122">
        <v>2038</v>
      </c>
      <c r="B122" t="s">
        <v>11</v>
      </c>
      <c r="C122" t="s">
        <v>7</v>
      </c>
      <c r="D122" t="s">
        <v>8</v>
      </c>
      <c r="E122">
        <v>270029.62357777328</v>
      </c>
      <c r="F122">
        <v>0.84544928723770152</v>
      </c>
    </row>
    <row r="123" spans="1:6" x14ac:dyDescent="0.2">
      <c r="A123">
        <v>2038</v>
      </c>
      <c r="B123" t="s">
        <v>11</v>
      </c>
      <c r="C123" t="s">
        <v>7</v>
      </c>
      <c r="D123" t="s">
        <v>9</v>
      </c>
      <c r="E123">
        <v>308398.28687942709</v>
      </c>
      <c r="F123">
        <v>0.96953566231791066</v>
      </c>
    </row>
    <row r="124" spans="1:6" x14ac:dyDescent="0.2">
      <c r="A124">
        <v>2038</v>
      </c>
      <c r="B124" t="s">
        <v>11</v>
      </c>
      <c r="C124" t="s">
        <v>7</v>
      </c>
      <c r="D124" t="s">
        <v>10</v>
      </c>
      <c r="E124">
        <v>308462.22191977763</v>
      </c>
      <c r="F124">
        <v>0.96892714705883809</v>
      </c>
    </row>
    <row r="125" spans="1:6" x14ac:dyDescent="0.2">
      <c r="A125">
        <v>2038</v>
      </c>
      <c r="B125" t="s">
        <v>12</v>
      </c>
      <c r="C125" t="s">
        <v>7</v>
      </c>
      <c r="D125" t="s">
        <v>8</v>
      </c>
      <c r="E125">
        <v>13619.774201196669</v>
      </c>
      <c r="F125">
        <v>0.46203458100436079</v>
      </c>
    </row>
    <row r="126" spans="1:6" x14ac:dyDescent="0.2">
      <c r="A126">
        <v>2038</v>
      </c>
      <c r="B126" t="s">
        <v>12</v>
      </c>
      <c r="C126" t="s">
        <v>7</v>
      </c>
      <c r="D126" t="s">
        <v>9</v>
      </c>
      <c r="E126">
        <v>45159.556618143513</v>
      </c>
      <c r="F126">
        <v>0.96217564301224046</v>
      </c>
    </row>
    <row r="127" spans="1:6" x14ac:dyDescent="0.2">
      <c r="A127">
        <v>2038</v>
      </c>
      <c r="B127" t="s">
        <v>12</v>
      </c>
      <c r="C127" t="s">
        <v>7</v>
      </c>
      <c r="D127" t="s">
        <v>10</v>
      </c>
      <c r="E127">
        <v>43958.718549466903</v>
      </c>
      <c r="F127">
        <v>0.95682897096203778</v>
      </c>
    </row>
    <row r="128" spans="1:6" x14ac:dyDescent="0.2">
      <c r="A128">
        <v>2039</v>
      </c>
      <c r="B128" t="s">
        <v>6</v>
      </c>
      <c r="C128" t="s">
        <v>7</v>
      </c>
      <c r="D128" t="s">
        <v>8</v>
      </c>
      <c r="E128">
        <v>551.7999108074788</v>
      </c>
      <c r="F128">
        <v>5.169071312474021E-2</v>
      </c>
    </row>
    <row r="129" spans="1:6" x14ac:dyDescent="0.2">
      <c r="A129">
        <v>2039</v>
      </c>
      <c r="B129" t="s">
        <v>6</v>
      </c>
      <c r="C129" t="s">
        <v>7</v>
      </c>
      <c r="D129" t="s">
        <v>9</v>
      </c>
      <c r="E129">
        <v>1901.5563466940321</v>
      </c>
      <c r="F129">
        <v>0.37320057571621051</v>
      </c>
    </row>
    <row r="130" spans="1:6" x14ac:dyDescent="0.2">
      <c r="A130">
        <v>2039</v>
      </c>
      <c r="B130" t="s">
        <v>6</v>
      </c>
      <c r="C130" t="s">
        <v>7</v>
      </c>
      <c r="D130" t="s">
        <v>10</v>
      </c>
      <c r="E130">
        <v>1531.74714043929</v>
      </c>
      <c r="F130">
        <v>0.23905387647202739</v>
      </c>
    </row>
    <row r="131" spans="1:6" x14ac:dyDescent="0.2">
      <c r="A131">
        <v>2039</v>
      </c>
      <c r="B131" t="s">
        <v>11</v>
      </c>
      <c r="C131" t="s">
        <v>7</v>
      </c>
      <c r="D131" t="s">
        <v>8</v>
      </c>
      <c r="E131">
        <v>276249.25263268308</v>
      </c>
      <c r="F131">
        <v>0.8474313060108366</v>
      </c>
    </row>
    <row r="132" spans="1:6" x14ac:dyDescent="0.2">
      <c r="A132">
        <v>2039</v>
      </c>
      <c r="B132" t="s">
        <v>11</v>
      </c>
      <c r="C132" t="s">
        <v>7</v>
      </c>
      <c r="D132" t="s">
        <v>9</v>
      </c>
      <c r="E132">
        <v>314199.78911032109</v>
      </c>
      <c r="F132">
        <v>0.9691205058375304</v>
      </c>
    </row>
    <row r="133" spans="1:6" x14ac:dyDescent="0.2">
      <c r="A133">
        <v>2039</v>
      </c>
      <c r="B133" t="s">
        <v>11</v>
      </c>
      <c r="C133" t="s">
        <v>7</v>
      </c>
      <c r="D133" t="s">
        <v>10</v>
      </c>
      <c r="E133">
        <v>315276.56942969101</v>
      </c>
      <c r="F133">
        <v>0.96989742688589808</v>
      </c>
    </row>
    <row r="134" spans="1:6" x14ac:dyDescent="0.2">
      <c r="A134">
        <v>2039</v>
      </c>
      <c r="B134" t="s">
        <v>12</v>
      </c>
      <c r="C134" t="s">
        <v>7</v>
      </c>
      <c r="D134" t="s">
        <v>8</v>
      </c>
      <c r="E134">
        <v>13719.943623445741</v>
      </c>
      <c r="F134">
        <v>0.45445906495358862</v>
      </c>
    </row>
    <row r="135" spans="1:6" x14ac:dyDescent="0.2">
      <c r="A135">
        <v>2039</v>
      </c>
      <c r="B135" t="s">
        <v>12</v>
      </c>
      <c r="C135" t="s">
        <v>7</v>
      </c>
      <c r="D135" t="s">
        <v>9</v>
      </c>
      <c r="E135">
        <v>45389.193651580412</v>
      </c>
      <c r="F135">
        <v>0.95812564018066482</v>
      </c>
    </row>
    <row r="136" spans="1:6" x14ac:dyDescent="0.2">
      <c r="A136">
        <v>2039</v>
      </c>
      <c r="B136" t="s">
        <v>12</v>
      </c>
      <c r="C136" t="s">
        <v>7</v>
      </c>
      <c r="D136" t="s">
        <v>10</v>
      </c>
      <c r="E136">
        <v>44189.595991269991</v>
      </c>
      <c r="F136">
        <v>0.95251729172877531</v>
      </c>
    </row>
    <row r="137" spans="1:6" x14ac:dyDescent="0.2">
      <c r="A137">
        <v>2040</v>
      </c>
      <c r="B137" t="s">
        <v>6</v>
      </c>
      <c r="C137" t="s">
        <v>7</v>
      </c>
      <c r="D137" t="s">
        <v>8</v>
      </c>
      <c r="E137">
        <v>555.67018841940217</v>
      </c>
      <c r="F137">
        <v>5.1490991387974257E-2</v>
      </c>
    </row>
    <row r="138" spans="1:6" x14ac:dyDescent="0.2">
      <c r="A138">
        <v>2040</v>
      </c>
      <c r="B138" t="s">
        <v>6</v>
      </c>
      <c r="C138" t="s">
        <v>7</v>
      </c>
      <c r="D138" t="s">
        <v>9</v>
      </c>
      <c r="E138">
        <v>1909.6365624158409</v>
      </c>
      <c r="F138">
        <v>0.37134064761351232</v>
      </c>
    </row>
    <row r="139" spans="1:6" x14ac:dyDescent="0.2">
      <c r="A139">
        <v>2040</v>
      </c>
      <c r="B139" t="s">
        <v>6</v>
      </c>
      <c r="C139" t="s">
        <v>7</v>
      </c>
      <c r="D139" t="s">
        <v>10</v>
      </c>
      <c r="E139">
        <v>1537.4666351503561</v>
      </c>
      <c r="F139">
        <v>0.23645439160800641</v>
      </c>
    </row>
    <row r="140" spans="1:6" x14ac:dyDescent="0.2">
      <c r="A140">
        <v>2040</v>
      </c>
      <c r="B140" t="s">
        <v>11</v>
      </c>
      <c r="C140" t="s">
        <v>7</v>
      </c>
      <c r="D140" t="s">
        <v>8</v>
      </c>
      <c r="E140">
        <v>289463.4978156056</v>
      </c>
      <c r="F140">
        <v>0.86295045023907258</v>
      </c>
    </row>
    <row r="141" spans="1:6" x14ac:dyDescent="0.2">
      <c r="A141">
        <v>2040</v>
      </c>
      <c r="B141" t="s">
        <v>11</v>
      </c>
      <c r="C141" t="s">
        <v>7</v>
      </c>
      <c r="D141" t="s">
        <v>9</v>
      </c>
      <c r="E141">
        <v>323617.02639390022</v>
      </c>
      <c r="F141">
        <v>0.96934096293202376</v>
      </c>
    </row>
    <row r="142" spans="1:6" x14ac:dyDescent="0.2">
      <c r="A142">
        <v>2040</v>
      </c>
      <c r="B142" t="s">
        <v>11</v>
      </c>
      <c r="C142" t="s">
        <v>7</v>
      </c>
      <c r="D142" t="s">
        <v>10</v>
      </c>
      <c r="E142">
        <v>324490.1139001975</v>
      </c>
      <c r="F142">
        <v>0.97263825978273966</v>
      </c>
    </row>
    <row r="143" spans="1:6" x14ac:dyDescent="0.2">
      <c r="A143">
        <v>2040</v>
      </c>
      <c r="B143" t="s">
        <v>12</v>
      </c>
      <c r="C143" t="s">
        <v>7</v>
      </c>
      <c r="D143" t="s">
        <v>8</v>
      </c>
      <c r="E143">
        <v>14728.148041428531</v>
      </c>
      <c r="F143">
        <v>0.47536793613573891</v>
      </c>
    </row>
    <row r="144" spans="1:6" x14ac:dyDescent="0.2">
      <c r="A144">
        <v>2040</v>
      </c>
      <c r="B144" t="s">
        <v>12</v>
      </c>
      <c r="C144" t="s">
        <v>7</v>
      </c>
      <c r="D144" t="s">
        <v>9</v>
      </c>
      <c r="E144">
        <v>45347.177774147982</v>
      </c>
      <c r="F144">
        <v>0.9583889586575598</v>
      </c>
    </row>
    <row r="145" spans="1:6" x14ac:dyDescent="0.2">
      <c r="A145">
        <v>2040</v>
      </c>
      <c r="B145" t="s">
        <v>12</v>
      </c>
      <c r="C145" t="s">
        <v>7</v>
      </c>
      <c r="D145" t="s">
        <v>10</v>
      </c>
      <c r="E145">
        <v>44415.171808891268</v>
      </c>
      <c r="F145">
        <v>0.94741669022982022</v>
      </c>
    </row>
    <row r="146" spans="1:6" x14ac:dyDescent="0.2">
      <c r="A146">
        <v>2041</v>
      </c>
      <c r="B146" t="s">
        <v>6</v>
      </c>
      <c r="C146" t="s">
        <v>7</v>
      </c>
      <c r="D146" t="s">
        <v>8</v>
      </c>
      <c r="E146">
        <v>539.51856116931651</v>
      </c>
      <c r="F146">
        <v>4.9558365332190629E-2</v>
      </c>
    </row>
    <row r="147" spans="1:6" x14ac:dyDescent="0.2">
      <c r="A147">
        <v>2041</v>
      </c>
      <c r="B147" t="s">
        <v>6</v>
      </c>
      <c r="C147" t="s">
        <v>7</v>
      </c>
      <c r="D147" t="s">
        <v>9</v>
      </c>
      <c r="E147">
        <v>1930.83298888839</v>
      </c>
      <c r="F147">
        <v>0.36748001701399369</v>
      </c>
    </row>
    <row r="148" spans="1:6" x14ac:dyDescent="0.2">
      <c r="A148">
        <v>2041</v>
      </c>
      <c r="B148" t="s">
        <v>6</v>
      </c>
      <c r="C148" t="s">
        <v>7</v>
      </c>
      <c r="D148" t="s">
        <v>10</v>
      </c>
      <c r="E148">
        <v>1545.9753510725241</v>
      </c>
      <c r="F148">
        <v>0.23393154175125619</v>
      </c>
    </row>
    <row r="149" spans="1:6" x14ac:dyDescent="0.2">
      <c r="A149">
        <v>2041</v>
      </c>
      <c r="B149" t="s">
        <v>11</v>
      </c>
      <c r="C149" t="s">
        <v>7</v>
      </c>
      <c r="D149" t="s">
        <v>8</v>
      </c>
      <c r="E149">
        <v>304037.61644244089</v>
      </c>
      <c r="F149">
        <v>0.88535093009121557</v>
      </c>
    </row>
    <row r="150" spans="1:6" x14ac:dyDescent="0.2">
      <c r="A150">
        <v>2041</v>
      </c>
      <c r="B150" t="s">
        <v>11</v>
      </c>
      <c r="C150" t="s">
        <v>7</v>
      </c>
      <c r="D150" t="s">
        <v>9</v>
      </c>
      <c r="E150">
        <v>332939.06474967621</v>
      </c>
      <c r="F150">
        <v>0.97410133647850816</v>
      </c>
    </row>
    <row r="151" spans="1:6" x14ac:dyDescent="0.2">
      <c r="A151">
        <v>2041</v>
      </c>
      <c r="B151" t="s">
        <v>11</v>
      </c>
      <c r="C151" t="s">
        <v>7</v>
      </c>
      <c r="D151" t="s">
        <v>10</v>
      </c>
      <c r="E151">
        <v>333758.5110778705</v>
      </c>
      <c r="F151">
        <v>0.97545529274731801</v>
      </c>
    </row>
    <row r="152" spans="1:6" x14ac:dyDescent="0.2">
      <c r="A152">
        <v>2041</v>
      </c>
      <c r="B152" t="s">
        <v>12</v>
      </c>
      <c r="C152" t="s">
        <v>7</v>
      </c>
      <c r="D152" t="s">
        <v>8</v>
      </c>
      <c r="E152">
        <v>14831.345084465071</v>
      </c>
      <c r="F152">
        <v>0.47238419388199709</v>
      </c>
    </row>
    <row r="153" spans="1:6" x14ac:dyDescent="0.2">
      <c r="A153">
        <v>2041</v>
      </c>
      <c r="B153" t="s">
        <v>12</v>
      </c>
      <c r="C153" t="s">
        <v>7</v>
      </c>
      <c r="D153" t="s">
        <v>9</v>
      </c>
      <c r="E153">
        <v>45499.930474010951</v>
      </c>
      <c r="F153">
        <v>0.95557754673497808</v>
      </c>
    </row>
    <row r="154" spans="1:6" x14ac:dyDescent="0.2">
      <c r="A154">
        <v>2041</v>
      </c>
      <c r="B154" t="s">
        <v>12</v>
      </c>
      <c r="C154" t="s">
        <v>7</v>
      </c>
      <c r="D154" t="s">
        <v>10</v>
      </c>
      <c r="E154">
        <v>44323.021259975889</v>
      </c>
      <c r="F154">
        <v>0.95117892013383998</v>
      </c>
    </row>
    <row r="155" spans="1:6" x14ac:dyDescent="0.2">
      <c r="A155">
        <v>2042</v>
      </c>
      <c r="B155" t="s">
        <v>6</v>
      </c>
      <c r="C155" t="s">
        <v>7</v>
      </c>
      <c r="D155" t="s">
        <v>8</v>
      </c>
      <c r="E155">
        <v>542.82125970968218</v>
      </c>
      <c r="F155">
        <v>4.9316715438249288E-2</v>
      </c>
    </row>
    <row r="156" spans="1:6" x14ac:dyDescent="0.2">
      <c r="A156">
        <v>2042</v>
      </c>
      <c r="B156" t="s">
        <v>6</v>
      </c>
      <c r="C156" t="s">
        <v>7</v>
      </c>
      <c r="D156" t="s">
        <v>9</v>
      </c>
      <c r="E156">
        <v>1957.2150634636159</v>
      </c>
      <c r="F156">
        <v>0.36507883949480191</v>
      </c>
    </row>
    <row r="157" spans="1:6" x14ac:dyDescent="0.2">
      <c r="A157">
        <v>2042</v>
      </c>
      <c r="B157" t="s">
        <v>6</v>
      </c>
      <c r="C157" t="s">
        <v>7</v>
      </c>
      <c r="D157" t="s">
        <v>10</v>
      </c>
      <c r="E157">
        <v>1552.8205721257809</v>
      </c>
      <c r="F157">
        <v>0.23131754236759089</v>
      </c>
    </row>
    <row r="158" spans="1:6" x14ac:dyDescent="0.2">
      <c r="A158">
        <v>2042</v>
      </c>
      <c r="B158" t="s">
        <v>11</v>
      </c>
      <c r="C158" t="s">
        <v>7</v>
      </c>
      <c r="D158" t="s">
        <v>8</v>
      </c>
      <c r="E158">
        <v>311281.42726423062</v>
      </c>
      <c r="F158">
        <v>0.88315820616996121</v>
      </c>
    </row>
    <row r="159" spans="1:6" x14ac:dyDescent="0.2">
      <c r="A159">
        <v>2042</v>
      </c>
      <c r="B159" t="s">
        <v>11</v>
      </c>
      <c r="C159" t="s">
        <v>7</v>
      </c>
      <c r="D159" t="s">
        <v>9</v>
      </c>
      <c r="E159">
        <v>342399.37336746888</v>
      </c>
      <c r="F159">
        <v>0.97319853535849776</v>
      </c>
    </row>
    <row r="160" spans="1:6" x14ac:dyDescent="0.2">
      <c r="A160">
        <v>2042</v>
      </c>
      <c r="B160" t="s">
        <v>11</v>
      </c>
      <c r="C160" t="s">
        <v>7</v>
      </c>
      <c r="D160" t="s">
        <v>10</v>
      </c>
      <c r="E160">
        <v>342999.52647600311</v>
      </c>
      <c r="F160">
        <v>0.97471307107780136</v>
      </c>
    </row>
    <row r="161" spans="1:6" x14ac:dyDescent="0.2">
      <c r="A161">
        <v>2042</v>
      </c>
      <c r="B161" t="s">
        <v>12</v>
      </c>
      <c r="C161" t="s">
        <v>7</v>
      </c>
      <c r="D161" t="s">
        <v>8</v>
      </c>
      <c r="E161">
        <v>14936.090083147161</v>
      </c>
      <c r="F161">
        <v>0.46809346390724732</v>
      </c>
    </row>
    <row r="162" spans="1:6" x14ac:dyDescent="0.2">
      <c r="A162">
        <v>2042</v>
      </c>
      <c r="B162" t="s">
        <v>12</v>
      </c>
      <c r="C162" t="s">
        <v>7</v>
      </c>
      <c r="D162" t="s">
        <v>9</v>
      </c>
      <c r="E162">
        <v>45677.169958470142</v>
      </c>
      <c r="F162">
        <v>0.95214825168345907</v>
      </c>
    </row>
    <row r="163" spans="1:6" x14ac:dyDescent="0.2">
      <c r="A163">
        <v>2042</v>
      </c>
      <c r="B163" t="s">
        <v>12</v>
      </c>
      <c r="C163" t="s">
        <v>7</v>
      </c>
      <c r="D163" t="s">
        <v>10</v>
      </c>
      <c r="E163">
        <v>44497.576996847703</v>
      </c>
      <c r="F163">
        <v>0.94766177736922519</v>
      </c>
    </row>
    <row r="164" spans="1:6" x14ac:dyDescent="0.2">
      <c r="A164">
        <v>2043</v>
      </c>
      <c r="B164" t="s">
        <v>6</v>
      </c>
      <c r="C164" t="s">
        <v>7</v>
      </c>
      <c r="D164" t="s">
        <v>8</v>
      </c>
      <c r="E164">
        <v>545.64945690473496</v>
      </c>
      <c r="F164">
        <v>4.9037050592959007E-2</v>
      </c>
    </row>
    <row r="165" spans="1:6" x14ac:dyDescent="0.2">
      <c r="A165">
        <v>2043</v>
      </c>
      <c r="B165" t="s">
        <v>6</v>
      </c>
      <c r="C165" t="s">
        <v>7</v>
      </c>
      <c r="D165" t="s">
        <v>9</v>
      </c>
      <c r="E165">
        <v>1958.2140739695139</v>
      </c>
      <c r="F165">
        <v>0.35987756657431119</v>
      </c>
    </row>
    <row r="166" spans="1:6" x14ac:dyDescent="0.2">
      <c r="A166">
        <v>2043</v>
      </c>
      <c r="B166" t="s">
        <v>6</v>
      </c>
      <c r="C166" t="s">
        <v>7</v>
      </c>
      <c r="D166" t="s">
        <v>10</v>
      </c>
      <c r="E166">
        <v>1570.4547802135851</v>
      </c>
      <c r="F166">
        <v>0.23037055775312171</v>
      </c>
    </row>
    <row r="167" spans="1:6" x14ac:dyDescent="0.2">
      <c r="A167">
        <v>2043</v>
      </c>
      <c r="B167" t="s">
        <v>11</v>
      </c>
      <c r="C167" t="s">
        <v>7</v>
      </c>
      <c r="D167" t="s">
        <v>8</v>
      </c>
      <c r="E167">
        <v>323793.40689433657</v>
      </c>
      <c r="F167">
        <v>0.89896734034639314</v>
      </c>
    </row>
    <row r="168" spans="1:6" x14ac:dyDescent="0.2">
      <c r="A168">
        <v>2043</v>
      </c>
      <c r="B168" t="s">
        <v>11</v>
      </c>
      <c r="C168" t="s">
        <v>7</v>
      </c>
      <c r="D168" t="s">
        <v>9</v>
      </c>
      <c r="E168">
        <v>351929.65589819342</v>
      </c>
      <c r="F168">
        <v>0.9771460928583241</v>
      </c>
    </row>
    <row r="169" spans="1:6" x14ac:dyDescent="0.2">
      <c r="A169">
        <v>2043</v>
      </c>
      <c r="B169" t="s">
        <v>11</v>
      </c>
      <c r="C169" t="s">
        <v>7</v>
      </c>
      <c r="D169" t="s">
        <v>10</v>
      </c>
      <c r="E169">
        <v>351419.03939969733</v>
      </c>
      <c r="F169">
        <v>0.97501188070503653</v>
      </c>
    </row>
    <row r="170" spans="1:6" x14ac:dyDescent="0.2">
      <c r="A170">
        <v>2043</v>
      </c>
      <c r="B170" t="s">
        <v>12</v>
      </c>
      <c r="C170" t="s">
        <v>7</v>
      </c>
      <c r="D170" t="s">
        <v>8</v>
      </c>
      <c r="E170">
        <v>16590.285592626031</v>
      </c>
      <c r="F170">
        <v>0.51069761823458282</v>
      </c>
    </row>
    <row r="171" spans="1:6" x14ac:dyDescent="0.2">
      <c r="A171">
        <v>2043</v>
      </c>
      <c r="B171" t="s">
        <v>12</v>
      </c>
      <c r="C171" t="s">
        <v>7</v>
      </c>
      <c r="D171" t="s">
        <v>9</v>
      </c>
      <c r="E171">
        <v>45850.161388412467</v>
      </c>
      <c r="F171">
        <v>0.94862230027780148</v>
      </c>
    </row>
    <row r="172" spans="1:6" x14ac:dyDescent="0.2">
      <c r="A172">
        <v>2043</v>
      </c>
      <c r="B172" t="s">
        <v>12</v>
      </c>
      <c r="C172" t="s">
        <v>7</v>
      </c>
      <c r="D172" t="s">
        <v>10</v>
      </c>
      <c r="E172">
        <v>44665.879118356817</v>
      </c>
      <c r="F172">
        <v>0.94354057075888842</v>
      </c>
    </row>
    <row r="173" spans="1:6" x14ac:dyDescent="0.2">
      <c r="A173">
        <v>2044</v>
      </c>
      <c r="B173" t="s">
        <v>6</v>
      </c>
      <c r="C173" t="s">
        <v>7</v>
      </c>
      <c r="D173" t="s">
        <v>8</v>
      </c>
      <c r="E173">
        <v>548.83986134977863</v>
      </c>
      <c r="F173">
        <v>4.8793269752918589E-2</v>
      </c>
    </row>
    <row r="174" spans="1:6" x14ac:dyDescent="0.2">
      <c r="A174">
        <v>2044</v>
      </c>
      <c r="B174" t="s">
        <v>6</v>
      </c>
      <c r="C174" t="s">
        <v>7</v>
      </c>
      <c r="D174" t="s">
        <v>9</v>
      </c>
      <c r="E174">
        <v>1954.100706197072</v>
      </c>
      <c r="F174">
        <v>0.3635840111165709</v>
      </c>
    </row>
    <row r="175" spans="1:6" x14ac:dyDescent="0.2">
      <c r="A175">
        <v>2044</v>
      </c>
      <c r="B175" t="s">
        <v>6</v>
      </c>
      <c r="C175" t="s">
        <v>7</v>
      </c>
      <c r="D175" t="s">
        <v>10</v>
      </c>
      <c r="E175">
        <v>1570.4610468560149</v>
      </c>
      <c r="F175">
        <v>0.2305317640681383</v>
      </c>
    </row>
    <row r="176" spans="1:6" x14ac:dyDescent="0.2">
      <c r="A176">
        <v>2044</v>
      </c>
      <c r="B176" t="s">
        <v>11</v>
      </c>
      <c r="C176" t="s">
        <v>7</v>
      </c>
      <c r="D176" t="s">
        <v>8</v>
      </c>
      <c r="E176">
        <v>333096.2870079783</v>
      </c>
      <c r="F176">
        <v>0.90301294385286668</v>
      </c>
    </row>
    <row r="177" spans="1:6" x14ac:dyDescent="0.2">
      <c r="A177">
        <v>2044</v>
      </c>
      <c r="B177" t="s">
        <v>11</v>
      </c>
      <c r="C177" t="s">
        <v>7</v>
      </c>
      <c r="D177" t="s">
        <v>9</v>
      </c>
      <c r="E177">
        <v>360220.45733859547</v>
      </c>
      <c r="F177">
        <v>0.97506416379468241</v>
      </c>
    </row>
    <row r="178" spans="1:6" x14ac:dyDescent="0.2">
      <c r="A178">
        <v>2044</v>
      </c>
      <c r="B178" t="s">
        <v>11</v>
      </c>
      <c r="C178" t="s">
        <v>7</v>
      </c>
      <c r="D178" t="s">
        <v>10</v>
      </c>
      <c r="E178">
        <v>359596.07558226777</v>
      </c>
      <c r="F178">
        <v>0.97278015645954075</v>
      </c>
    </row>
    <row r="179" spans="1:6" x14ac:dyDescent="0.2">
      <c r="A179">
        <v>2044</v>
      </c>
      <c r="B179" t="s">
        <v>12</v>
      </c>
      <c r="C179" t="s">
        <v>7</v>
      </c>
      <c r="D179" t="s">
        <v>8</v>
      </c>
      <c r="E179">
        <v>16698.196508893281</v>
      </c>
      <c r="F179">
        <v>0.50453856569204647</v>
      </c>
    </row>
    <row r="180" spans="1:6" x14ac:dyDescent="0.2">
      <c r="A180">
        <v>2044</v>
      </c>
      <c r="B180" t="s">
        <v>12</v>
      </c>
      <c r="C180" t="s">
        <v>7</v>
      </c>
      <c r="D180" t="s">
        <v>9</v>
      </c>
      <c r="E180">
        <v>46059.714163554032</v>
      </c>
      <c r="F180">
        <v>0.9451292239123753</v>
      </c>
    </row>
    <row r="181" spans="1:6" x14ac:dyDescent="0.2">
      <c r="A181">
        <v>2044</v>
      </c>
      <c r="B181" t="s">
        <v>12</v>
      </c>
      <c r="C181" t="s">
        <v>7</v>
      </c>
      <c r="D181" t="s">
        <v>10</v>
      </c>
      <c r="E181">
        <v>44873.198892806497</v>
      </c>
      <c r="F181">
        <v>0.93953165835620722</v>
      </c>
    </row>
    <row r="182" spans="1:6" x14ac:dyDescent="0.2">
      <c r="A182">
        <v>2045</v>
      </c>
      <c r="B182" t="s">
        <v>6</v>
      </c>
      <c r="C182" t="s">
        <v>7</v>
      </c>
      <c r="D182" t="s">
        <v>8</v>
      </c>
      <c r="E182">
        <v>531.38059029273757</v>
      </c>
      <c r="F182">
        <v>4.679285226949112E-2</v>
      </c>
    </row>
    <row r="183" spans="1:6" x14ac:dyDescent="0.2">
      <c r="A183">
        <v>2045</v>
      </c>
      <c r="B183" t="s">
        <v>6</v>
      </c>
      <c r="C183" t="s">
        <v>7</v>
      </c>
      <c r="D183" t="s">
        <v>9</v>
      </c>
      <c r="E183">
        <v>1964.080629978341</v>
      </c>
      <c r="F183">
        <v>0.35956297721808272</v>
      </c>
    </row>
    <row r="184" spans="1:6" x14ac:dyDescent="0.2">
      <c r="A184">
        <v>2045</v>
      </c>
      <c r="B184" t="s">
        <v>6</v>
      </c>
      <c r="C184" t="s">
        <v>7</v>
      </c>
      <c r="D184" t="s">
        <v>10</v>
      </c>
      <c r="E184">
        <v>1581.788650799984</v>
      </c>
      <c r="F184">
        <v>0.22818525933542361</v>
      </c>
    </row>
    <row r="185" spans="1:6" x14ac:dyDescent="0.2">
      <c r="A185">
        <v>2045</v>
      </c>
      <c r="B185" t="s">
        <v>11</v>
      </c>
      <c r="C185" t="s">
        <v>7</v>
      </c>
      <c r="D185" t="s">
        <v>8</v>
      </c>
      <c r="E185">
        <v>342254.75766278198</v>
      </c>
      <c r="F185">
        <v>0.90747218734958268</v>
      </c>
    </row>
    <row r="186" spans="1:6" x14ac:dyDescent="0.2">
      <c r="A186">
        <v>2045</v>
      </c>
      <c r="B186" t="s">
        <v>11</v>
      </c>
      <c r="C186" t="s">
        <v>7</v>
      </c>
      <c r="D186" t="s">
        <v>9</v>
      </c>
      <c r="E186">
        <v>367825.85664925678</v>
      </c>
      <c r="F186">
        <v>0.97539646572904526</v>
      </c>
    </row>
    <row r="187" spans="1:6" x14ac:dyDescent="0.2">
      <c r="A187">
        <v>2045</v>
      </c>
      <c r="B187" t="s">
        <v>11</v>
      </c>
      <c r="C187" t="s">
        <v>7</v>
      </c>
      <c r="D187" t="s">
        <v>10</v>
      </c>
      <c r="E187">
        <v>367042.19309700892</v>
      </c>
      <c r="F187">
        <v>0.97288783253221411</v>
      </c>
    </row>
    <row r="188" spans="1:6" x14ac:dyDescent="0.2">
      <c r="A188">
        <v>2045</v>
      </c>
      <c r="B188" t="s">
        <v>12</v>
      </c>
      <c r="C188" t="s">
        <v>7</v>
      </c>
      <c r="D188" t="s">
        <v>8</v>
      </c>
      <c r="E188">
        <v>17399.026088904549</v>
      </c>
      <c r="F188">
        <v>0.51883067023467189</v>
      </c>
    </row>
    <row r="189" spans="1:6" x14ac:dyDescent="0.2">
      <c r="A189">
        <v>2045</v>
      </c>
      <c r="B189" t="s">
        <v>12</v>
      </c>
      <c r="C189" t="s">
        <v>7</v>
      </c>
      <c r="D189" t="s">
        <v>9</v>
      </c>
      <c r="E189">
        <v>46209.455848804857</v>
      </c>
      <c r="F189">
        <v>0.94220509896357396</v>
      </c>
    </row>
    <row r="190" spans="1:6" x14ac:dyDescent="0.2">
      <c r="A190">
        <v>2045</v>
      </c>
      <c r="B190" t="s">
        <v>12</v>
      </c>
      <c r="C190" t="s">
        <v>7</v>
      </c>
      <c r="D190" t="s">
        <v>10</v>
      </c>
      <c r="E190">
        <v>45018.586425084803</v>
      </c>
      <c r="F190">
        <v>0.93620693912031072</v>
      </c>
    </row>
    <row r="191" spans="1:6" x14ac:dyDescent="0.2">
      <c r="A191">
        <v>2046</v>
      </c>
      <c r="B191" t="s">
        <v>6</v>
      </c>
      <c r="C191" t="s">
        <v>7</v>
      </c>
      <c r="D191" t="s">
        <v>8</v>
      </c>
      <c r="E191">
        <v>534.92236604987033</v>
      </c>
      <c r="F191">
        <v>4.6573864541307783E-2</v>
      </c>
    </row>
    <row r="192" spans="1:6" x14ac:dyDescent="0.2">
      <c r="A192">
        <v>2046</v>
      </c>
      <c r="B192" t="s">
        <v>6</v>
      </c>
      <c r="C192" t="s">
        <v>7</v>
      </c>
      <c r="D192" t="s">
        <v>9</v>
      </c>
      <c r="E192">
        <v>1975.199902138274</v>
      </c>
      <c r="F192">
        <v>0.35559202908808191</v>
      </c>
    </row>
    <row r="193" spans="1:6" x14ac:dyDescent="0.2">
      <c r="A193">
        <v>2046</v>
      </c>
      <c r="B193" t="s">
        <v>6</v>
      </c>
      <c r="C193" t="s">
        <v>7</v>
      </c>
      <c r="D193" t="s">
        <v>10</v>
      </c>
      <c r="E193">
        <v>1591.197522299494</v>
      </c>
      <c r="F193">
        <v>0.2257355395125937</v>
      </c>
    </row>
    <row r="194" spans="1:6" x14ac:dyDescent="0.2">
      <c r="A194">
        <v>2046</v>
      </c>
      <c r="B194" t="s">
        <v>11</v>
      </c>
      <c r="C194" t="s">
        <v>7</v>
      </c>
      <c r="D194" t="s">
        <v>8</v>
      </c>
      <c r="E194">
        <v>350787.25305667118</v>
      </c>
      <c r="F194">
        <v>0.91662997035069349</v>
      </c>
    </row>
    <row r="195" spans="1:6" x14ac:dyDescent="0.2">
      <c r="A195">
        <v>2046</v>
      </c>
      <c r="B195" t="s">
        <v>11</v>
      </c>
      <c r="C195" t="s">
        <v>7</v>
      </c>
      <c r="D195" t="s">
        <v>9</v>
      </c>
      <c r="E195">
        <v>374028.73157574277</v>
      </c>
      <c r="F195">
        <v>0.97988110201951639</v>
      </c>
    </row>
    <row r="196" spans="1:6" x14ac:dyDescent="0.2">
      <c r="A196">
        <v>2046</v>
      </c>
      <c r="B196" t="s">
        <v>11</v>
      </c>
      <c r="C196" t="s">
        <v>7</v>
      </c>
      <c r="D196" t="s">
        <v>10</v>
      </c>
      <c r="E196">
        <v>373934.16564729979</v>
      </c>
      <c r="F196">
        <v>0.97757809512029925</v>
      </c>
    </row>
    <row r="197" spans="1:6" x14ac:dyDescent="0.2">
      <c r="A197">
        <v>2046</v>
      </c>
      <c r="B197" t="s">
        <v>12</v>
      </c>
      <c r="C197" t="s">
        <v>7</v>
      </c>
      <c r="D197" t="s">
        <v>8</v>
      </c>
      <c r="E197">
        <v>17510.198612615979</v>
      </c>
      <c r="F197">
        <v>0.51432710362507594</v>
      </c>
    </row>
    <row r="198" spans="1:6" x14ac:dyDescent="0.2">
      <c r="A198">
        <v>2046</v>
      </c>
      <c r="B198" t="s">
        <v>12</v>
      </c>
      <c r="C198" t="s">
        <v>7</v>
      </c>
      <c r="D198" t="s">
        <v>9</v>
      </c>
      <c r="E198">
        <v>46390.387410624848</v>
      </c>
      <c r="F198">
        <v>0.93886005714303744</v>
      </c>
    </row>
    <row r="199" spans="1:6" x14ac:dyDescent="0.2">
      <c r="A199">
        <v>2046</v>
      </c>
      <c r="B199" t="s">
        <v>12</v>
      </c>
      <c r="C199" t="s">
        <v>7</v>
      </c>
      <c r="D199" t="s">
        <v>10</v>
      </c>
      <c r="E199">
        <v>45185.587126851453</v>
      </c>
      <c r="F199">
        <v>0.93209701656742006</v>
      </c>
    </row>
    <row r="200" spans="1:6" x14ac:dyDescent="0.2">
      <c r="A200">
        <v>2047</v>
      </c>
      <c r="B200" t="s">
        <v>6</v>
      </c>
      <c r="C200" t="s">
        <v>7</v>
      </c>
      <c r="D200" t="s">
        <v>8</v>
      </c>
      <c r="E200">
        <v>537.93546473505842</v>
      </c>
      <c r="F200">
        <v>4.6310846371061767E-2</v>
      </c>
    </row>
    <row r="201" spans="1:6" x14ac:dyDescent="0.2">
      <c r="A201">
        <v>2047</v>
      </c>
      <c r="B201" t="s">
        <v>6</v>
      </c>
      <c r="C201" t="s">
        <v>7</v>
      </c>
      <c r="D201" t="s">
        <v>9</v>
      </c>
      <c r="E201">
        <v>1983.156282776356</v>
      </c>
      <c r="F201">
        <v>0.35100071951230499</v>
      </c>
    </row>
    <row r="202" spans="1:6" x14ac:dyDescent="0.2">
      <c r="A202">
        <v>2047</v>
      </c>
      <c r="B202" t="s">
        <v>6</v>
      </c>
      <c r="C202" t="s">
        <v>7</v>
      </c>
      <c r="D202" t="s">
        <v>10</v>
      </c>
      <c r="E202">
        <v>1598.530826064544</v>
      </c>
      <c r="F202">
        <v>0.2228708245320091</v>
      </c>
    </row>
    <row r="203" spans="1:6" x14ac:dyDescent="0.2">
      <c r="A203">
        <v>2047</v>
      </c>
      <c r="B203" t="s">
        <v>11</v>
      </c>
      <c r="C203" t="s">
        <v>7</v>
      </c>
      <c r="D203" t="s">
        <v>8</v>
      </c>
      <c r="E203">
        <v>357994.25192411349</v>
      </c>
      <c r="F203">
        <v>0.9209345214610547</v>
      </c>
    </row>
    <row r="204" spans="1:6" x14ac:dyDescent="0.2">
      <c r="A204">
        <v>2047</v>
      </c>
      <c r="B204" t="s">
        <v>11</v>
      </c>
      <c r="C204" t="s">
        <v>7</v>
      </c>
      <c r="D204" t="s">
        <v>9</v>
      </c>
      <c r="E204">
        <v>380133.70838827529</v>
      </c>
      <c r="F204">
        <v>0.9812851114237231</v>
      </c>
    </row>
    <row r="205" spans="1:6" x14ac:dyDescent="0.2">
      <c r="A205">
        <v>2047</v>
      </c>
      <c r="B205" t="s">
        <v>11</v>
      </c>
      <c r="C205" t="s">
        <v>7</v>
      </c>
      <c r="D205" t="s">
        <v>10</v>
      </c>
      <c r="E205">
        <v>380149.40178792528</v>
      </c>
      <c r="F205">
        <v>0.97909012776112714</v>
      </c>
    </row>
    <row r="206" spans="1:6" x14ac:dyDescent="0.2">
      <c r="A206">
        <v>2047</v>
      </c>
      <c r="B206" t="s">
        <v>12</v>
      </c>
      <c r="C206" t="s">
        <v>7</v>
      </c>
      <c r="D206" t="s">
        <v>8</v>
      </c>
      <c r="E206">
        <v>18569.75641736234</v>
      </c>
      <c r="F206">
        <v>0.53694046123031314</v>
      </c>
    </row>
    <row r="207" spans="1:6" x14ac:dyDescent="0.2">
      <c r="A207">
        <v>2047</v>
      </c>
      <c r="B207" t="s">
        <v>12</v>
      </c>
      <c r="C207" t="s">
        <v>7</v>
      </c>
      <c r="D207" t="s">
        <v>9</v>
      </c>
      <c r="E207">
        <v>46568.099636937673</v>
      </c>
      <c r="F207">
        <v>0.93543713716366172</v>
      </c>
    </row>
    <row r="208" spans="1:6" x14ac:dyDescent="0.2">
      <c r="A208">
        <v>2047</v>
      </c>
      <c r="B208" t="s">
        <v>12</v>
      </c>
      <c r="C208" t="s">
        <v>7</v>
      </c>
      <c r="D208" t="s">
        <v>10</v>
      </c>
      <c r="E208">
        <v>45382.254557570341</v>
      </c>
      <c r="F208">
        <v>0.92938981936321885</v>
      </c>
    </row>
    <row r="209" spans="1:6" x14ac:dyDescent="0.2">
      <c r="A209">
        <v>2048</v>
      </c>
      <c r="B209" t="s">
        <v>6</v>
      </c>
      <c r="C209" t="s">
        <v>7</v>
      </c>
      <c r="D209" t="s">
        <v>8</v>
      </c>
      <c r="E209">
        <v>539.72981578012025</v>
      </c>
      <c r="F209">
        <v>4.5939144891408497E-2</v>
      </c>
    </row>
    <row r="210" spans="1:6" x14ac:dyDescent="0.2">
      <c r="A210">
        <v>2048</v>
      </c>
      <c r="B210" t="s">
        <v>6</v>
      </c>
      <c r="C210" t="s">
        <v>7</v>
      </c>
      <c r="D210" t="s">
        <v>9</v>
      </c>
      <c r="E210">
        <v>1988.5086691570441</v>
      </c>
      <c r="F210">
        <v>0.3452488567952674</v>
      </c>
    </row>
    <row r="211" spans="1:6" x14ac:dyDescent="0.2">
      <c r="A211">
        <v>2048</v>
      </c>
      <c r="B211" t="s">
        <v>6</v>
      </c>
      <c r="C211" t="s">
        <v>7</v>
      </c>
      <c r="D211" t="s">
        <v>10</v>
      </c>
      <c r="E211">
        <v>1601.5908407348479</v>
      </c>
      <c r="F211">
        <v>0.2204022386039064</v>
      </c>
    </row>
    <row r="212" spans="1:6" x14ac:dyDescent="0.2">
      <c r="A212">
        <v>2048</v>
      </c>
      <c r="B212" t="s">
        <v>11</v>
      </c>
      <c r="C212" t="s">
        <v>7</v>
      </c>
      <c r="D212" t="s">
        <v>8</v>
      </c>
      <c r="E212">
        <v>364439.90177607362</v>
      </c>
      <c r="F212">
        <v>0.92294131801857493</v>
      </c>
    </row>
    <row r="213" spans="1:6" x14ac:dyDescent="0.2">
      <c r="A213">
        <v>2048</v>
      </c>
      <c r="B213" t="s">
        <v>11</v>
      </c>
      <c r="C213" t="s">
        <v>7</v>
      </c>
      <c r="D213" t="s">
        <v>9</v>
      </c>
      <c r="E213">
        <v>385369.91968748957</v>
      </c>
      <c r="F213">
        <v>0.98012300856822387</v>
      </c>
    </row>
    <row r="214" spans="1:6" x14ac:dyDescent="0.2">
      <c r="A214">
        <v>2048</v>
      </c>
      <c r="B214" t="s">
        <v>11</v>
      </c>
      <c r="C214" t="s">
        <v>7</v>
      </c>
      <c r="D214" t="s">
        <v>10</v>
      </c>
      <c r="E214">
        <v>385431.72898813599</v>
      </c>
      <c r="F214">
        <v>0.97729326147330409</v>
      </c>
    </row>
    <row r="215" spans="1:6" x14ac:dyDescent="0.2">
      <c r="A215">
        <v>2048</v>
      </c>
      <c r="B215" t="s">
        <v>12</v>
      </c>
      <c r="C215" t="s">
        <v>7</v>
      </c>
      <c r="D215" t="s">
        <v>8</v>
      </c>
      <c r="E215">
        <v>19082.062725462249</v>
      </c>
      <c r="F215">
        <v>0.54188249162418878</v>
      </c>
    </row>
    <row r="216" spans="1:6" x14ac:dyDescent="0.2">
      <c r="A216">
        <v>2048</v>
      </c>
      <c r="B216" t="s">
        <v>12</v>
      </c>
      <c r="C216" t="s">
        <v>7</v>
      </c>
      <c r="D216" t="s">
        <v>9</v>
      </c>
      <c r="E216">
        <v>47071.53047209268</v>
      </c>
      <c r="F216">
        <v>0.93213848442798319</v>
      </c>
    </row>
    <row r="217" spans="1:6" x14ac:dyDescent="0.2">
      <c r="A217">
        <v>2048</v>
      </c>
      <c r="B217" t="s">
        <v>12</v>
      </c>
      <c r="C217" t="s">
        <v>7</v>
      </c>
      <c r="D217" t="s">
        <v>10</v>
      </c>
      <c r="E217">
        <v>45875.290865531599</v>
      </c>
      <c r="F217">
        <v>0.92579918498067792</v>
      </c>
    </row>
    <row r="218" spans="1:6" x14ac:dyDescent="0.2">
      <c r="A218">
        <v>2049</v>
      </c>
      <c r="B218" t="s">
        <v>6</v>
      </c>
      <c r="C218" t="s">
        <v>7</v>
      </c>
      <c r="D218" t="s">
        <v>8</v>
      </c>
      <c r="E218">
        <v>543.6024819632778</v>
      </c>
      <c r="F218">
        <v>4.5741680816498272E-2</v>
      </c>
    </row>
    <row r="219" spans="1:6" x14ac:dyDescent="0.2">
      <c r="A219">
        <v>2049</v>
      </c>
      <c r="B219" t="s">
        <v>6</v>
      </c>
      <c r="C219" t="s">
        <v>7</v>
      </c>
      <c r="D219" t="s">
        <v>9</v>
      </c>
      <c r="E219">
        <v>1993.15173813928</v>
      </c>
      <c r="F219">
        <v>0.33703049284247472</v>
      </c>
    </row>
    <row r="220" spans="1:6" x14ac:dyDescent="0.2">
      <c r="A220">
        <v>2049</v>
      </c>
      <c r="B220" t="s">
        <v>6</v>
      </c>
      <c r="C220" t="s">
        <v>7</v>
      </c>
      <c r="D220" t="s">
        <v>10</v>
      </c>
      <c r="E220">
        <v>1612.365536364425</v>
      </c>
      <c r="F220">
        <v>0.21810281199750259</v>
      </c>
    </row>
    <row r="221" spans="1:6" x14ac:dyDescent="0.2">
      <c r="A221">
        <v>2049</v>
      </c>
      <c r="B221" t="s">
        <v>11</v>
      </c>
      <c r="C221" t="s">
        <v>7</v>
      </c>
      <c r="D221" t="s">
        <v>8</v>
      </c>
      <c r="E221">
        <v>371443.27075329632</v>
      </c>
      <c r="F221">
        <v>0.92231734783742614</v>
      </c>
    </row>
    <row r="222" spans="1:6" x14ac:dyDescent="0.2">
      <c r="A222">
        <v>2049</v>
      </c>
      <c r="B222" t="s">
        <v>11</v>
      </c>
      <c r="C222" t="s">
        <v>7</v>
      </c>
      <c r="D222" t="s">
        <v>9</v>
      </c>
      <c r="E222">
        <v>393035.86962007318</v>
      </c>
      <c r="F222">
        <v>0.97938131981087506</v>
      </c>
    </row>
    <row r="223" spans="1:6" x14ac:dyDescent="0.2">
      <c r="A223">
        <v>2049</v>
      </c>
      <c r="B223" t="s">
        <v>11</v>
      </c>
      <c r="C223" t="s">
        <v>7</v>
      </c>
      <c r="D223" t="s">
        <v>10</v>
      </c>
      <c r="E223">
        <v>392584.77211475529</v>
      </c>
      <c r="F223">
        <v>0.97590605660421648</v>
      </c>
    </row>
    <row r="224" spans="1:6" x14ac:dyDescent="0.2">
      <c r="A224">
        <v>2049</v>
      </c>
      <c r="B224" t="s">
        <v>12</v>
      </c>
      <c r="C224" t="s">
        <v>7</v>
      </c>
      <c r="D224" t="s">
        <v>8</v>
      </c>
      <c r="E224">
        <v>19198.313429401471</v>
      </c>
      <c r="F224">
        <v>0.53898757248484774</v>
      </c>
    </row>
    <row r="225" spans="1:6" x14ac:dyDescent="0.2">
      <c r="A225">
        <v>2049</v>
      </c>
      <c r="B225" t="s">
        <v>12</v>
      </c>
      <c r="C225" t="s">
        <v>7</v>
      </c>
      <c r="D225" t="s">
        <v>9</v>
      </c>
      <c r="E225">
        <v>47248.903176666128</v>
      </c>
      <c r="F225">
        <v>0.93055001224844303</v>
      </c>
    </row>
    <row r="226" spans="1:6" x14ac:dyDescent="0.2">
      <c r="A226">
        <v>2049</v>
      </c>
      <c r="B226" t="s">
        <v>12</v>
      </c>
      <c r="C226" t="s">
        <v>7</v>
      </c>
      <c r="D226" t="s">
        <v>10</v>
      </c>
      <c r="E226">
        <v>46030.786472706073</v>
      </c>
      <c r="F226">
        <v>0.92298784672381973</v>
      </c>
    </row>
    <row r="227" spans="1:6" x14ac:dyDescent="0.2">
      <c r="A227">
        <v>2050</v>
      </c>
      <c r="B227" t="s">
        <v>6</v>
      </c>
      <c r="C227" t="s">
        <v>7</v>
      </c>
      <c r="D227" t="s">
        <v>8</v>
      </c>
      <c r="E227">
        <v>546.45877323678394</v>
      </c>
      <c r="F227">
        <v>4.545803997336563E-2</v>
      </c>
    </row>
    <row r="228" spans="1:6" x14ac:dyDescent="0.2">
      <c r="A228">
        <v>2050</v>
      </c>
      <c r="B228" t="s">
        <v>6</v>
      </c>
      <c r="C228" t="s">
        <v>7</v>
      </c>
      <c r="D228" t="s">
        <v>9</v>
      </c>
      <c r="E228">
        <v>1999.8908595179939</v>
      </c>
      <c r="F228">
        <v>0.33223643624128152</v>
      </c>
    </row>
    <row r="229" spans="1:6" x14ac:dyDescent="0.2">
      <c r="A229">
        <v>2050</v>
      </c>
      <c r="B229" t="s">
        <v>6</v>
      </c>
      <c r="C229" t="s">
        <v>7</v>
      </c>
      <c r="D229" t="s">
        <v>10</v>
      </c>
      <c r="E229">
        <v>1619.107169371408</v>
      </c>
      <c r="F229">
        <v>0.21500579819195009</v>
      </c>
    </row>
    <row r="230" spans="1:6" x14ac:dyDescent="0.2">
      <c r="A230">
        <v>2050</v>
      </c>
      <c r="B230" t="s">
        <v>11</v>
      </c>
      <c r="C230" t="s">
        <v>7</v>
      </c>
      <c r="D230" t="s">
        <v>8</v>
      </c>
      <c r="E230">
        <v>379536.5029239963</v>
      </c>
      <c r="F230">
        <v>0.9264779258472543</v>
      </c>
    </row>
    <row r="231" spans="1:6" x14ac:dyDescent="0.2">
      <c r="A231">
        <v>2050</v>
      </c>
      <c r="B231" t="s">
        <v>11</v>
      </c>
      <c r="C231" t="s">
        <v>7</v>
      </c>
      <c r="D231" t="s">
        <v>9</v>
      </c>
      <c r="E231">
        <v>399668.61852624762</v>
      </c>
      <c r="F231">
        <v>0.98004689038977133</v>
      </c>
    </row>
    <row r="232" spans="1:6" x14ac:dyDescent="0.2">
      <c r="A232">
        <v>2050</v>
      </c>
      <c r="B232" t="s">
        <v>11</v>
      </c>
      <c r="C232" t="s">
        <v>7</v>
      </c>
      <c r="D232" t="s">
        <v>10</v>
      </c>
      <c r="E232">
        <v>399413.98415639182</v>
      </c>
      <c r="F232">
        <v>0.97612192170236345</v>
      </c>
    </row>
    <row r="233" spans="1:6" x14ac:dyDescent="0.2">
      <c r="A233">
        <v>2050</v>
      </c>
      <c r="B233" t="s">
        <v>12</v>
      </c>
      <c r="C233" t="s">
        <v>7</v>
      </c>
      <c r="D233" t="s">
        <v>8</v>
      </c>
      <c r="E233">
        <v>19647.30602691686</v>
      </c>
      <c r="F233">
        <v>0.54364348593155465</v>
      </c>
    </row>
    <row r="234" spans="1:6" x14ac:dyDescent="0.2">
      <c r="A234">
        <v>2050</v>
      </c>
      <c r="B234" t="s">
        <v>12</v>
      </c>
      <c r="C234" t="s">
        <v>7</v>
      </c>
      <c r="D234" t="s">
        <v>9</v>
      </c>
      <c r="E234">
        <v>47677.353480950573</v>
      </c>
      <c r="F234">
        <v>0.92779927616695168</v>
      </c>
    </row>
    <row r="235" spans="1:6" x14ac:dyDescent="0.2">
      <c r="A235">
        <v>2050</v>
      </c>
      <c r="B235" t="s">
        <v>12</v>
      </c>
      <c r="C235" t="s">
        <v>7</v>
      </c>
      <c r="D235" t="s">
        <v>10</v>
      </c>
      <c r="E235">
        <v>46450.974716621109</v>
      </c>
      <c r="F235">
        <v>0.91999486504694139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2025-09-30T01:10:55Z</dcterms:created>
  <dcterms:modified xsi:type="dcterms:W3CDTF">2025-09-30T04:48:02Z</dcterms:modified>
</cp:coreProperties>
</file>