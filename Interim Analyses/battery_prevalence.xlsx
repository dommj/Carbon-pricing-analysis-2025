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0097F22E-FA60-F14F-81BB-848873B54D61}" xr6:coauthVersionLast="47" xr6:coauthVersionMax="47" xr10:uidLastSave="{00000000-0000-0000-0000-000000000000}"/>
  <bookViews>
    <workbookView xWindow="-17840" yWindow="-28140" windowWidth="32280" windowHeight="2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I6" i="1"/>
  <c r="J5" i="1"/>
  <c r="K5" i="1"/>
  <c r="L5" i="1"/>
  <c r="I5" i="1"/>
  <c r="J4" i="1"/>
  <c r="K4" i="1"/>
  <c r="L4" i="1"/>
  <c r="I4" i="1"/>
</calcChain>
</file>

<file path=xl/sharedStrings.xml><?xml version="1.0" encoding="utf-8"?>
<sst xmlns="http://schemas.openxmlformats.org/spreadsheetml/2006/main" count="159" uniqueCount="13">
  <si>
    <t>state</t>
  </si>
  <si>
    <t>year</t>
  </si>
  <si>
    <t>mwh</t>
  </si>
  <si>
    <t>connections</t>
  </si>
  <si>
    <t>battery_stock</t>
  </si>
  <si>
    <t>battery_and_pv_prop</t>
  </si>
  <si>
    <t>NSW and ACT</t>
  </si>
  <si>
    <t>Qld</t>
  </si>
  <si>
    <t>SA</t>
  </si>
  <si>
    <t>Tas</t>
  </si>
  <si>
    <t>Vic</t>
  </si>
  <si>
    <t>battery stock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</si>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</sst>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zoomScale="178" workbookViewId="0">
      <selection activeCell="H14" sqref="H14"/>
    </sheetView>
  </sheetViews>
  <sheetFormatPr baseColWidth="10" defaultColWidth="8.83203125" defaultRowHeight="15" x14ac:dyDescent="0.2"/>
  <cols>
    <col min="1" max="1" width="11.6640625" bestFit="1" customWidth="1"/>
    <col min="2" max="2" width="11.5" customWidth="1"/>
    <col min="3" max="3" width="10.1640625" bestFit="1" customWidth="1"/>
    <col min="4" max="4" width="10.6640625" bestFit="1" customWidth="1"/>
    <col min="5" max="5" width="12.1640625" bestFit="1" customWidth="1"/>
    <col min="6" max="6" width="18.1640625" bestFit="1" customWidth="1"/>
    <col min="8" max="8" width="16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">
      <c r="A2" t="s">
        <v>6</v>
      </c>
      <c r="B2">
        <v>2025</v>
      </c>
      <c r="C2">
        <v>692.19899999999996</v>
      </c>
      <c r="D2">
        <v>3431915</v>
      </c>
      <c r="E2">
        <v>62927.181818181823</v>
      </c>
      <c r="F2">
        <v>1.8335880060602262E-2</v>
      </c>
    </row>
    <row r="3" spans="1:12" x14ac:dyDescent="0.2">
      <c r="A3" t="s">
        <v>6</v>
      </c>
      <c r="B3">
        <v>2026</v>
      </c>
      <c r="C3">
        <v>715.54200000000003</v>
      </c>
      <c r="D3">
        <v>3467571</v>
      </c>
      <c r="E3">
        <v>65049.272727272728</v>
      </c>
      <c r="F3">
        <v>1.875931962958299E-2</v>
      </c>
      <c r="I3">
        <v>2025</v>
      </c>
      <c r="J3">
        <v>2030</v>
      </c>
      <c r="K3">
        <v>2035</v>
      </c>
      <c r="L3">
        <v>2050</v>
      </c>
    </row>
    <row r="4" spans="1:12" x14ac:dyDescent="0.2">
      <c r="A4" t="s">
        <v>6</v>
      </c>
      <c r="B4">
        <v>2027</v>
      </c>
      <c r="C4">
        <v>926.46600000000012</v>
      </c>
      <c r="D4">
        <v>3510515</v>
      </c>
      <c r="E4">
        <v>84224.181818181823</v>
      </c>
      <c r="F4">
        <v>2.399197320569256E-2</v>
      </c>
      <c r="H4" t="s">
        <v>11</v>
      </c>
      <c r="I4">
        <f>SUMIFS($E$2:$E$151,$B$2:$B$151,I$3)</f>
        <v>190827.54545454547</v>
      </c>
      <c r="J4">
        <f t="shared" ref="J4:L4" si="0">SUMIFS($E$2:$E$151,$B$2:$B$151,J$3)</f>
        <v>694904.45454545435</v>
      </c>
      <c r="K4">
        <f t="shared" si="0"/>
        <v>1612290.2727272727</v>
      </c>
      <c r="L4">
        <f t="shared" si="0"/>
        <v>5306732.1818181816</v>
      </c>
    </row>
    <row r="5" spans="1:12" x14ac:dyDescent="0.2">
      <c r="A5" t="s">
        <v>6</v>
      </c>
      <c r="B5">
        <v>2028</v>
      </c>
      <c r="C5">
        <v>1412.67</v>
      </c>
      <c r="D5">
        <v>3562504</v>
      </c>
      <c r="E5">
        <v>128424.5454545455</v>
      </c>
      <c r="F5">
        <v>3.604895473929165E-2</v>
      </c>
      <c r="H5" t="s">
        <v>3</v>
      </c>
      <c r="I5">
        <f>SUMIFS($D$2:$D$151,$B$2:$B$151,I$3)</f>
        <v>9483571</v>
      </c>
      <c r="J5">
        <f t="shared" ref="J5:L5" si="1">SUMIFS($D$2:$D$151,$B$2:$B$151,J$3)</f>
        <v>10272998</v>
      </c>
      <c r="K5">
        <f t="shared" si="1"/>
        <v>11143369</v>
      </c>
      <c r="L5">
        <f t="shared" si="1"/>
        <v>13902871</v>
      </c>
    </row>
    <row r="6" spans="1:12" x14ac:dyDescent="0.2">
      <c r="A6" t="s">
        <v>6</v>
      </c>
      <c r="B6">
        <v>2029</v>
      </c>
      <c r="C6">
        <v>1851.444</v>
      </c>
      <c r="D6">
        <v>3620758</v>
      </c>
      <c r="E6">
        <v>168313.09090909091</v>
      </c>
      <c r="F6">
        <v>4.6485595256322267E-2</v>
      </c>
      <c r="H6" t="s">
        <v>12</v>
      </c>
      <c r="I6" s="2">
        <f>I4/I5</f>
        <v>2.0121908240529382E-2</v>
      </c>
      <c r="J6" s="2">
        <f t="shared" ref="J6:L6" si="2">J4/J5</f>
        <v>6.7643783688603298E-2</v>
      </c>
      <c r="K6" s="2">
        <f t="shared" si="2"/>
        <v>0.14468607049872195</v>
      </c>
      <c r="L6" s="2">
        <f t="shared" si="2"/>
        <v>0.38170045466279456</v>
      </c>
    </row>
    <row r="7" spans="1:12" x14ac:dyDescent="0.2">
      <c r="A7" t="s">
        <v>6</v>
      </c>
      <c r="B7">
        <v>2030</v>
      </c>
      <c r="C7">
        <v>2508.3029999999999</v>
      </c>
      <c r="D7">
        <v>3681001</v>
      </c>
      <c r="E7">
        <v>228027.54545454541</v>
      </c>
      <c r="F7">
        <v>6.1947156617057547E-2</v>
      </c>
    </row>
    <row r="8" spans="1:12" x14ac:dyDescent="0.2">
      <c r="A8" t="s">
        <v>6</v>
      </c>
      <c r="B8">
        <v>2031</v>
      </c>
      <c r="C8">
        <v>3180.6</v>
      </c>
      <c r="D8">
        <v>3739472</v>
      </c>
      <c r="E8">
        <v>289145.45454545459</v>
      </c>
      <c r="F8">
        <v>7.732253498500713E-2</v>
      </c>
    </row>
    <row r="9" spans="1:12" x14ac:dyDescent="0.2">
      <c r="A9" t="s">
        <v>6</v>
      </c>
      <c r="B9">
        <v>2032</v>
      </c>
      <c r="C9">
        <v>3850.293000000001</v>
      </c>
      <c r="D9">
        <v>3796345</v>
      </c>
      <c r="E9">
        <v>350026.63636363641</v>
      </c>
      <c r="F9">
        <v>9.2200955488406983E-2</v>
      </c>
    </row>
    <row r="10" spans="1:12" x14ac:dyDescent="0.2">
      <c r="A10" t="s">
        <v>6</v>
      </c>
      <c r="B10">
        <v>2033</v>
      </c>
      <c r="C10">
        <v>4540.353000000001</v>
      </c>
      <c r="D10">
        <v>3854316</v>
      </c>
      <c r="E10">
        <v>412759.36363636371</v>
      </c>
      <c r="F10">
        <v>0.1070901720659032</v>
      </c>
    </row>
    <row r="11" spans="1:12" x14ac:dyDescent="0.2">
      <c r="A11" t="s">
        <v>6</v>
      </c>
      <c r="B11">
        <v>2034</v>
      </c>
      <c r="C11">
        <v>5172.66</v>
      </c>
      <c r="D11">
        <v>3913218</v>
      </c>
      <c r="E11">
        <v>470241.81818181818</v>
      </c>
      <c r="F11">
        <v>0.1201675496181961</v>
      </c>
    </row>
    <row r="12" spans="1:12" x14ac:dyDescent="0.2">
      <c r="A12" t="s">
        <v>6</v>
      </c>
      <c r="B12">
        <v>2035</v>
      </c>
      <c r="C12">
        <v>5753.7240000000002</v>
      </c>
      <c r="D12">
        <v>3972588</v>
      </c>
      <c r="E12">
        <v>523065.81818181818</v>
      </c>
      <c r="F12">
        <v>0.13166878069958879</v>
      </c>
    </row>
    <row r="13" spans="1:12" x14ac:dyDescent="0.2">
      <c r="A13" t="s">
        <v>6</v>
      </c>
      <c r="B13">
        <v>2036</v>
      </c>
      <c r="C13">
        <v>6370.6860000000006</v>
      </c>
      <c r="D13">
        <v>4032327</v>
      </c>
      <c r="E13">
        <v>579153.27272727282</v>
      </c>
      <c r="F13">
        <v>0.14362755617966319</v>
      </c>
    </row>
    <row r="14" spans="1:12" x14ac:dyDescent="0.2">
      <c r="A14" t="s">
        <v>6</v>
      </c>
      <c r="B14">
        <v>2037</v>
      </c>
      <c r="C14">
        <v>7187.04</v>
      </c>
      <c r="D14">
        <v>4092396</v>
      </c>
      <c r="E14">
        <v>653367.27272727271</v>
      </c>
      <c r="F14">
        <v>0.15965397110330301</v>
      </c>
    </row>
    <row r="15" spans="1:12" x14ac:dyDescent="0.2">
      <c r="A15" t="s">
        <v>6</v>
      </c>
      <c r="B15">
        <v>2038</v>
      </c>
      <c r="C15">
        <v>8335.8690000000006</v>
      </c>
      <c r="D15">
        <v>4152704</v>
      </c>
      <c r="E15">
        <v>757806.27272727282</v>
      </c>
      <c r="F15">
        <v>0.18248502005615441</v>
      </c>
    </row>
    <row r="16" spans="1:12" x14ac:dyDescent="0.2">
      <c r="A16" t="s">
        <v>6</v>
      </c>
      <c r="B16">
        <v>2039</v>
      </c>
      <c r="C16">
        <v>9429.6419999999998</v>
      </c>
      <c r="D16">
        <v>4213117</v>
      </c>
      <c r="E16">
        <v>857240.18181818177</v>
      </c>
      <c r="F16">
        <v>0.20346935103349409</v>
      </c>
    </row>
    <row r="17" spans="1:6" x14ac:dyDescent="0.2">
      <c r="A17" t="s">
        <v>6</v>
      </c>
      <c r="B17">
        <v>2040</v>
      </c>
      <c r="C17">
        <v>10407.816000000001</v>
      </c>
      <c r="D17">
        <v>4273870</v>
      </c>
      <c r="E17">
        <v>946165.09090909094</v>
      </c>
      <c r="F17">
        <v>0.22138368525694299</v>
      </c>
    </row>
    <row r="18" spans="1:6" x14ac:dyDescent="0.2">
      <c r="A18" t="s">
        <v>6</v>
      </c>
      <c r="B18">
        <v>2041</v>
      </c>
      <c r="C18">
        <v>11362.554</v>
      </c>
      <c r="D18">
        <v>4335351</v>
      </c>
      <c r="E18">
        <v>1032959.4545454551</v>
      </c>
      <c r="F18">
        <v>0.23826431920863031</v>
      </c>
    </row>
    <row r="19" spans="1:6" x14ac:dyDescent="0.2">
      <c r="A19" t="s">
        <v>6</v>
      </c>
      <c r="B19">
        <v>2042</v>
      </c>
      <c r="C19">
        <v>12341.007</v>
      </c>
      <c r="D19">
        <v>4397371</v>
      </c>
      <c r="E19">
        <v>1121909.7272727271</v>
      </c>
      <c r="F19">
        <v>0.25513192479614011</v>
      </c>
    </row>
    <row r="20" spans="1:6" x14ac:dyDescent="0.2">
      <c r="A20" t="s">
        <v>6</v>
      </c>
      <c r="B20">
        <v>2043</v>
      </c>
      <c r="C20">
        <v>13326.714</v>
      </c>
      <c r="D20">
        <v>4459819</v>
      </c>
      <c r="E20">
        <v>1211519.4545454551</v>
      </c>
      <c r="F20">
        <v>0.27165215775471041</v>
      </c>
    </row>
    <row r="21" spans="1:6" x14ac:dyDescent="0.2">
      <c r="A21" t="s">
        <v>6</v>
      </c>
      <c r="B21">
        <v>2044</v>
      </c>
      <c r="C21">
        <v>14250.204</v>
      </c>
      <c r="D21">
        <v>4522453</v>
      </c>
      <c r="E21">
        <v>1295473.0909090911</v>
      </c>
      <c r="F21">
        <v>0.2864536327760821</v>
      </c>
    </row>
    <row r="22" spans="1:6" x14ac:dyDescent="0.2">
      <c r="A22" t="s">
        <v>6</v>
      </c>
      <c r="B22">
        <v>2045</v>
      </c>
      <c r="C22">
        <v>15061.257</v>
      </c>
      <c r="D22">
        <v>4585155</v>
      </c>
      <c r="E22">
        <v>1369205.1818181821</v>
      </c>
      <c r="F22">
        <v>0.29861698935328951</v>
      </c>
    </row>
    <row r="23" spans="1:6" x14ac:dyDescent="0.2">
      <c r="A23" t="s">
        <v>6</v>
      </c>
      <c r="B23">
        <v>2046</v>
      </c>
      <c r="C23">
        <v>15809.441999999999</v>
      </c>
      <c r="D23">
        <v>4647961</v>
      </c>
      <c r="E23">
        <v>1437222</v>
      </c>
      <c r="F23">
        <v>0.30921558937349092</v>
      </c>
    </row>
    <row r="24" spans="1:6" x14ac:dyDescent="0.2">
      <c r="A24" t="s">
        <v>6</v>
      </c>
      <c r="B24">
        <v>2047</v>
      </c>
      <c r="C24">
        <v>16648.953000000001</v>
      </c>
      <c r="D24">
        <v>4710865</v>
      </c>
      <c r="E24">
        <v>1513541.1818181821</v>
      </c>
      <c r="F24">
        <v>0.3212873181078596</v>
      </c>
    </row>
    <row r="25" spans="1:6" x14ac:dyDescent="0.2">
      <c r="A25" t="s">
        <v>6</v>
      </c>
      <c r="B25">
        <v>2048</v>
      </c>
      <c r="C25">
        <v>17631.404999999999</v>
      </c>
      <c r="D25">
        <v>4774007</v>
      </c>
      <c r="E25">
        <v>1602855</v>
      </c>
      <c r="F25">
        <v>0.33574626095018301</v>
      </c>
    </row>
    <row r="26" spans="1:6" x14ac:dyDescent="0.2">
      <c r="A26" t="s">
        <v>6</v>
      </c>
      <c r="B26">
        <v>2049</v>
      </c>
      <c r="C26">
        <v>18361.362000000001</v>
      </c>
      <c r="D26">
        <v>4837252</v>
      </c>
      <c r="E26">
        <v>1669214.7272727271</v>
      </c>
      <c r="F26">
        <v>0.34507499862995089</v>
      </c>
    </row>
    <row r="27" spans="1:6" x14ac:dyDescent="0.2">
      <c r="A27" t="s">
        <v>6</v>
      </c>
      <c r="B27">
        <v>2050</v>
      </c>
      <c r="C27">
        <v>18894.624</v>
      </c>
      <c r="D27">
        <v>4900650</v>
      </c>
      <c r="E27">
        <v>1717693.0909090911</v>
      </c>
      <c r="F27">
        <v>0.35050311507842652</v>
      </c>
    </row>
    <row r="28" spans="1:6" x14ac:dyDescent="0.2">
      <c r="A28" t="s">
        <v>6</v>
      </c>
      <c r="B28">
        <v>2051</v>
      </c>
      <c r="C28">
        <v>19280.946</v>
      </c>
      <c r="D28">
        <v>4964259</v>
      </c>
      <c r="E28">
        <v>1752813.2727272729</v>
      </c>
      <c r="F28">
        <v>0.35308658809447152</v>
      </c>
    </row>
    <row r="29" spans="1:6" x14ac:dyDescent="0.2">
      <c r="A29" t="s">
        <v>6</v>
      </c>
      <c r="B29">
        <v>2052</v>
      </c>
      <c r="C29">
        <v>19675.824000000001</v>
      </c>
      <c r="D29">
        <v>5028072</v>
      </c>
      <c r="E29">
        <v>1788711.2727272729</v>
      </c>
      <c r="F29">
        <v>0.3557449600417959</v>
      </c>
    </row>
    <row r="30" spans="1:6" x14ac:dyDescent="0.2">
      <c r="A30" t="s">
        <v>6</v>
      </c>
      <c r="B30">
        <v>2053</v>
      </c>
      <c r="C30">
        <v>20052.846000000001</v>
      </c>
      <c r="D30">
        <v>5092122</v>
      </c>
      <c r="E30">
        <v>1822986</v>
      </c>
      <c r="F30">
        <v>0.35800124191839872</v>
      </c>
    </row>
    <row r="31" spans="1:6" x14ac:dyDescent="0.2">
      <c r="A31" t="s">
        <v>6</v>
      </c>
      <c r="B31">
        <v>2054</v>
      </c>
      <c r="C31">
        <v>20403.177</v>
      </c>
      <c r="D31">
        <v>5156336</v>
      </c>
      <c r="E31">
        <v>1854834.2727272729</v>
      </c>
      <c r="F31">
        <v>0.35971943502659121</v>
      </c>
    </row>
    <row r="32" spans="1:6" x14ac:dyDescent="0.2">
      <c r="A32" t="s">
        <v>7</v>
      </c>
      <c r="B32">
        <v>2025</v>
      </c>
      <c r="C32">
        <v>341.40300000000002</v>
      </c>
      <c r="D32">
        <v>2117170</v>
      </c>
      <c r="E32">
        <v>31036.63636363636</v>
      </c>
      <c r="F32">
        <v>1.4659491851687091E-2</v>
      </c>
    </row>
    <row r="33" spans="1:6" x14ac:dyDescent="0.2">
      <c r="A33" t="s">
        <v>7</v>
      </c>
      <c r="B33">
        <v>2026</v>
      </c>
      <c r="C33">
        <v>367.35</v>
      </c>
      <c r="D33">
        <v>2143602</v>
      </c>
      <c r="E33">
        <v>33395.454545454537</v>
      </c>
      <c r="F33">
        <v>1.55791301489057E-2</v>
      </c>
    </row>
    <row r="34" spans="1:6" x14ac:dyDescent="0.2">
      <c r="A34" t="s">
        <v>7</v>
      </c>
      <c r="B34">
        <v>2027</v>
      </c>
      <c r="C34">
        <v>563.673</v>
      </c>
      <c r="D34">
        <v>2176290</v>
      </c>
      <c r="E34">
        <v>51243</v>
      </c>
      <c r="F34">
        <v>2.3546034765587309E-2</v>
      </c>
    </row>
    <row r="35" spans="1:6" x14ac:dyDescent="0.2">
      <c r="A35" t="s">
        <v>7</v>
      </c>
      <c r="B35">
        <v>2028</v>
      </c>
      <c r="C35">
        <v>906.37800000000004</v>
      </c>
      <c r="D35">
        <v>2215462</v>
      </c>
      <c r="E35">
        <v>82398</v>
      </c>
      <c r="F35">
        <v>3.719224252097305E-2</v>
      </c>
    </row>
    <row r="36" spans="1:6" x14ac:dyDescent="0.2">
      <c r="A36" t="s">
        <v>7</v>
      </c>
      <c r="B36">
        <v>2029</v>
      </c>
      <c r="C36">
        <v>1224.7170000000001</v>
      </c>
      <c r="D36">
        <v>2258547</v>
      </c>
      <c r="E36">
        <v>111337.9090909091</v>
      </c>
      <c r="F36">
        <v>4.9296255110435637E-2</v>
      </c>
    </row>
    <row r="37" spans="1:6" x14ac:dyDescent="0.2">
      <c r="A37" t="s">
        <v>7</v>
      </c>
      <c r="B37">
        <v>2030</v>
      </c>
      <c r="C37">
        <v>1716.78</v>
      </c>
      <c r="D37">
        <v>2302293</v>
      </c>
      <c r="E37">
        <v>156070.90909090909</v>
      </c>
      <c r="F37">
        <v>6.7789333977434293E-2</v>
      </c>
    </row>
    <row r="38" spans="1:6" x14ac:dyDescent="0.2">
      <c r="A38" t="s">
        <v>7</v>
      </c>
      <c r="B38">
        <v>2031</v>
      </c>
      <c r="C38">
        <v>2262.0390000000002</v>
      </c>
      <c r="D38">
        <v>2345448</v>
      </c>
      <c r="E38">
        <v>205639.90909090909</v>
      </c>
      <c r="F38">
        <v>8.7676174910255561E-2</v>
      </c>
    </row>
    <row r="39" spans="1:6" x14ac:dyDescent="0.2">
      <c r="A39" t="s">
        <v>7</v>
      </c>
      <c r="B39">
        <v>2032</v>
      </c>
      <c r="C39">
        <v>2779.212</v>
      </c>
      <c r="D39">
        <v>2389386</v>
      </c>
      <c r="E39">
        <v>252655.63636363641</v>
      </c>
      <c r="F39">
        <v>0.1057408205972733</v>
      </c>
    </row>
    <row r="40" spans="1:6" x14ac:dyDescent="0.2">
      <c r="A40" t="s">
        <v>7</v>
      </c>
      <c r="B40">
        <v>2033</v>
      </c>
      <c r="C40">
        <v>3326.703</v>
      </c>
      <c r="D40">
        <v>2434699</v>
      </c>
      <c r="E40">
        <v>302427.54545454553</v>
      </c>
      <c r="F40">
        <v>0.1242155787859384</v>
      </c>
    </row>
    <row r="41" spans="1:6" x14ac:dyDescent="0.2">
      <c r="A41" t="s">
        <v>7</v>
      </c>
      <c r="B41">
        <v>2034</v>
      </c>
      <c r="C41">
        <v>3839.6909999999998</v>
      </c>
      <c r="D41">
        <v>2480590</v>
      </c>
      <c r="E41">
        <v>349062.81818181818</v>
      </c>
      <c r="F41">
        <v>0.14071765917858989</v>
      </c>
    </row>
    <row r="42" spans="1:6" x14ac:dyDescent="0.2">
      <c r="A42" t="s">
        <v>7</v>
      </c>
      <c r="B42">
        <v>2035</v>
      </c>
      <c r="C42">
        <v>4307.4809999999998</v>
      </c>
      <c r="D42">
        <v>2526718</v>
      </c>
      <c r="E42">
        <v>391589.18181818182</v>
      </c>
      <c r="F42">
        <v>0.15497937712803009</v>
      </c>
    </row>
    <row r="43" spans="1:6" x14ac:dyDescent="0.2">
      <c r="A43" t="s">
        <v>7</v>
      </c>
      <c r="B43">
        <v>2036</v>
      </c>
      <c r="C43">
        <v>4790.1509999999998</v>
      </c>
      <c r="D43">
        <v>2573000</v>
      </c>
      <c r="E43">
        <v>435468.27272727271</v>
      </c>
      <c r="F43">
        <v>0.16924534501642929</v>
      </c>
    </row>
    <row r="44" spans="1:6" x14ac:dyDescent="0.2">
      <c r="A44" t="s">
        <v>7</v>
      </c>
      <c r="B44">
        <v>2037</v>
      </c>
      <c r="C44">
        <v>5482.4430000000002</v>
      </c>
      <c r="D44">
        <v>2619415</v>
      </c>
      <c r="E44">
        <v>498403.90909090912</v>
      </c>
      <c r="F44">
        <v>0.19027298426973549</v>
      </c>
    </row>
    <row r="45" spans="1:6" x14ac:dyDescent="0.2">
      <c r="A45" t="s">
        <v>7</v>
      </c>
      <c r="B45">
        <v>2038</v>
      </c>
      <c r="C45">
        <v>6384.4500000000007</v>
      </c>
      <c r="D45">
        <v>2665895</v>
      </c>
      <c r="E45">
        <v>580404.54545454553</v>
      </c>
      <c r="F45">
        <v>0.21771470573842761</v>
      </c>
    </row>
    <row r="46" spans="1:6" x14ac:dyDescent="0.2">
      <c r="A46" t="s">
        <v>7</v>
      </c>
      <c r="B46">
        <v>2039</v>
      </c>
      <c r="C46">
        <v>7223.5890000000009</v>
      </c>
      <c r="D46">
        <v>2712378</v>
      </c>
      <c r="E46">
        <v>656689.90909090918</v>
      </c>
      <c r="F46">
        <v>0.24210855164394829</v>
      </c>
    </row>
    <row r="47" spans="1:6" x14ac:dyDescent="0.2">
      <c r="A47" t="s">
        <v>7</v>
      </c>
      <c r="B47">
        <v>2040</v>
      </c>
      <c r="C47">
        <v>7972.6110000000008</v>
      </c>
      <c r="D47">
        <v>2759116</v>
      </c>
      <c r="E47">
        <v>724782.81818181823</v>
      </c>
      <c r="F47">
        <v>0.26268660621076401</v>
      </c>
    </row>
    <row r="48" spans="1:6" x14ac:dyDescent="0.2">
      <c r="A48" t="s">
        <v>7</v>
      </c>
      <c r="B48">
        <v>2041</v>
      </c>
      <c r="C48">
        <v>8733.2580000000016</v>
      </c>
      <c r="D48">
        <v>2806243</v>
      </c>
      <c r="E48">
        <v>793932.54545454565</v>
      </c>
      <c r="F48">
        <v>0.28291653483128348</v>
      </c>
    </row>
    <row r="49" spans="1:6" x14ac:dyDescent="0.2">
      <c r="A49" t="s">
        <v>7</v>
      </c>
      <c r="B49">
        <v>2042</v>
      </c>
      <c r="C49">
        <v>9524.6880000000001</v>
      </c>
      <c r="D49">
        <v>2853686</v>
      </c>
      <c r="E49">
        <v>865880.72727272729</v>
      </c>
      <c r="F49">
        <v>0.30342536889928579</v>
      </c>
    </row>
    <row r="50" spans="1:6" x14ac:dyDescent="0.2">
      <c r="A50" t="s">
        <v>7</v>
      </c>
      <c r="B50">
        <v>2043</v>
      </c>
      <c r="C50">
        <v>10355.736000000001</v>
      </c>
      <c r="D50">
        <v>2901540</v>
      </c>
      <c r="E50">
        <v>941430.54545454541</v>
      </c>
      <c r="F50">
        <v>0.32445892369381268</v>
      </c>
    </row>
    <row r="51" spans="1:6" x14ac:dyDescent="0.2">
      <c r="A51" t="s">
        <v>7</v>
      </c>
      <c r="B51">
        <v>2044</v>
      </c>
      <c r="C51">
        <v>11140.377</v>
      </c>
      <c r="D51">
        <v>2949443</v>
      </c>
      <c r="E51">
        <v>1012761.5454545449</v>
      </c>
      <c r="F51">
        <v>0.34337383209458378</v>
      </c>
    </row>
    <row r="52" spans="1:6" x14ac:dyDescent="0.2">
      <c r="A52" t="s">
        <v>7</v>
      </c>
      <c r="B52">
        <v>2045</v>
      </c>
      <c r="C52">
        <v>11812.674000000001</v>
      </c>
      <c r="D52">
        <v>2997586</v>
      </c>
      <c r="E52">
        <v>1073879.4545454551</v>
      </c>
      <c r="F52">
        <v>0.35824808847701273</v>
      </c>
    </row>
    <row r="53" spans="1:6" x14ac:dyDescent="0.2">
      <c r="A53" t="s">
        <v>7</v>
      </c>
      <c r="B53">
        <v>2046</v>
      </c>
      <c r="C53">
        <v>12423.963</v>
      </c>
      <c r="D53">
        <v>3045780</v>
      </c>
      <c r="E53">
        <v>1129451.1818181821</v>
      </c>
      <c r="F53">
        <v>0.37082493870804262</v>
      </c>
    </row>
    <row r="54" spans="1:6" x14ac:dyDescent="0.2">
      <c r="A54" t="s">
        <v>7</v>
      </c>
      <c r="B54">
        <v>2047</v>
      </c>
      <c r="C54">
        <v>13151.781000000001</v>
      </c>
      <c r="D54">
        <v>3093985</v>
      </c>
      <c r="E54">
        <v>1195616.4545454551</v>
      </c>
      <c r="F54">
        <v>0.38643253103859732</v>
      </c>
    </row>
    <row r="55" spans="1:6" x14ac:dyDescent="0.2">
      <c r="A55" t="s">
        <v>7</v>
      </c>
      <c r="B55">
        <v>2048</v>
      </c>
      <c r="C55">
        <v>13849.839</v>
      </c>
      <c r="D55">
        <v>3142320</v>
      </c>
      <c r="E55">
        <v>1259076.2727272729</v>
      </c>
      <c r="F55">
        <v>0.40068365816570961</v>
      </c>
    </row>
    <row r="56" spans="1:6" x14ac:dyDescent="0.2">
      <c r="A56" t="s">
        <v>7</v>
      </c>
      <c r="B56">
        <v>2049</v>
      </c>
      <c r="C56">
        <v>14327.766</v>
      </c>
      <c r="D56">
        <v>3190682</v>
      </c>
      <c r="E56">
        <v>1302524.1818181821</v>
      </c>
      <c r="F56">
        <v>0.40822751431141741</v>
      </c>
    </row>
    <row r="57" spans="1:6" x14ac:dyDescent="0.2">
      <c r="A57" t="s">
        <v>7</v>
      </c>
      <c r="B57">
        <v>2050</v>
      </c>
      <c r="C57">
        <v>14641.361999999999</v>
      </c>
      <c r="D57">
        <v>3239062</v>
      </c>
      <c r="E57">
        <v>1331032.9090909089</v>
      </c>
      <c r="F57">
        <v>0.41093159349555802</v>
      </c>
    </row>
    <row r="58" spans="1:6" x14ac:dyDescent="0.2">
      <c r="A58" t="s">
        <v>7</v>
      </c>
      <c r="B58">
        <v>2051</v>
      </c>
      <c r="C58">
        <v>14911.806</v>
      </c>
      <c r="D58">
        <v>3287461</v>
      </c>
      <c r="E58">
        <v>1355618.727272728</v>
      </c>
      <c r="F58">
        <v>0.41236039827475601</v>
      </c>
    </row>
    <row r="59" spans="1:6" x14ac:dyDescent="0.2">
      <c r="A59" t="s">
        <v>7</v>
      </c>
      <c r="B59">
        <v>2052</v>
      </c>
      <c r="C59">
        <v>15188.295</v>
      </c>
      <c r="D59">
        <v>3335869</v>
      </c>
      <c r="E59">
        <v>1380754.0909090911</v>
      </c>
      <c r="F59">
        <v>0.41391136489744978</v>
      </c>
    </row>
    <row r="60" spans="1:6" x14ac:dyDescent="0.2">
      <c r="A60" t="s">
        <v>7</v>
      </c>
      <c r="B60">
        <v>2053</v>
      </c>
      <c r="C60">
        <v>15471.48</v>
      </c>
      <c r="D60">
        <v>3384276</v>
      </c>
      <c r="E60">
        <v>1406498.1818181821</v>
      </c>
      <c r="F60">
        <v>0.41559795413204542</v>
      </c>
    </row>
    <row r="61" spans="1:6" x14ac:dyDescent="0.2">
      <c r="A61" t="s">
        <v>7</v>
      </c>
      <c r="B61">
        <v>2054</v>
      </c>
      <c r="C61">
        <v>15737.832</v>
      </c>
      <c r="D61">
        <v>3432719</v>
      </c>
      <c r="E61">
        <v>1430712</v>
      </c>
      <c r="F61">
        <v>0.41678680952329628</v>
      </c>
    </row>
    <row r="62" spans="1:6" x14ac:dyDescent="0.2">
      <c r="A62" t="s">
        <v>8</v>
      </c>
      <c r="B62">
        <v>2025</v>
      </c>
      <c r="C62">
        <v>442.95900000000012</v>
      </c>
      <c r="D62">
        <v>821895</v>
      </c>
      <c r="E62">
        <v>40269.000000000007</v>
      </c>
      <c r="F62">
        <v>4.8995309619841963E-2</v>
      </c>
    </row>
    <row r="63" spans="1:6" x14ac:dyDescent="0.2">
      <c r="A63" t="s">
        <v>8</v>
      </c>
      <c r="B63">
        <v>2026</v>
      </c>
      <c r="C63">
        <v>469.27800000000002</v>
      </c>
      <c r="D63">
        <v>830761</v>
      </c>
      <c r="E63">
        <v>42661.63636363636</v>
      </c>
      <c r="F63">
        <v>5.1352478466895238E-2</v>
      </c>
    </row>
    <row r="64" spans="1:6" x14ac:dyDescent="0.2">
      <c r="A64" t="s">
        <v>8</v>
      </c>
      <c r="B64">
        <v>2027</v>
      </c>
      <c r="C64">
        <v>611.28899999999999</v>
      </c>
      <c r="D64">
        <v>840841</v>
      </c>
      <c r="E64">
        <v>55571.727272727272</v>
      </c>
      <c r="F64">
        <v>6.609064885362069E-2</v>
      </c>
    </row>
    <row r="65" spans="1:6" x14ac:dyDescent="0.2">
      <c r="A65" t="s">
        <v>8</v>
      </c>
      <c r="B65">
        <v>2028</v>
      </c>
      <c r="C65">
        <v>765.1110000000001</v>
      </c>
      <c r="D65">
        <v>851568</v>
      </c>
      <c r="E65">
        <v>69555.54545454547</v>
      </c>
      <c r="F65">
        <v>8.1679379044944697E-2</v>
      </c>
    </row>
    <row r="66" spans="1:6" x14ac:dyDescent="0.2">
      <c r="A66" t="s">
        <v>8</v>
      </c>
      <c r="B66">
        <v>2029</v>
      </c>
      <c r="C66">
        <v>917.63100000000009</v>
      </c>
      <c r="D66">
        <v>862076</v>
      </c>
      <c r="E66">
        <v>83421.000000000015</v>
      </c>
      <c r="F66">
        <v>9.6767570376625742E-2</v>
      </c>
    </row>
    <row r="67" spans="1:6" x14ac:dyDescent="0.2">
      <c r="A67" t="s">
        <v>8</v>
      </c>
      <c r="B67">
        <v>2030</v>
      </c>
      <c r="C67">
        <v>1154.4090000000001</v>
      </c>
      <c r="D67">
        <v>871800</v>
      </c>
      <c r="E67">
        <v>104946.27272727271</v>
      </c>
      <c r="F67">
        <v>0.1203788400175186</v>
      </c>
    </row>
    <row r="68" spans="1:6" x14ac:dyDescent="0.2">
      <c r="A68" t="s">
        <v>8</v>
      </c>
      <c r="B68">
        <v>2031</v>
      </c>
      <c r="C68">
        <v>1397.79</v>
      </c>
      <c r="D68">
        <v>880568</v>
      </c>
      <c r="E68">
        <v>127071.81818181821</v>
      </c>
      <c r="F68">
        <v>0.14430665000524451</v>
      </c>
    </row>
    <row r="69" spans="1:6" x14ac:dyDescent="0.2">
      <c r="A69" t="s">
        <v>8</v>
      </c>
      <c r="B69">
        <v>2032</v>
      </c>
      <c r="C69">
        <v>1634.4749999999999</v>
      </c>
      <c r="D69">
        <v>888717</v>
      </c>
      <c r="E69">
        <v>148588.63636363641</v>
      </c>
      <c r="F69">
        <v>0.16719454715464699</v>
      </c>
    </row>
    <row r="70" spans="1:6" x14ac:dyDescent="0.2">
      <c r="A70" t="s">
        <v>8</v>
      </c>
      <c r="B70">
        <v>2033</v>
      </c>
      <c r="C70">
        <v>1870.6020000000001</v>
      </c>
      <c r="D70">
        <v>896792</v>
      </c>
      <c r="E70">
        <v>170054.72727272729</v>
      </c>
      <c r="F70">
        <v>0.18962560691077451</v>
      </c>
    </row>
    <row r="71" spans="1:6" x14ac:dyDescent="0.2">
      <c r="A71" t="s">
        <v>8</v>
      </c>
      <c r="B71">
        <v>2034</v>
      </c>
      <c r="C71">
        <v>2088.5010000000002</v>
      </c>
      <c r="D71">
        <v>904707</v>
      </c>
      <c r="E71">
        <v>189863.72727272729</v>
      </c>
      <c r="F71">
        <v>0.20986211809207539</v>
      </c>
    </row>
    <row r="72" spans="1:6" x14ac:dyDescent="0.2">
      <c r="A72" t="s">
        <v>8</v>
      </c>
      <c r="B72">
        <v>2035</v>
      </c>
      <c r="C72">
        <v>2279.058</v>
      </c>
      <c r="D72">
        <v>912509</v>
      </c>
      <c r="E72">
        <v>207187.09090909091</v>
      </c>
      <c r="F72">
        <v>0.22705210678370399</v>
      </c>
    </row>
    <row r="73" spans="1:6" x14ac:dyDescent="0.2">
      <c r="A73" t="s">
        <v>8</v>
      </c>
      <c r="B73">
        <v>2036</v>
      </c>
      <c r="C73">
        <v>2473.056</v>
      </c>
      <c r="D73">
        <v>920260</v>
      </c>
      <c r="E73">
        <v>224823.27272727271</v>
      </c>
      <c r="F73">
        <v>0.24430408007223259</v>
      </c>
    </row>
    <row r="74" spans="1:6" x14ac:dyDescent="0.2">
      <c r="A74" t="s">
        <v>8</v>
      </c>
      <c r="B74">
        <v>2037</v>
      </c>
      <c r="C74">
        <v>2785.35</v>
      </c>
      <c r="D74">
        <v>927961</v>
      </c>
      <c r="E74">
        <v>253213.63636363641</v>
      </c>
      <c r="F74">
        <v>0.27287098958214451</v>
      </c>
    </row>
    <row r="75" spans="1:6" x14ac:dyDescent="0.2">
      <c r="A75" t="s">
        <v>8</v>
      </c>
      <c r="B75">
        <v>2038</v>
      </c>
      <c r="C75">
        <v>3129.45</v>
      </c>
      <c r="D75">
        <v>935591</v>
      </c>
      <c r="E75">
        <v>284495.45454545459</v>
      </c>
      <c r="F75">
        <v>0.30408100820278788</v>
      </c>
    </row>
    <row r="76" spans="1:6" x14ac:dyDescent="0.2">
      <c r="A76" t="s">
        <v>8</v>
      </c>
      <c r="B76">
        <v>2039</v>
      </c>
      <c r="C76">
        <v>3485.547</v>
      </c>
      <c r="D76">
        <v>943128</v>
      </c>
      <c r="E76">
        <v>316867.90909090912</v>
      </c>
      <c r="F76">
        <v>0.33597550819285299</v>
      </c>
    </row>
    <row r="77" spans="1:6" x14ac:dyDescent="0.2">
      <c r="A77" t="s">
        <v>8</v>
      </c>
      <c r="B77">
        <v>2040</v>
      </c>
      <c r="C77">
        <v>3818.58</v>
      </c>
      <c r="D77">
        <v>950652</v>
      </c>
      <c r="E77">
        <v>347143.63636363641</v>
      </c>
      <c r="F77">
        <v>0.3651637364289313</v>
      </c>
    </row>
    <row r="78" spans="1:6" x14ac:dyDescent="0.2">
      <c r="A78" t="s">
        <v>8</v>
      </c>
      <c r="B78">
        <v>2041</v>
      </c>
      <c r="C78">
        <v>4138.6859999999997</v>
      </c>
      <c r="D78">
        <v>958194</v>
      </c>
      <c r="E78">
        <v>376244.18181818182</v>
      </c>
      <c r="F78">
        <v>0.39265971381388498</v>
      </c>
    </row>
    <row r="79" spans="1:6" x14ac:dyDescent="0.2">
      <c r="A79" t="s">
        <v>8</v>
      </c>
      <c r="B79">
        <v>2042</v>
      </c>
      <c r="C79">
        <v>4446.5159999999996</v>
      </c>
      <c r="D79">
        <v>965776</v>
      </c>
      <c r="E79">
        <v>404228.72727272729</v>
      </c>
      <c r="F79">
        <v>0.41855329524934071</v>
      </c>
    </row>
    <row r="80" spans="1:6" x14ac:dyDescent="0.2">
      <c r="A80" t="s">
        <v>8</v>
      </c>
      <c r="B80">
        <v>2043</v>
      </c>
      <c r="C80">
        <v>4739.0940000000001</v>
      </c>
      <c r="D80">
        <v>973294</v>
      </c>
      <c r="E80">
        <v>430826.72727272729</v>
      </c>
      <c r="F80">
        <v>0.44264808708645831</v>
      </c>
    </row>
    <row r="81" spans="1:6" x14ac:dyDescent="0.2">
      <c r="A81" t="s">
        <v>8</v>
      </c>
      <c r="B81">
        <v>2044</v>
      </c>
      <c r="C81">
        <v>5003.0280000000002</v>
      </c>
      <c r="D81">
        <v>980787</v>
      </c>
      <c r="E81">
        <v>454820.72727272729</v>
      </c>
      <c r="F81">
        <v>0.4637303790453251</v>
      </c>
    </row>
    <row r="82" spans="1:6" x14ac:dyDescent="0.2">
      <c r="A82" t="s">
        <v>8</v>
      </c>
      <c r="B82">
        <v>2045</v>
      </c>
      <c r="C82">
        <v>5231.9940000000006</v>
      </c>
      <c r="D82">
        <v>988271</v>
      </c>
      <c r="E82">
        <v>475635.81818181829</v>
      </c>
      <c r="F82">
        <v>0.48128076021842009</v>
      </c>
    </row>
    <row r="83" spans="1:6" x14ac:dyDescent="0.2">
      <c r="A83" t="s">
        <v>8</v>
      </c>
      <c r="B83">
        <v>2046</v>
      </c>
      <c r="C83">
        <v>5430.8280000000004</v>
      </c>
      <c r="D83">
        <v>995717</v>
      </c>
      <c r="E83">
        <v>493711.63636363641</v>
      </c>
      <c r="F83">
        <v>0.49583529894903511</v>
      </c>
    </row>
    <row r="84" spans="1:6" x14ac:dyDescent="0.2">
      <c r="A84" t="s">
        <v>8</v>
      </c>
      <c r="B84">
        <v>2047</v>
      </c>
      <c r="C84">
        <v>5694.0180000000009</v>
      </c>
      <c r="D84">
        <v>1003167</v>
      </c>
      <c r="E84">
        <v>517638.00000000012</v>
      </c>
      <c r="F84">
        <v>0.51600381591499722</v>
      </c>
    </row>
    <row r="85" spans="1:6" x14ac:dyDescent="0.2">
      <c r="A85" t="s">
        <v>8</v>
      </c>
      <c r="B85">
        <v>2048</v>
      </c>
      <c r="C85">
        <v>5911.1730000000007</v>
      </c>
      <c r="D85">
        <v>1010577</v>
      </c>
      <c r="E85">
        <v>537379.36363636376</v>
      </c>
      <c r="F85">
        <v>0.53175499109554614</v>
      </c>
    </row>
    <row r="86" spans="1:6" x14ac:dyDescent="0.2">
      <c r="A86" t="s">
        <v>8</v>
      </c>
      <c r="B86">
        <v>2049</v>
      </c>
      <c r="C86">
        <v>6064.0650000000014</v>
      </c>
      <c r="D86">
        <v>1017968</v>
      </c>
      <c r="E86">
        <v>551278.63636363647</v>
      </c>
      <c r="F86">
        <v>0.54154810010102128</v>
      </c>
    </row>
    <row r="87" spans="1:6" x14ac:dyDescent="0.2">
      <c r="A87" t="s">
        <v>8</v>
      </c>
      <c r="B87">
        <v>2050</v>
      </c>
      <c r="C87">
        <v>6204.4949999999999</v>
      </c>
      <c r="D87">
        <v>1025379</v>
      </c>
      <c r="E87">
        <v>564045</v>
      </c>
      <c r="F87">
        <v>0.5500844078140863</v>
      </c>
    </row>
    <row r="88" spans="1:6" x14ac:dyDescent="0.2">
      <c r="A88" t="s">
        <v>8</v>
      </c>
      <c r="B88">
        <v>2051</v>
      </c>
      <c r="C88">
        <v>6338.2290000000003</v>
      </c>
      <c r="D88">
        <v>1032778</v>
      </c>
      <c r="E88">
        <v>576202.63636363635</v>
      </c>
      <c r="F88">
        <v>0.55791528902013443</v>
      </c>
    </row>
    <row r="89" spans="1:6" x14ac:dyDescent="0.2">
      <c r="A89" t="s">
        <v>8</v>
      </c>
      <c r="B89">
        <v>2052</v>
      </c>
      <c r="C89">
        <v>6464.616</v>
      </c>
      <c r="D89">
        <v>1040196</v>
      </c>
      <c r="E89">
        <v>587692.36363636365</v>
      </c>
      <c r="F89">
        <v>0.56498233374898932</v>
      </c>
    </row>
    <row r="90" spans="1:6" x14ac:dyDescent="0.2">
      <c r="A90" t="s">
        <v>8</v>
      </c>
      <c r="B90">
        <v>2053</v>
      </c>
      <c r="C90">
        <v>6579.0060000000003</v>
      </c>
      <c r="D90">
        <v>1047616</v>
      </c>
      <c r="E90">
        <v>598091.45454545459</v>
      </c>
      <c r="F90">
        <v>0.57090714015961441</v>
      </c>
    </row>
    <row r="91" spans="1:6" x14ac:dyDescent="0.2">
      <c r="A91" t="s">
        <v>8</v>
      </c>
      <c r="B91">
        <v>2054</v>
      </c>
      <c r="C91">
        <v>6683.9100000000008</v>
      </c>
      <c r="D91">
        <v>1055042</v>
      </c>
      <c r="E91">
        <v>607628.18181818188</v>
      </c>
      <c r="F91">
        <v>0.5759279553024258</v>
      </c>
    </row>
    <row r="92" spans="1:6" x14ac:dyDescent="0.2">
      <c r="A92" t="s">
        <v>9</v>
      </c>
      <c r="B92">
        <v>2025</v>
      </c>
      <c r="C92">
        <v>48.731999999999999</v>
      </c>
      <c r="D92">
        <v>264134</v>
      </c>
      <c r="E92">
        <v>4430.181818181818</v>
      </c>
      <c r="F92">
        <v>1.67724784320906E-2</v>
      </c>
    </row>
    <row r="93" spans="1:6" x14ac:dyDescent="0.2">
      <c r="A93" t="s">
        <v>9</v>
      </c>
      <c r="B93">
        <v>2026</v>
      </c>
      <c r="C93">
        <v>52.823999999999998</v>
      </c>
      <c r="D93">
        <v>266967</v>
      </c>
      <c r="E93">
        <v>4802.181818181818</v>
      </c>
      <c r="F93">
        <v>1.7987922919993179E-2</v>
      </c>
    </row>
    <row r="94" spans="1:6" x14ac:dyDescent="0.2">
      <c r="A94" t="s">
        <v>9</v>
      </c>
      <c r="B94">
        <v>2027</v>
      </c>
      <c r="C94">
        <v>60.171000000000006</v>
      </c>
      <c r="D94">
        <v>269696</v>
      </c>
      <c r="E94">
        <v>5470.0909090909099</v>
      </c>
      <c r="F94">
        <v>2.028243247616171E-2</v>
      </c>
    </row>
    <row r="95" spans="1:6" x14ac:dyDescent="0.2">
      <c r="A95" t="s">
        <v>9</v>
      </c>
      <c r="B95">
        <v>2028</v>
      </c>
      <c r="C95">
        <v>85.746000000000009</v>
      </c>
      <c r="D95">
        <v>272248</v>
      </c>
      <c r="E95">
        <v>7795.0909090909108</v>
      </c>
      <c r="F95">
        <v>2.8632316524238598E-2</v>
      </c>
    </row>
    <row r="96" spans="1:6" x14ac:dyDescent="0.2">
      <c r="A96" t="s">
        <v>9</v>
      </c>
      <c r="B96">
        <v>2029</v>
      </c>
      <c r="C96">
        <v>111.879</v>
      </c>
      <c r="D96">
        <v>274658</v>
      </c>
      <c r="E96">
        <v>10170.81818181818</v>
      </c>
      <c r="F96">
        <v>3.7030846295459018E-2</v>
      </c>
    </row>
    <row r="97" spans="1:6" x14ac:dyDescent="0.2">
      <c r="A97" t="s">
        <v>9</v>
      </c>
      <c r="B97">
        <v>2030</v>
      </c>
      <c r="C97">
        <v>154.101</v>
      </c>
      <c r="D97">
        <v>276823</v>
      </c>
      <c r="E97">
        <v>14009.18181818182</v>
      </c>
      <c r="F97">
        <v>5.0607000929047873E-2</v>
      </c>
    </row>
    <row r="98" spans="1:6" x14ac:dyDescent="0.2">
      <c r="A98" t="s">
        <v>9</v>
      </c>
      <c r="B98">
        <v>2031</v>
      </c>
      <c r="C98">
        <v>199.76400000000001</v>
      </c>
      <c r="D98">
        <v>278671</v>
      </c>
      <c r="E98">
        <v>18160.36363636364</v>
      </c>
      <c r="F98">
        <v>6.5167755655822224E-2</v>
      </c>
    </row>
    <row r="99" spans="1:6" x14ac:dyDescent="0.2">
      <c r="A99" t="s">
        <v>9</v>
      </c>
      <c r="B99">
        <v>2032</v>
      </c>
      <c r="C99">
        <v>246.17099999999999</v>
      </c>
      <c r="D99">
        <v>280324</v>
      </c>
      <c r="E99">
        <v>22379.18181818182</v>
      </c>
      <c r="F99">
        <v>7.9833270851521171E-2</v>
      </c>
    </row>
    <row r="100" spans="1:6" x14ac:dyDescent="0.2">
      <c r="A100" t="s">
        <v>9</v>
      </c>
      <c r="B100">
        <v>2033</v>
      </c>
      <c r="C100">
        <v>295.55399999999997</v>
      </c>
      <c r="D100">
        <v>281942</v>
      </c>
      <c r="E100">
        <v>26868.54545454546</v>
      </c>
      <c r="F100">
        <v>9.5298130305330381E-2</v>
      </c>
    </row>
    <row r="101" spans="1:6" x14ac:dyDescent="0.2">
      <c r="A101" t="s">
        <v>9</v>
      </c>
      <c r="B101">
        <v>2034</v>
      </c>
      <c r="C101">
        <v>342.51900000000001</v>
      </c>
      <c r="D101">
        <v>283489</v>
      </c>
      <c r="E101">
        <v>31138.090909090912</v>
      </c>
      <c r="F101">
        <v>0.1098387976573726</v>
      </c>
    </row>
    <row r="102" spans="1:6" x14ac:dyDescent="0.2">
      <c r="A102" t="s">
        <v>9</v>
      </c>
      <c r="B102">
        <v>2035</v>
      </c>
      <c r="C102">
        <v>387.06599999999997</v>
      </c>
      <c r="D102">
        <v>284984</v>
      </c>
      <c r="E102">
        <v>35187.818181818177</v>
      </c>
      <c r="F102">
        <v>0.1234729605234616</v>
      </c>
    </row>
    <row r="103" spans="1:6" x14ac:dyDescent="0.2">
      <c r="A103" t="s">
        <v>9</v>
      </c>
      <c r="B103">
        <v>2036</v>
      </c>
      <c r="C103">
        <v>431.892</v>
      </c>
      <c r="D103">
        <v>286443</v>
      </c>
      <c r="E103">
        <v>39262.909090909088</v>
      </c>
      <c r="F103">
        <v>0.13707058329548669</v>
      </c>
    </row>
    <row r="104" spans="1:6" x14ac:dyDescent="0.2">
      <c r="A104" t="s">
        <v>9</v>
      </c>
      <c r="B104">
        <v>2037</v>
      </c>
      <c r="C104">
        <v>482.48399999999998</v>
      </c>
      <c r="D104">
        <v>287867</v>
      </c>
      <c r="E104">
        <v>43862.181818181823</v>
      </c>
      <c r="F104">
        <v>0.15236960755550941</v>
      </c>
    </row>
    <row r="105" spans="1:6" x14ac:dyDescent="0.2">
      <c r="A105" t="s">
        <v>9</v>
      </c>
      <c r="B105">
        <v>2038</v>
      </c>
      <c r="C105">
        <v>557.25600000000009</v>
      </c>
      <c r="D105">
        <v>289249</v>
      </c>
      <c r="E105">
        <v>50659.636363636368</v>
      </c>
      <c r="F105">
        <v>0.17514195853273951</v>
      </c>
    </row>
    <row r="106" spans="1:6" x14ac:dyDescent="0.2">
      <c r="A106" t="s">
        <v>9</v>
      </c>
      <c r="B106">
        <v>2039</v>
      </c>
      <c r="C106">
        <v>634.44600000000003</v>
      </c>
      <c r="D106">
        <v>290587</v>
      </c>
      <c r="E106">
        <v>57676.909090909088</v>
      </c>
      <c r="F106">
        <v>0.19848413415228169</v>
      </c>
    </row>
    <row r="107" spans="1:6" x14ac:dyDescent="0.2">
      <c r="A107" t="s">
        <v>9</v>
      </c>
      <c r="B107">
        <v>2040</v>
      </c>
      <c r="C107">
        <v>708.93899999999996</v>
      </c>
      <c r="D107">
        <v>291920</v>
      </c>
      <c r="E107">
        <v>64449</v>
      </c>
      <c r="F107">
        <v>0.22077624006577151</v>
      </c>
    </row>
    <row r="108" spans="1:6" x14ac:dyDescent="0.2">
      <c r="A108" t="s">
        <v>9</v>
      </c>
      <c r="B108">
        <v>2041</v>
      </c>
      <c r="C108">
        <v>783.99</v>
      </c>
      <c r="D108">
        <v>293237</v>
      </c>
      <c r="E108">
        <v>71271.818181818177</v>
      </c>
      <c r="F108">
        <v>0.2430519279007021</v>
      </c>
    </row>
    <row r="109" spans="1:6" x14ac:dyDescent="0.2">
      <c r="A109" t="s">
        <v>9</v>
      </c>
      <c r="B109">
        <v>2042</v>
      </c>
      <c r="C109">
        <v>859.50600000000009</v>
      </c>
      <c r="D109">
        <v>294547</v>
      </c>
      <c r="E109">
        <v>78136.909090909103</v>
      </c>
      <c r="F109">
        <v>0.26527823773764148</v>
      </c>
    </row>
    <row r="110" spans="1:6" x14ac:dyDescent="0.2">
      <c r="A110" t="s">
        <v>9</v>
      </c>
      <c r="B110">
        <v>2043</v>
      </c>
      <c r="C110">
        <v>937.16100000000006</v>
      </c>
      <c r="D110">
        <v>295825</v>
      </c>
      <c r="E110">
        <v>85196.454545454544</v>
      </c>
      <c r="F110">
        <v>0.28799612793190082</v>
      </c>
    </row>
    <row r="111" spans="1:6" x14ac:dyDescent="0.2">
      <c r="A111" t="s">
        <v>9</v>
      </c>
      <c r="B111">
        <v>2044</v>
      </c>
      <c r="C111">
        <v>1011.468</v>
      </c>
      <c r="D111">
        <v>297054</v>
      </c>
      <c r="E111">
        <v>91951.636363636368</v>
      </c>
      <c r="F111">
        <v>0.30954518829450661</v>
      </c>
    </row>
    <row r="112" spans="1:6" x14ac:dyDescent="0.2">
      <c r="A112" t="s">
        <v>9</v>
      </c>
      <c r="B112">
        <v>2045</v>
      </c>
      <c r="C112">
        <v>1080.1949999999999</v>
      </c>
      <c r="D112">
        <v>298292</v>
      </c>
      <c r="E112">
        <v>98199.54545454547</v>
      </c>
      <c r="F112">
        <v>0.32920609823443292</v>
      </c>
    </row>
    <row r="113" spans="1:6" x14ac:dyDescent="0.2">
      <c r="A113" t="s">
        <v>9</v>
      </c>
      <c r="B113">
        <v>2046</v>
      </c>
      <c r="C113">
        <v>1143.9929999999999</v>
      </c>
      <c r="D113">
        <v>299505</v>
      </c>
      <c r="E113">
        <v>103999.3636363636</v>
      </c>
      <c r="F113">
        <v>0.34723748730860471</v>
      </c>
    </row>
    <row r="114" spans="1:6" x14ac:dyDescent="0.2">
      <c r="A114" t="s">
        <v>9</v>
      </c>
      <c r="B114">
        <v>2047</v>
      </c>
      <c r="C114">
        <v>1207.9770000000001</v>
      </c>
      <c r="D114">
        <v>300715</v>
      </c>
      <c r="E114">
        <v>109816.0909090909</v>
      </c>
      <c r="F114">
        <v>0.36518328287278962</v>
      </c>
    </row>
    <row r="115" spans="1:6" x14ac:dyDescent="0.2">
      <c r="A115" t="s">
        <v>9</v>
      </c>
      <c r="B115">
        <v>2048</v>
      </c>
      <c r="C115">
        <v>1269.357</v>
      </c>
      <c r="D115">
        <v>301921</v>
      </c>
      <c r="E115">
        <v>115396.0909090909</v>
      </c>
      <c r="F115">
        <v>0.38220624239152268</v>
      </c>
    </row>
    <row r="116" spans="1:6" x14ac:dyDescent="0.2">
      <c r="A116" t="s">
        <v>9</v>
      </c>
      <c r="B116">
        <v>2049</v>
      </c>
      <c r="C116">
        <v>1311.579</v>
      </c>
      <c r="D116">
        <v>303120</v>
      </c>
      <c r="E116">
        <v>119234.4545454545</v>
      </c>
      <c r="F116">
        <v>0.39335726624919032</v>
      </c>
    </row>
    <row r="117" spans="1:6" x14ac:dyDescent="0.2">
      <c r="A117" t="s">
        <v>9</v>
      </c>
      <c r="B117">
        <v>2050</v>
      </c>
      <c r="C117">
        <v>1338.1769999999999</v>
      </c>
      <c r="D117">
        <v>304340</v>
      </c>
      <c r="E117">
        <v>121652.4545454546</v>
      </c>
      <c r="F117">
        <v>0.39972548644757372</v>
      </c>
    </row>
    <row r="118" spans="1:6" x14ac:dyDescent="0.2">
      <c r="A118" t="s">
        <v>9</v>
      </c>
      <c r="B118">
        <v>2051</v>
      </c>
      <c r="C118">
        <v>1361.799</v>
      </c>
      <c r="D118">
        <v>305573</v>
      </c>
      <c r="E118">
        <v>123799.9090909091</v>
      </c>
      <c r="F118">
        <v>0.40514020902013298</v>
      </c>
    </row>
    <row r="119" spans="1:6" x14ac:dyDescent="0.2">
      <c r="A119" t="s">
        <v>9</v>
      </c>
      <c r="B119">
        <v>2052</v>
      </c>
      <c r="C119">
        <v>1385.2349999999999</v>
      </c>
      <c r="D119">
        <v>306830</v>
      </c>
      <c r="E119">
        <v>125930.4545454546</v>
      </c>
      <c r="F119">
        <v>0.410424191068196</v>
      </c>
    </row>
    <row r="120" spans="1:6" x14ac:dyDescent="0.2">
      <c r="A120" t="s">
        <v>9</v>
      </c>
      <c r="B120">
        <v>2053</v>
      </c>
      <c r="C120">
        <v>1408.671</v>
      </c>
      <c r="D120">
        <v>308093</v>
      </c>
      <c r="E120">
        <v>128061</v>
      </c>
      <c r="F120">
        <v>0.41565696072289859</v>
      </c>
    </row>
    <row r="121" spans="1:6" x14ac:dyDescent="0.2">
      <c r="A121" t="s">
        <v>9</v>
      </c>
      <c r="B121">
        <v>2054</v>
      </c>
      <c r="C121">
        <v>1431.549</v>
      </c>
      <c r="D121">
        <v>309365</v>
      </c>
      <c r="E121">
        <v>130140.81818181821</v>
      </c>
      <c r="F121">
        <v>0.4206707875222413</v>
      </c>
    </row>
    <row r="122" spans="1:6" x14ac:dyDescent="0.2">
      <c r="A122" t="s">
        <v>10</v>
      </c>
      <c r="B122">
        <v>2025</v>
      </c>
      <c r="C122">
        <v>573.81000000000006</v>
      </c>
      <c r="D122">
        <v>2848457</v>
      </c>
      <c r="E122">
        <v>52164.545454545463</v>
      </c>
      <c r="F122">
        <v>1.8313264147763322E-2</v>
      </c>
    </row>
    <row r="123" spans="1:6" x14ac:dyDescent="0.2">
      <c r="A123" t="s">
        <v>10</v>
      </c>
      <c r="B123">
        <v>2026</v>
      </c>
      <c r="C123">
        <v>618.17100000000005</v>
      </c>
      <c r="D123">
        <v>2896208</v>
      </c>
      <c r="E123">
        <v>56197.36363636364</v>
      </c>
      <c r="F123">
        <v>1.9403773360326209E-2</v>
      </c>
    </row>
    <row r="124" spans="1:6" x14ac:dyDescent="0.2">
      <c r="A124" t="s">
        <v>10</v>
      </c>
      <c r="B124">
        <v>2027</v>
      </c>
      <c r="C124">
        <v>793.197</v>
      </c>
      <c r="D124">
        <v>2950745</v>
      </c>
      <c r="E124">
        <v>72108.818181818177</v>
      </c>
      <c r="F124">
        <v>2.4437495677131771E-2</v>
      </c>
    </row>
    <row r="125" spans="1:6" x14ac:dyDescent="0.2">
      <c r="A125" t="s">
        <v>10</v>
      </c>
      <c r="B125">
        <v>2028</v>
      </c>
      <c r="C125">
        <v>1265.73</v>
      </c>
      <c r="D125">
        <v>3012273</v>
      </c>
      <c r="E125">
        <v>115066.3636363636</v>
      </c>
      <c r="F125">
        <v>3.8199181693147878E-2</v>
      </c>
    </row>
    <row r="126" spans="1:6" x14ac:dyDescent="0.2">
      <c r="A126" t="s">
        <v>10</v>
      </c>
      <c r="B126">
        <v>2029</v>
      </c>
      <c r="C126">
        <v>1608.1559999999999</v>
      </c>
      <c r="D126">
        <v>3077194</v>
      </c>
      <c r="E126">
        <v>146196</v>
      </c>
      <c r="F126">
        <v>4.7509516787046908E-2</v>
      </c>
    </row>
    <row r="127" spans="1:6" x14ac:dyDescent="0.2">
      <c r="A127" t="s">
        <v>10</v>
      </c>
      <c r="B127">
        <v>2030</v>
      </c>
      <c r="C127">
        <v>2110.3560000000002</v>
      </c>
      <c r="D127">
        <v>3141081</v>
      </c>
      <c r="E127">
        <v>191850.54545454541</v>
      </c>
      <c r="F127">
        <v>6.1077872698776452E-2</v>
      </c>
    </row>
    <row r="128" spans="1:6" x14ac:dyDescent="0.2">
      <c r="A128" t="s">
        <v>10</v>
      </c>
      <c r="B128">
        <v>2031</v>
      </c>
      <c r="C128">
        <v>2689.8389999999999</v>
      </c>
      <c r="D128">
        <v>3202041</v>
      </c>
      <c r="E128">
        <v>244530.81818181821</v>
      </c>
      <c r="F128">
        <v>7.6367172744452122E-2</v>
      </c>
    </row>
    <row r="129" spans="1:6" x14ac:dyDescent="0.2">
      <c r="A129" t="s">
        <v>10</v>
      </c>
      <c r="B129">
        <v>2032</v>
      </c>
      <c r="C129">
        <v>3275.46</v>
      </c>
      <c r="D129">
        <v>3261548</v>
      </c>
      <c r="E129">
        <v>297769.09090909088</v>
      </c>
      <c r="F129">
        <v>9.1296859929423352E-2</v>
      </c>
    </row>
    <row r="130" spans="1:6" x14ac:dyDescent="0.2">
      <c r="A130" t="s">
        <v>10</v>
      </c>
      <c r="B130">
        <v>2033</v>
      </c>
      <c r="C130">
        <v>3899.7689999999998</v>
      </c>
      <c r="D130">
        <v>3322364</v>
      </c>
      <c r="E130">
        <v>354524.45454545447</v>
      </c>
      <c r="F130">
        <v>0.1067084926713191</v>
      </c>
    </row>
    <row r="131" spans="1:6" x14ac:dyDescent="0.2">
      <c r="A131" t="s">
        <v>10</v>
      </c>
      <c r="B131">
        <v>2034</v>
      </c>
      <c r="C131">
        <v>4479.2519999999986</v>
      </c>
      <c r="D131">
        <v>3384184</v>
      </c>
      <c r="E131">
        <v>407204.72727272718</v>
      </c>
      <c r="F131">
        <v>0.12032582367646889</v>
      </c>
    </row>
    <row r="132" spans="1:6" x14ac:dyDescent="0.2">
      <c r="A132" t="s">
        <v>10</v>
      </c>
      <c r="B132">
        <v>2035</v>
      </c>
      <c r="C132">
        <v>5007.8639999999996</v>
      </c>
      <c r="D132">
        <v>3446570</v>
      </c>
      <c r="E132">
        <v>455260.36363636371</v>
      </c>
      <c r="F132">
        <v>0.13209085079843549</v>
      </c>
    </row>
    <row r="133" spans="1:6" x14ac:dyDescent="0.2">
      <c r="A133" t="s">
        <v>10</v>
      </c>
      <c r="B133">
        <v>2036</v>
      </c>
      <c r="C133">
        <v>5543.73</v>
      </c>
      <c r="D133">
        <v>3509369</v>
      </c>
      <c r="E133">
        <v>503975.45454545459</v>
      </c>
      <c r="F133">
        <v>0.14360856739358399</v>
      </c>
    </row>
    <row r="134" spans="1:6" x14ac:dyDescent="0.2">
      <c r="A134" t="s">
        <v>10</v>
      </c>
      <c r="B134">
        <v>2037</v>
      </c>
      <c r="C134">
        <v>6251.8320000000003</v>
      </c>
      <c r="D134">
        <v>3572554</v>
      </c>
      <c r="E134">
        <v>568348.36363636365</v>
      </c>
      <c r="F134">
        <v>0.15908741019348169</v>
      </c>
    </row>
    <row r="135" spans="1:6" x14ac:dyDescent="0.2">
      <c r="A135" t="s">
        <v>10</v>
      </c>
      <c r="B135">
        <v>2038</v>
      </c>
      <c r="C135">
        <v>7353.4170000000004</v>
      </c>
      <c r="D135">
        <v>3636013</v>
      </c>
      <c r="E135">
        <v>668492.45454545459</v>
      </c>
      <c r="F135">
        <v>0.18385315304028191</v>
      </c>
    </row>
    <row r="136" spans="1:6" x14ac:dyDescent="0.2">
      <c r="A136" t="s">
        <v>10</v>
      </c>
      <c r="B136">
        <v>2039</v>
      </c>
      <c r="C136">
        <v>8322.1049999999996</v>
      </c>
      <c r="D136">
        <v>3699621</v>
      </c>
      <c r="E136">
        <v>756555</v>
      </c>
      <c r="F136">
        <v>0.20449527127238171</v>
      </c>
    </row>
    <row r="137" spans="1:6" x14ac:dyDescent="0.2">
      <c r="A137" t="s">
        <v>10</v>
      </c>
      <c r="B137">
        <v>2040</v>
      </c>
      <c r="C137">
        <v>9234.0630000000001</v>
      </c>
      <c r="D137">
        <v>3763715</v>
      </c>
      <c r="E137">
        <v>839460.27272727271</v>
      </c>
      <c r="F137">
        <v>0.22304033985763341</v>
      </c>
    </row>
    <row r="138" spans="1:6" x14ac:dyDescent="0.2">
      <c r="A138" t="s">
        <v>10</v>
      </c>
      <c r="B138">
        <v>2041</v>
      </c>
      <c r="C138">
        <v>10170.014999999999</v>
      </c>
      <c r="D138">
        <v>3828815</v>
      </c>
      <c r="E138">
        <v>924546.81818181835</v>
      </c>
      <c r="F138">
        <v>0.24147074700183169</v>
      </c>
    </row>
    <row r="139" spans="1:6" x14ac:dyDescent="0.2">
      <c r="A139" t="s">
        <v>10</v>
      </c>
      <c r="B139">
        <v>2042</v>
      </c>
      <c r="C139">
        <v>11122.986000000001</v>
      </c>
      <c r="D139">
        <v>3894650</v>
      </c>
      <c r="E139">
        <v>1011180.5454545449</v>
      </c>
      <c r="F139">
        <v>0.2596332264656761</v>
      </c>
    </row>
    <row r="140" spans="1:6" x14ac:dyDescent="0.2">
      <c r="A140" t="s">
        <v>10</v>
      </c>
      <c r="B140">
        <v>2043</v>
      </c>
      <c r="C140">
        <v>12074.468999999999</v>
      </c>
      <c r="D140">
        <v>3960883</v>
      </c>
      <c r="E140">
        <v>1097679</v>
      </c>
      <c r="F140">
        <v>0.27712987230372621</v>
      </c>
    </row>
    <row r="141" spans="1:6" x14ac:dyDescent="0.2">
      <c r="A141" t="s">
        <v>10</v>
      </c>
      <c r="B141">
        <v>2044</v>
      </c>
      <c r="C141">
        <v>12979.451999999999</v>
      </c>
      <c r="D141">
        <v>4027766</v>
      </c>
      <c r="E141">
        <v>1179950.1818181821</v>
      </c>
      <c r="F141">
        <v>0.29295400522726051</v>
      </c>
    </row>
    <row r="142" spans="1:6" x14ac:dyDescent="0.2">
      <c r="A142" t="s">
        <v>10</v>
      </c>
      <c r="B142">
        <v>2045</v>
      </c>
      <c r="C142">
        <v>13810.221</v>
      </c>
      <c r="D142">
        <v>4094834</v>
      </c>
      <c r="E142">
        <v>1255474.636363636</v>
      </c>
      <c r="F142">
        <v>0.30659964149062863</v>
      </c>
    </row>
    <row r="143" spans="1:6" x14ac:dyDescent="0.2">
      <c r="A143" t="s">
        <v>10</v>
      </c>
      <c r="B143">
        <v>2046</v>
      </c>
      <c r="C143">
        <v>14556.081</v>
      </c>
      <c r="D143">
        <v>4162154</v>
      </c>
      <c r="E143">
        <v>1323280.0909090911</v>
      </c>
      <c r="F143">
        <v>0.31793155440886878</v>
      </c>
    </row>
    <row r="144" spans="1:6" x14ac:dyDescent="0.2">
      <c r="A144" t="s">
        <v>10</v>
      </c>
      <c r="B144">
        <v>2047</v>
      </c>
      <c r="C144">
        <v>15389.268</v>
      </c>
      <c r="D144">
        <v>4229693</v>
      </c>
      <c r="E144">
        <v>1399024.363636364</v>
      </c>
      <c r="F144">
        <v>0.33076262594858857</v>
      </c>
    </row>
    <row r="145" spans="1:6" x14ac:dyDescent="0.2">
      <c r="A145" t="s">
        <v>10</v>
      </c>
      <c r="B145">
        <v>2048</v>
      </c>
      <c r="C145">
        <v>16284.3</v>
      </c>
      <c r="D145">
        <v>4297319</v>
      </c>
      <c r="E145">
        <v>1480390.9090909089</v>
      </c>
      <c r="F145">
        <v>0.3444917421980796</v>
      </c>
    </row>
    <row r="146" spans="1:6" x14ac:dyDescent="0.2">
      <c r="A146" t="s">
        <v>10</v>
      </c>
      <c r="B146">
        <v>2049</v>
      </c>
      <c r="C146">
        <v>16885.544999999998</v>
      </c>
      <c r="D146">
        <v>4365311</v>
      </c>
      <c r="E146">
        <v>1535049.5454545461</v>
      </c>
      <c r="F146">
        <v>0.3516472355473747</v>
      </c>
    </row>
    <row r="147" spans="1:6" x14ac:dyDescent="0.2">
      <c r="A147" t="s">
        <v>10</v>
      </c>
      <c r="B147">
        <v>2050</v>
      </c>
      <c r="C147">
        <v>17295.396000000001</v>
      </c>
      <c r="D147">
        <v>4433440</v>
      </c>
      <c r="E147">
        <v>1572308.7272727271</v>
      </c>
      <c r="F147">
        <v>0.35464757102221472</v>
      </c>
    </row>
    <row r="148" spans="1:6" x14ac:dyDescent="0.2">
      <c r="A148" t="s">
        <v>10</v>
      </c>
      <c r="B148">
        <v>2051</v>
      </c>
      <c r="C148">
        <v>17668.233</v>
      </c>
      <c r="D148">
        <v>4501710</v>
      </c>
      <c r="E148">
        <v>1606203</v>
      </c>
      <c r="F148">
        <v>0.35679841660169143</v>
      </c>
    </row>
    <row r="149" spans="1:6" x14ac:dyDescent="0.2">
      <c r="A149" t="s">
        <v>10</v>
      </c>
      <c r="B149">
        <v>2052</v>
      </c>
      <c r="C149">
        <v>18044.232</v>
      </c>
      <c r="D149">
        <v>4570137</v>
      </c>
      <c r="E149">
        <v>1640384.727272728</v>
      </c>
      <c r="F149">
        <v>0.35893556960605938</v>
      </c>
    </row>
    <row r="150" spans="1:6" x14ac:dyDescent="0.2">
      <c r="A150" t="s">
        <v>10</v>
      </c>
      <c r="B150">
        <v>2053</v>
      </c>
      <c r="C150">
        <v>18400.886999999999</v>
      </c>
      <c r="D150">
        <v>4638742</v>
      </c>
      <c r="E150">
        <v>1672807.9090909089</v>
      </c>
      <c r="F150">
        <v>0.3606167165776647</v>
      </c>
    </row>
    <row r="151" spans="1:6" x14ac:dyDescent="0.2">
      <c r="A151" t="s">
        <v>10</v>
      </c>
      <c r="B151">
        <v>2054</v>
      </c>
      <c r="C151">
        <v>18741.545999999998</v>
      </c>
      <c r="D151">
        <v>4707555</v>
      </c>
      <c r="E151">
        <v>1703776.9090909089</v>
      </c>
      <c r="F151">
        <v>0.36192395183718712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2025-09-30T05:07:44Z</dcterms:created>
  <dcterms:modified xsi:type="dcterms:W3CDTF">2025-09-30T05:14:50Z</dcterms:modified>
</cp:coreProperties>
</file>