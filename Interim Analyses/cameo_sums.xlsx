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jjefferson/Grattan Institute Dropbox/Ben Jefferson/Carbon-pricing-analysis-2025/Interim Analyses/"/>
    </mc:Choice>
  </mc:AlternateContent>
  <xr:revisionPtr revIDLastSave="0" documentId="13_ncr:1_{DBCB6A73-2B56-8142-9C81-BB29560688C4}" xr6:coauthVersionLast="47" xr6:coauthVersionMax="47" xr10:uidLastSave="{00000000-0000-0000-0000-000000000000}"/>
  <bookViews>
    <workbookView xWindow="-1120" yWindow="-28300" windowWidth="46600" windowHeight="27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P7" i="1"/>
  <c r="Q7" i="1"/>
  <c r="O8" i="1"/>
  <c r="P8" i="1"/>
  <c r="Q8" i="1"/>
  <c r="O9" i="1"/>
  <c r="P9" i="1"/>
  <c r="Q9" i="1"/>
  <c r="O10" i="1"/>
  <c r="P10" i="1"/>
  <c r="Q10" i="1"/>
  <c r="O11" i="1"/>
  <c r="P11" i="1"/>
  <c r="Q11" i="1"/>
  <c r="O12" i="1"/>
  <c r="P12" i="1"/>
  <c r="Q12" i="1"/>
  <c r="O13" i="1"/>
  <c r="P13" i="1"/>
  <c r="Q13" i="1"/>
  <c r="O14" i="1"/>
  <c r="O15" i="1"/>
  <c r="P15" i="1"/>
  <c r="Q15" i="1"/>
  <c r="O16" i="1"/>
  <c r="P16" i="1"/>
  <c r="Q16" i="1"/>
  <c r="O17" i="1"/>
  <c r="P17" i="1"/>
  <c r="Q17" i="1"/>
  <c r="O18" i="1"/>
  <c r="P18" i="1"/>
  <c r="Q18" i="1"/>
  <c r="N8" i="1"/>
  <c r="N9" i="1"/>
  <c r="N10" i="1"/>
  <c r="N11" i="1"/>
  <c r="N12" i="1"/>
  <c r="N13" i="1"/>
  <c r="N14" i="1"/>
  <c r="N15" i="1"/>
  <c r="N16" i="1"/>
  <c r="N17" i="1"/>
  <c r="N18" i="1"/>
  <c r="N7" i="1"/>
  <c r="M7" i="1"/>
  <c r="M8" i="1"/>
  <c r="M9" i="1"/>
  <c r="M10" i="1"/>
  <c r="M11" i="1"/>
  <c r="M12" i="1"/>
  <c r="M13" i="1"/>
  <c r="M15" i="1"/>
  <c r="M16" i="1"/>
  <c r="M17" i="1"/>
  <c r="M18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K15" i="1"/>
  <c r="L15" i="1"/>
  <c r="K16" i="1"/>
  <c r="L16" i="1"/>
  <c r="K17" i="1"/>
  <c r="L17" i="1"/>
  <c r="K18" i="1"/>
  <c r="L18" i="1"/>
  <c r="J8" i="1"/>
  <c r="J9" i="1"/>
  <c r="J10" i="1"/>
  <c r="J11" i="1"/>
  <c r="J12" i="1"/>
  <c r="J13" i="1"/>
  <c r="J14" i="1"/>
  <c r="J15" i="1"/>
  <c r="J16" i="1"/>
  <c r="J17" i="1"/>
  <c r="J18" i="1"/>
  <c r="J7" i="1"/>
</calcChain>
</file>

<file path=xl/sharedStrings.xml><?xml version="1.0" encoding="utf-8"?>
<sst xmlns="http://schemas.openxmlformats.org/spreadsheetml/2006/main" count="367" uniqueCount="16">
  <si>
    <t>year</t>
  </si>
  <si>
    <t>state</t>
  </si>
  <si>
    <t>scenario</t>
  </si>
  <si>
    <t>household</t>
  </si>
  <si>
    <t>cost</t>
  </si>
  <si>
    <t>NSW and ACT</t>
  </si>
  <si>
    <t>2_Opt2</t>
  </si>
  <si>
    <t>all_electric</t>
  </si>
  <si>
    <t>fossil_fuel</t>
  </si>
  <si>
    <t>Ref</t>
  </si>
  <si>
    <t>NT</t>
  </si>
  <si>
    <t>Qld</t>
  </si>
  <si>
    <t>SA</t>
  </si>
  <si>
    <t>Tas</t>
  </si>
  <si>
    <t>Vic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</si>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</sst>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3"/>
  <sheetViews>
    <sheetView tabSelected="1" zoomScale="174" workbookViewId="0">
      <selection activeCell="I2" sqref="I2"/>
    </sheetView>
  </sheetViews>
  <sheetFormatPr baseColWidth="10" defaultColWidth="8.83203125" defaultRowHeight="15" x14ac:dyDescent="0.2"/>
  <cols>
    <col min="2" max="2" width="11.1640625" bestFit="1" customWidth="1"/>
    <col min="3" max="3" width="7.6640625" bestFit="1" customWidth="1"/>
    <col min="4" max="4" width="9.5" bestFit="1" customWidth="1"/>
    <col min="5" max="5" width="12.1640625" bestFit="1" customWidth="1"/>
    <col min="8" max="8" width="11.1640625" bestFit="1" customWidth="1"/>
    <col min="9" max="9" width="9.5" bestFit="1" customWidth="1"/>
    <col min="10" max="12" width="9.1640625" bestFit="1" customWidth="1"/>
    <col min="13" max="13" width="10.1640625" bestFit="1" customWidth="1"/>
    <col min="14" max="16" width="9.1640625" bestFit="1" customWidth="1"/>
    <col min="17" max="17" width="10.1640625" bestFit="1" customWidth="1"/>
  </cols>
  <sheetData>
    <row r="1" spans="1:1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7" x14ac:dyDescent="0.2">
      <c r="A2">
        <v>2025</v>
      </c>
      <c r="B2" t="s">
        <v>5</v>
      </c>
      <c r="C2" t="s">
        <v>6</v>
      </c>
      <c r="D2" t="s">
        <v>7</v>
      </c>
      <c r="E2">
        <v>1210.207734694631</v>
      </c>
    </row>
    <row r="3" spans="1:17" x14ac:dyDescent="0.2">
      <c r="A3">
        <v>2025</v>
      </c>
      <c r="B3" t="s">
        <v>5</v>
      </c>
      <c r="C3" t="s">
        <v>6</v>
      </c>
      <c r="D3" t="s">
        <v>8</v>
      </c>
      <c r="E3">
        <v>5396.7393243592096</v>
      </c>
    </row>
    <row r="4" spans="1:17" x14ac:dyDescent="0.2">
      <c r="A4">
        <v>2025</v>
      </c>
      <c r="B4" t="s">
        <v>5</v>
      </c>
      <c r="C4" t="s">
        <v>9</v>
      </c>
      <c r="D4" t="s">
        <v>7</v>
      </c>
      <c r="E4">
        <v>1210.207483479395</v>
      </c>
    </row>
    <row r="5" spans="1:17" x14ac:dyDescent="0.2">
      <c r="A5">
        <v>2025</v>
      </c>
      <c r="B5" t="s">
        <v>5</v>
      </c>
      <c r="C5" t="s">
        <v>9</v>
      </c>
      <c r="D5" t="s">
        <v>8</v>
      </c>
      <c r="E5">
        <v>5396.7393243592096</v>
      </c>
      <c r="H5" s="2"/>
      <c r="J5" s="3" t="s">
        <v>9</v>
      </c>
      <c r="K5" s="3"/>
      <c r="L5" s="3"/>
      <c r="M5" s="3"/>
      <c r="N5" s="3" t="s">
        <v>6</v>
      </c>
    </row>
    <row r="6" spans="1:17" x14ac:dyDescent="0.2">
      <c r="A6">
        <v>2025</v>
      </c>
      <c r="B6" t="s">
        <v>10</v>
      </c>
      <c r="C6" t="s">
        <v>6</v>
      </c>
      <c r="D6" t="s">
        <v>7</v>
      </c>
      <c r="E6">
        <v>0</v>
      </c>
      <c r="J6" s="3">
        <v>2025</v>
      </c>
      <c r="K6" s="3">
        <v>2030</v>
      </c>
      <c r="L6" s="3">
        <v>2035</v>
      </c>
      <c r="M6" s="3">
        <v>2050</v>
      </c>
      <c r="N6" s="3">
        <v>2025</v>
      </c>
      <c r="O6" s="3">
        <v>2030</v>
      </c>
      <c r="P6" s="3">
        <v>2035</v>
      </c>
      <c r="Q6" s="3">
        <v>2050</v>
      </c>
    </row>
    <row r="7" spans="1:17" x14ac:dyDescent="0.2">
      <c r="A7">
        <v>2025</v>
      </c>
      <c r="B7" t="s">
        <v>10</v>
      </c>
      <c r="C7" t="s">
        <v>6</v>
      </c>
      <c r="D7" t="s">
        <v>8</v>
      </c>
      <c r="E7">
        <v>2049.952292758262</v>
      </c>
      <c r="H7" t="s">
        <v>5</v>
      </c>
      <c r="I7" t="s">
        <v>8</v>
      </c>
      <c r="J7" s="4">
        <f>SUMIFS($E$2:$E$113,$D$2:$D$113,$I7,$C$2:$C$113,$J$5,$B$2:$B$113,$H7,$A$2:$A$113,J$6)</f>
        <v>5396.7393243592096</v>
      </c>
      <c r="K7" s="4">
        <f t="shared" ref="K7:L7" si="0">SUMIFS($E$2:$E$113,$D$2:$D$113,$I7,$C$2:$C$113,$J$5,$B$2:$B$113,$H7,$A$2:$A$113,K$6)</f>
        <v>4737.200994077466</v>
      </c>
      <c r="L7" s="4">
        <f t="shared" si="0"/>
        <v>4817.2890507349457</v>
      </c>
      <c r="M7" s="4">
        <f>SUMIFS($E$2:$E$113,$D$2:$D$113,$I7,$C$2:$C$113,$J$5,$B$2:$B$113,$H7,$A$2:$A$113,M$6)</f>
        <v>13277.581465569679</v>
      </c>
      <c r="N7" s="4">
        <f>SUMIFS($E$2:$E$113,$D$2:$D$113,$I7,$C$2:$C$113,$N$5,$B$2:$B$113,$H7,$A$2:$A$113,N$6)</f>
        <v>5396.7393243592096</v>
      </c>
      <c r="O7" s="4">
        <f t="shared" ref="O7:Q7" si="1">SUMIFS($E$2:$E$113,$D$2:$D$113,$I7,$C$2:$C$113,$N$5,$B$2:$B$113,$H7,$A$2:$A$113,O$6)</f>
        <v>4737.4570192138553</v>
      </c>
      <c r="P7" s="4">
        <f t="shared" si="1"/>
        <v>4932.8746703134511</v>
      </c>
      <c r="Q7" s="4">
        <f t="shared" si="1"/>
        <v>13331.53712608077</v>
      </c>
    </row>
    <row r="8" spans="1:17" x14ac:dyDescent="0.2">
      <c r="A8">
        <v>2025</v>
      </c>
      <c r="B8" t="s">
        <v>10</v>
      </c>
      <c r="C8" t="s">
        <v>9</v>
      </c>
      <c r="D8" t="s">
        <v>7</v>
      </c>
      <c r="E8">
        <v>0</v>
      </c>
      <c r="H8" t="s">
        <v>5</v>
      </c>
      <c r="I8" t="s">
        <v>7</v>
      </c>
      <c r="J8" s="4">
        <f t="shared" ref="J8:Q20" si="2">SUMIFS($E$2:$E$113,$D$2:$D$113,$I8,$C$2:$C$113,$J$5,$B$2:$B$113,$H8,$A$2:$A$113,J$6)</f>
        <v>1210.207483479395</v>
      </c>
      <c r="K8" s="4">
        <f t="shared" si="2"/>
        <v>1079.186322902086</v>
      </c>
      <c r="L8" s="4">
        <f t="shared" si="2"/>
        <v>1071.7755475280039</v>
      </c>
      <c r="M8" s="4">
        <f t="shared" si="2"/>
        <v>843.65782789672176</v>
      </c>
      <c r="N8" s="4">
        <f t="shared" ref="N8:Q18" si="3">SUMIFS($E$2:$E$113,$D$2:$D$113,$I8,$C$2:$C$113,$N$5,$B$2:$B$113,$H8,$A$2:$A$113,N$6)</f>
        <v>1210.207734694631</v>
      </c>
      <c r="O8" s="4">
        <f t="shared" si="3"/>
        <v>1079.3848141532631</v>
      </c>
      <c r="P8" s="4">
        <f t="shared" si="3"/>
        <v>1154.029560917518</v>
      </c>
      <c r="Q8" s="4">
        <f t="shared" si="3"/>
        <v>877.48319854462454</v>
      </c>
    </row>
    <row r="9" spans="1:17" x14ac:dyDescent="0.2">
      <c r="A9">
        <v>2025</v>
      </c>
      <c r="B9" t="s">
        <v>10</v>
      </c>
      <c r="C9" t="s">
        <v>9</v>
      </c>
      <c r="D9" t="s">
        <v>8</v>
      </c>
      <c r="E9">
        <v>2049.952292758262</v>
      </c>
      <c r="H9" t="s">
        <v>14</v>
      </c>
      <c r="I9" t="s">
        <v>8</v>
      </c>
      <c r="J9" s="4">
        <f t="shared" si="2"/>
        <v>5508.3846030522327</v>
      </c>
      <c r="K9" s="4">
        <f t="shared" si="2"/>
        <v>4872.7475382832108</v>
      </c>
      <c r="L9" s="4">
        <f t="shared" si="2"/>
        <v>4813.7038585202154</v>
      </c>
      <c r="M9" s="4">
        <f t="shared" si="2"/>
        <v>31647.817551823358</v>
      </c>
      <c r="N9" s="4">
        <f t="shared" si="3"/>
        <v>5508.3846030522327</v>
      </c>
      <c r="O9" s="4">
        <f t="shared" si="3"/>
        <v>4872.8119729089231</v>
      </c>
      <c r="P9" s="4">
        <f t="shared" si="3"/>
        <v>4981.4852817241836</v>
      </c>
      <c r="Q9" s="4">
        <f t="shared" si="3"/>
        <v>31705.44688819602</v>
      </c>
    </row>
    <row r="10" spans="1:17" x14ac:dyDescent="0.2">
      <c r="A10">
        <v>2025</v>
      </c>
      <c r="B10" t="s">
        <v>11</v>
      </c>
      <c r="C10" t="s">
        <v>6</v>
      </c>
      <c r="D10" t="s">
        <v>7</v>
      </c>
      <c r="E10">
        <v>1051.3131083119761</v>
      </c>
      <c r="H10" t="s">
        <v>14</v>
      </c>
      <c r="I10" t="s">
        <v>7</v>
      </c>
      <c r="J10" s="4">
        <f t="shared" si="2"/>
        <v>1436.45828353004</v>
      </c>
      <c r="K10" s="4">
        <f t="shared" si="2"/>
        <v>1283.9913295973661</v>
      </c>
      <c r="L10" s="4">
        <f t="shared" si="2"/>
        <v>1141.4442294976</v>
      </c>
      <c r="M10" s="4">
        <f t="shared" si="2"/>
        <v>1097.2900986115881</v>
      </c>
      <c r="N10" s="4">
        <f t="shared" si="3"/>
        <v>1436.458221306762</v>
      </c>
      <c r="O10" s="4">
        <f t="shared" si="3"/>
        <v>1284.0647615906501</v>
      </c>
      <c r="P10" s="4">
        <f t="shared" si="3"/>
        <v>1326.984009543884</v>
      </c>
      <c r="Q10" s="4">
        <f t="shared" si="3"/>
        <v>1155.508890568063</v>
      </c>
    </row>
    <row r="11" spans="1:17" x14ac:dyDescent="0.2">
      <c r="A11">
        <v>2025</v>
      </c>
      <c r="B11" t="s">
        <v>11</v>
      </c>
      <c r="C11" t="s">
        <v>6</v>
      </c>
      <c r="D11" t="s">
        <v>8</v>
      </c>
      <c r="E11">
        <v>5485.0465135467321</v>
      </c>
      <c r="H11" t="s">
        <v>11</v>
      </c>
      <c r="I11" t="s">
        <v>8</v>
      </c>
      <c r="J11" s="4">
        <f t="shared" si="2"/>
        <v>5485.0465135467321</v>
      </c>
      <c r="K11" s="4">
        <f t="shared" si="2"/>
        <v>4604.9946714803682</v>
      </c>
      <c r="L11" s="4">
        <f t="shared" si="2"/>
        <v>4909.12687314902</v>
      </c>
      <c r="M11" s="4">
        <f t="shared" si="2"/>
        <v>5139.612483772562</v>
      </c>
      <c r="N11" s="4">
        <f t="shared" si="3"/>
        <v>5485.0465135467321</v>
      </c>
      <c r="O11" s="4">
        <f t="shared" si="3"/>
        <v>4604.9001371663326</v>
      </c>
      <c r="P11" s="4">
        <f t="shared" si="3"/>
        <v>5067.715224249142</v>
      </c>
      <c r="Q11" s="4">
        <f t="shared" si="3"/>
        <v>5213.1092848806866</v>
      </c>
    </row>
    <row r="12" spans="1:17" x14ac:dyDescent="0.2">
      <c r="A12">
        <v>2025</v>
      </c>
      <c r="B12" t="s">
        <v>11</v>
      </c>
      <c r="C12" t="s">
        <v>9</v>
      </c>
      <c r="D12" t="s">
        <v>7</v>
      </c>
      <c r="E12">
        <v>1051.31249779982</v>
      </c>
      <c r="H12" t="s">
        <v>11</v>
      </c>
      <c r="I12" t="s">
        <v>7</v>
      </c>
      <c r="J12" s="4">
        <f t="shared" si="2"/>
        <v>1051.31249779982</v>
      </c>
      <c r="K12" s="4">
        <f t="shared" si="2"/>
        <v>837.49303156395024</v>
      </c>
      <c r="L12" s="4">
        <f t="shared" si="2"/>
        <v>1055.117759574217</v>
      </c>
      <c r="M12" s="4">
        <f t="shared" si="2"/>
        <v>985.15134232084529</v>
      </c>
      <c r="N12" s="4">
        <f t="shared" si="3"/>
        <v>1051.3131083119761</v>
      </c>
      <c r="O12" s="4">
        <f t="shared" si="3"/>
        <v>837.43349704911748</v>
      </c>
      <c r="P12" s="4">
        <f t="shared" si="3"/>
        <v>1153.1574357267559</v>
      </c>
      <c r="Q12" s="4">
        <f t="shared" si="3"/>
        <v>1028.144761958597</v>
      </c>
    </row>
    <row r="13" spans="1:17" x14ac:dyDescent="0.2">
      <c r="A13">
        <v>2025</v>
      </c>
      <c r="B13" t="s">
        <v>11</v>
      </c>
      <c r="C13" t="s">
        <v>9</v>
      </c>
      <c r="D13" t="s">
        <v>8</v>
      </c>
      <c r="E13">
        <v>5485.0465135467321</v>
      </c>
      <c r="H13" t="s">
        <v>15</v>
      </c>
      <c r="I13" t="s">
        <v>8</v>
      </c>
      <c r="J13" s="4">
        <f t="shared" si="2"/>
        <v>5131.1734009877318</v>
      </c>
      <c r="K13" s="4">
        <f t="shared" si="2"/>
        <v>5098.3891862545297</v>
      </c>
      <c r="L13" s="4">
        <f t="shared" si="2"/>
        <v>2602.0981245474759</v>
      </c>
      <c r="M13" s="4">
        <f t="shared" si="2"/>
        <v>2332.6209008685541</v>
      </c>
      <c r="N13" s="4">
        <f t="shared" si="3"/>
        <v>5131.1734009877318</v>
      </c>
      <c r="O13" s="4">
        <f t="shared" si="3"/>
        <v>5098.4038188778577</v>
      </c>
      <c r="P13" s="4">
        <f t="shared" si="3"/>
        <v>2602.0981245474759</v>
      </c>
      <c r="Q13" s="4">
        <f t="shared" si="3"/>
        <v>2332.6209008685541</v>
      </c>
    </row>
    <row r="14" spans="1:17" x14ac:dyDescent="0.2">
      <c r="A14">
        <v>2025</v>
      </c>
      <c r="B14" t="s">
        <v>12</v>
      </c>
      <c r="C14" t="s">
        <v>6</v>
      </c>
      <c r="D14" t="s">
        <v>7</v>
      </c>
      <c r="E14">
        <v>1578.273187423777</v>
      </c>
      <c r="H14" t="s">
        <v>15</v>
      </c>
      <c r="I14" t="s">
        <v>7</v>
      </c>
      <c r="J14" s="4">
        <f t="shared" si="2"/>
        <v>1604.0196019519619</v>
      </c>
      <c r="K14" s="4">
        <f t="shared" si="2"/>
        <v>1628.8225264787659</v>
      </c>
      <c r="L14" s="4"/>
      <c r="M14" s="4"/>
      <c r="N14" s="4">
        <f t="shared" si="3"/>
        <v>1604.0196019519619</v>
      </c>
      <c r="O14" s="4">
        <f t="shared" si="3"/>
        <v>1628.832428976453</v>
      </c>
      <c r="P14" s="4"/>
      <c r="Q14" s="4"/>
    </row>
    <row r="15" spans="1:17" x14ac:dyDescent="0.2">
      <c r="A15">
        <v>2025</v>
      </c>
      <c r="B15" t="s">
        <v>12</v>
      </c>
      <c r="C15" t="s">
        <v>6</v>
      </c>
      <c r="D15" t="s">
        <v>8</v>
      </c>
      <c r="E15">
        <v>5905.2870067688846</v>
      </c>
      <c r="H15" t="s">
        <v>12</v>
      </c>
      <c r="I15" t="s">
        <v>8</v>
      </c>
      <c r="J15" s="4">
        <f t="shared" si="2"/>
        <v>5905.2870067688846</v>
      </c>
      <c r="K15" s="4">
        <f t="shared" si="2"/>
        <v>5046.0768641273826</v>
      </c>
      <c r="L15" s="4">
        <f t="shared" si="2"/>
        <v>5160.2844783562323</v>
      </c>
      <c r="M15" s="4">
        <f t="shared" si="2"/>
        <v>19131.017879747618</v>
      </c>
      <c r="N15" s="4">
        <f t="shared" si="3"/>
        <v>5905.2870067688846</v>
      </c>
      <c r="O15" s="4">
        <f t="shared" si="3"/>
        <v>5046.3777843419321</v>
      </c>
      <c r="P15" s="4">
        <f t="shared" si="3"/>
        <v>5372.8220703487332</v>
      </c>
      <c r="Q15" s="4">
        <f t="shared" si="3"/>
        <v>19212.976096215909</v>
      </c>
    </row>
    <row r="16" spans="1:17" x14ac:dyDescent="0.2">
      <c r="A16">
        <v>2025</v>
      </c>
      <c r="B16" t="s">
        <v>12</v>
      </c>
      <c r="C16" t="s">
        <v>9</v>
      </c>
      <c r="D16" t="s">
        <v>7</v>
      </c>
      <c r="E16">
        <v>1578.2728251694521</v>
      </c>
      <c r="H16" t="s">
        <v>12</v>
      </c>
      <c r="I16" t="s">
        <v>7</v>
      </c>
      <c r="J16" s="4">
        <f t="shared" si="2"/>
        <v>1578.2728251694521</v>
      </c>
      <c r="K16" s="4">
        <f t="shared" si="2"/>
        <v>1280.499075352745</v>
      </c>
      <c r="L16" s="4">
        <f t="shared" si="2"/>
        <v>1297.7519541564459</v>
      </c>
      <c r="M16" s="4">
        <f t="shared" si="2"/>
        <v>1196.219565052294</v>
      </c>
      <c r="N16" s="4">
        <f t="shared" si="3"/>
        <v>1578.273187423777</v>
      </c>
      <c r="O16" s="4">
        <f t="shared" si="3"/>
        <v>1280.7393752623209</v>
      </c>
      <c r="P16" s="4">
        <f t="shared" si="3"/>
        <v>1463.244331376485</v>
      </c>
      <c r="Q16" s="4">
        <f t="shared" si="3"/>
        <v>1254.81233030371</v>
      </c>
    </row>
    <row r="17" spans="1:17" x14ac:dyDescent="0.2">
      <c r="A17">
        <v>2025</v>
      </c>
      <c r="B17" t="s">
        <v>12</v>
      </c>
      <c r="C17" t="s">
        <v>9</v>
      </c>
      <c r="D17" t="s">
        <v>8</v>
      </c>
      <c r="E17">
        <v>5905.2870067688846</v>
      </c>
      <c r="H17" t="s">
        <v>13</v>
      </c>
      <c r="I17" t="s">
        <v>8</v>
      </c>
      <c r="J17" s="4">
        <f t="shared" si="2"/>
        <v>7327.8453814875893</v>
      </c>
      <c r="K17" s="4">
        <f t="shared" si="2"/>
        <v>6236.8637260996647</v>
      </c>
      <c r="L17" s="4">
        <f t="shared" si="2"/>
        <v>6180.8256709201469</v>
      </c>
      <c r="M17" s="4">
        <f t="shared" si="2"/>
        <v>6429.4024780032969</v>
      </c>
      <c r="N17" s="4">
        <f t="shared" si="3"/>
        <v>7327.8453814875893</v>
      </c>
      <c r="O17" s="4">
        <f t="shared" si="3"/>
        <v>6236.9148909534897</v>
      </c>
      <c r="P17" s="4">
        <f t="shared" si="3"/>
        <v>6361.5449485803529</v>
      </c>
      <c r="Q17" s="4">
        <f t="shared" si="3"/>
        <v>6471.4209088677308</v>
      </c>
    </row>
    <row r="18" spans="1:17" x14ac:dyDescent="0.2">
      <c r="A18">
        <v>2025</v>
      </c>
      <c r="B18" t="s">
        <v>13</v>
      </c>
      <c r="C18" t="s">
        <v>6</v>
      </c>
      <c r="D18" t="s">
        <v>7</v>
      </c>
      <c r="E18">
        <v>1487.086266052517</v>
      </c>
      <c r="H18" t="s">
        <v>13</v>
      </c>
      <c r="I18" t="s">
        <v>7</v>
      </c>
      <c r="J18" s="4">
        <f t="shared" si="2"/>
        <v>1487.0856234913881</v>
      </c>
      <c r="K18" s="4">
        <f t="shared" si="2"/>
        <v>1244.8858100932739</v>
      </c>
      <c r="L18" s="4">
        <f t="shared" si="2"/>
        <v>1171.8965172263761</v>
      </c>
      <c r="M18" s="4">
        <f t="shared" si="2"/>
        <v>1194.4353185158971</v>
      </c>
      <c r="N18" s="4">
        <f t="shared" si="3"/>
        <v>1487.086266052517</v>
      </c>
      <c r="O18" s="4">
        <f t="shared" si="3"/>
        <v>1244.944271634155</v>
      </c>
      <c r="P18" s="4">
        <f t="shared" si="3"/>
        <v>1370.848224819455</v>
      </c>
      <c r="Q18" s="4">
        <f t="shared" si="3"/>
        <v>1236.6598117787671</v>
      </c>
    </row>
    <row r="19" spans="1:17" x14ac:dyDescent="0.2">
      <c r="A19">
        <v>2025</v>
      </c>
      <c r="B19" t="s">
        <v>13</v>
      </c>
      <c r="C19" t="s">
        <v>6</v>
      </c>
      <c r="D19" t="s">
        <v>8</v>
      </c>
      <c r="E19">
        <v>7327.8453814875893</v>
      </c>
    </row>
    <row r="20" spans="1:17" x14ac:dyDescent="0.2">
      <c r="A20">
        <v>2025</v>
      </c>
      <c r="B20" t="s">
        <v>13</v>
      </c>
      <c r="C20" t="s">
        <v>9</v>
      </c>
      <c r="D20" t="s">
        <v>7</v>
      </c>
      <c r="E20">
        <v>1487.0856234913881</v>
      </c>
    </row>
    <row r="21" spans="1:17" x14ac:dyDescent="0.2">
      <c r="A21">
        <v>2025</v>
      </c>
      <c r="B21" t="s">
        <v>13</v>
      </c>
      <c r="C21" t="s">
        <v>9</v>
      </c>
      <c r="D21" t="s">
        <v>8</v>
      </c>
      <c r="E21">
        <v>7327.8453814875893</v>
      </c>
    </row>
    <row r="22" spans="1:17" x14ac:dyDescent="0.2">
      <c r="A22">
        <v>2025</v>
      </c>
      <c r="B22" t="s">
        <v>14</v>
      </c>
      <c r="C22" t="s">
        <v>6</v>
      </c>
      <c r="D22" t="s">
        <v>7</v>
      </c>
      <c r="E22">
        <v>1436.458221306762</v>
      </c>
    </row>
    <row r="23" spans="1:17" x14ac:dyDescent="0.2">
      <c r="A23">
        <v>2025</v>
      </c>
      <c r="B23" t="s">
        <v>14</v>
      </c>
      <c r="C23" t="s">
        <v>6</v>
      </c>
      <c r="D23" t="s">
        <v>8</v>
      </c>
      <c r="E23">
        <v>5508.3846030522327</v>
      </c>
    </row>
    <row r="24" spans="1:17" x14ac:dyDescent="0.2">
      <c r="A24">
        <v>2025</v>
      </c>
      <c r="B24" t="s">
        <v>14</v>
      </c>
      <c r="C24" t="s">
        <v>9</v>
      </c>
      <c r="D24" t="s">
        <v>7</v>
      </c>
      <c r="E24">
        <v>1436.45828353004</v>
      </c>
    </row>
    <row r="25" spans="1:17" x14ac:dyDescent="0.2">
      <c r="A25">
        <v>2025</v>
      </c>
      <c r="B25" t="s">
        <v>14</v>
      </c>
      <c r="C25" t="s">
        <v>9</v>
      </c>
      <c r="D25" t="s">
        <v>8</v>
      </c>
      <c r="E25">
        <v>5508.3846030522327</v>
      </c>
    </row>
    <row r="26" spans="1:17" x14ac:dyDescent="0.2">
      <c r="A26">
        <v>2025</v>
      </c>
      <c r="B26" t="s">
        <v>15</v>
      </c>
      <c r="C26" t="s">
        <v>6</v>
      </c>
      <c r="D26" t="s">
        <v>7</v>
      </c>
      <c r="E26">
        <v>1604.0196019519619</v>
      </c>
    </row>
    <row r="27" spans="1:17" x14ac:dyDescent="0.2">
      <c r="A27">
        <v>2025</v>
      </c>
      <c r="B27" t="s">
        <v>15</v>
      </c>
      <c r="C27" t="s">
        <v>6</v>
      </c>
      <c r="D27" t="s">
        <v>8</v>
      </c>
      <c r="E27">
        <v>5131.1734009877318</v>
      </c>
    </row>
    <row r="28" spans="1:17" x14ac:dyDescent="0.2">
      <c r="A28">
        <v>2025</v>
      </c>
      <c r="B28" t="s">
        <v>15</v>
      </c>
      <c r="C28" t="s">
        <v>9</v>
      </c>
      <c r="D28" t="s">
        <v>7</v>
      </c>
      <c r="E28">
        <v>1604.0196019519619</v>
      </c>
    </row>
    <row r="29" spans="1:17" x14ac:dyDescent="0.2">
      <c r="A29">
        <v>2025</v>
      </c>
      <c r="B29" t="s">
        <v>15</v>
      </c>
      <c r="C29" t="s">
        <v>9</v>
      </c>
      <c r="D29" t="s">
        <v>8</v>
      </c>
      <c r="E29">
        <v>5131.1734009877318</v>
      </c>
    </row>
    <row r="30" spans="1:17" x14ac:dyDescent="0.2">
      <c r="A30">
        <v>2030</v>
      </c>
      <c r="B30" t="s">
        <v>5</v>
      </c>
      <c r="C30" t="s">
        <v>6</v>
      </c>
      <c r="D30" t="s">
        <v>7</v>
      </c>
      <c r="E30">
        <v>1079.3848141532631</v>
      </c>
    </row>
    <row r="31" spans="1:17" x14ac:dyDescent="0.2">
      <c r="A31">
        <v>2030</v>
      </c>
      <c r="B31" t="s">
        <v>5</v>
      </c>
      <c r="C31" t="s">
        <v>6</v>
      </c>
      <c r="D31" t="s">
        <v>8</v>
      </c>
      <c r="E31">
        <v>4737.4570192138553</v>
      </c>
    </row>
    <row r="32" spans="1:17" x14ac:dyDescent="0.2">
      <c r="A32">
        <v>2030</v>
      </c>
      <c r="B32" t="s">
        <v>5</v>
      </c>
      <c r="C32" t="s">
        <v>9</v>
      </c>
      <c r="D32" t="s">
        <v>7</v>
      </c>
      <c r="E32">
        <v>1079.186322902086</v>
      </c>
    </row>
    <row r="33" spans="1:5" x14ac:dyDescent="0.2">
      <c r="A33">
        <v>2030</v>
      </c>
      <c r="B33" t="s">
        <v>5</v>
      </c>
      <c r="C33" t="s">
        <v>9</v>
      </c>
      <c r="D33" t="s">
        <v>8</v>
      </c>
      <c r="E33">
        <v>4737.200994077466</v>
      </c>
    </row>
    <row r="34" spans="1:5" x14ac:dyDescent="0.2">
      <c r="A34">
        <v>2030</v>
      </c>
      <c r="B34" t="s">
        <v>10</v>
      </c>
      <c r="C34" t="s">
        <v>6</v>
      </c>
      <c r="D34" t="s">
        <v>7</v>
      </c>
      <c r="E34">
        <v>0</v>
      </c>
    </row>
    <row r="35" spans="1:5" x14ac:dyDescent="0.2">
      <c r="A35">
        <v>2030</v>
      </c>
      <c r="B35" t="s">
        <v>10</v>
      </c>
      <c r="C35" t="s">
        <v>6</v>
      </c>
      <c r="D35" t="s">
        <v>8</v>
      </c>
      <c r="E35">
        <v>1900.749594907709</v>
      </c>
    </row>
    <row r="36" spans="1:5" x14ac:dyDescent="0.2">
      <c r="A36">
        <v>2030</v>
      </c>
      <c r="B36" t="s">
        <v>10</v>
      </c>
      <c r="C36" t="s">
        <v>9</v>
      </c>
      <c r="D36" t="s">
        <v>7</v>
      </c>
      <c r="E36">
        <v>0</v>
      </c>
    </row>
    <row r="37" spans="1:5" x14ac:dyDescent="0.2">
      <c r="A37">
        <v>2030</v>
      </c>
      <c r="B37" t="s">
        <v>10</v>
      </c>
      <c r="C37" t="s">
        <v>9</v>
      </c>
      <c r="D37" t="s">
        <v>8</v>
      </c>
      <c r="E37">
        <v>1900.749594907709</v>
      </c>
    </row>
    <row r="38" spans="1:5" x14ac:dyDescent="0.2">
      <c r="A38">
        <v>2030</v>
      </c>
      <c r="B38" t="s">
        <v>11</v>
      </c>
      <c r="C38" t="s">
        <v>6</v>
      </c>
      <c r="D38" t="s">
        <v>7</v>
      </c>
      <c r="E38">
        <v>837.43349704911748</v>
      </c>
    </row>
    <row r="39" spans="1:5" x14ac:dyDescent="0.2">
      <c r="A39">
        <v>2030</v>
      </c>
      <c r="B39" t="s">
        <v>11</v>
      </c>
      <c r="C39" t="s">
        <v>6</v>
      </c>
      <c r="D39" t="s">
        <v>8</v>
      </c>
      <c r="E39">
        <v>4604.9001371663326</v>
      </c>
    </row>
    <row r="40" spans="1:5" x14ac:dyDescent="0.2">
      <c r="A40">
        <v>2030</v>
      </c>
      <c r="B40" t="s">
        <v>11</v>
      </c>
      <c r="C40" t="s">
        <v>9</v>
      </c>
      <c r="D40" t="s">
        <v>7</v>
      </c>
      <c r="E40">
        <v>837.49303156395024</v>
      </c>
    </row>
    <row r="41" spans="1:5" x14ac:dyDescent="0.2">
      <c r="A41">
        <v>2030</v>
      </c>
      <c r="B41" t="s">
        <v>11</v>
      </c>
      <c r="C41" t="s">
        <v>9</v>
      </c>
      <c r="D41" t="s">
        <v>8</v>
      </c>
      <c r="E41">
        <v>4604.9946714803682</v>
      </c>
    </row>
    <row r="42" spans="1:5" x14ac:dyDescent="0.2">
      <c r="A42">
        <v>2030</v>
      </c>
      <c r="B42" t="s">
        <v>12</v>
      </c>
      <c r="C42" t="s">
        <v>6</v>
      </c>
      <c r="D42" t="s">
        <v>7</v>
      </c>
      <c r="E42">
        <v>1280.7393752623209</v>
      </c>
    </row>
    <row r="43" spans="1:5" x14ac:dyDescent="0.2">
      <c r="A43">
        <v>2030</v>
      </c>
      <c r="B43" t="s">
        <v>12</v>
      </c>
      <c r="C43" t="s">
        <v>6</v>
      </c>
      <c r="D43" t="s">
        <v>8</v>
      </c>
      <c r="E43">
        <v>5046.3777843419321</v>
      </c>
    </row>
    <row r="44" spans="1:5" x14ac:dyDescent="0.2">
      <c r="A44">
        <v>2030</v>
      </c>
      <c r="B44" t="s">
        <v>12</v>
      </c>
      <c r="C44" t="s">
        <v>9</v>
      </c>
      <c r="D44" t="s">
        <v>7</v>
      </c>
      <c r="E44">
        <v>1280.499075352745</v>
      </c>
    </row>
    <row r="45" spans="1:5" x14ac:dyDescent="0.2">
      <c r="A45">
        <v>2030</v>
      </c>
      <c r="B45" t="s">
        <v>12</v>
      </c>
      <c r="C45" t="s">
        <v>9</v>
      </c>
      <c r="D45" t="s">
        <v>8</v>
      </c>
      <c r="E45">
        <v>5046.0768641273826</v>
      </c>
    </row>
    <row r="46" spans="1:5" x14ac:dyDescent="0.2">
      <c r="A46">
        <v>2030</v>
      </c>
      <c r="B46" t="s">
        <v>13</v>
      </c>
      <c r="C46" t="s">
        <v>6</v>
      </c>
      <c r="D46" t="s">
        <v>7</v>
      </c>
      <c r="E46">
        <v>1244.944271634155</v>
      </c>
    </row>
    <row r="47" spans="1:5" x14ac:dyDescent="0.2">
      <c r="A47">
        <v>2030</v>
      </c>
      <c r="B47" t="s">
        <v>13</v>
      </c>
      <c r="C47" t="s">
        <v>6</v>
      </c>
      <c r="D47" t="s">
        <v>8</v>
      </c>
      <c r="E47">
        <v>6236.9148909534897</v>
      </c>
    </row>
    <row r="48" spans="1:5" x14ac:dyDescent="0.2">
      <c r="A48">
        <v>2030</v>
      </c>
      <c r="B48" t="s">
        <v>13</v>
      </c>
      <c r="C48" t="s">
        <v>9</v>
      </c>
      <c r="D48" t="s">
        <v>7</v>
      </c>
      <c r="E48">
        <v>1244.8858100932739</v>
      </c>
    </row>
    <row r="49" spans="1:5" x14ac:dyDescent="0.2">
      <c r="A49">
        <v>2030</v>
      </c>
      <c r="B49" t="s">
        <v>13</v>
      </c>
      <c r="C49" t="s">
        <v>9</v>
      </c>
      <c r="D49" t="s">
        <v>8</v>
      </c>
      <c r="E49">
        <v>6236.8637260996647</v>
      </c>
    </row>
    <row r="50" spans="1:5" x14ac:dyDescent="0.2">
      <c r="A50">
        <v>2030</v>
      </c>
      <c r="B50" t="s">
        <v>14</v>
      </c>
      <c r="C50" t="s">
        <v>6</v>
      </c>
      <c r="D50" t="s">
        <v>7</v>
      </c>
      <c r="E50">
        <v>1284.0647615906501</v>
      </c>
    </row>
    <row r="51" spans="1:5" x14ac:dyDescent="0.2">
      <c r="A51">
        <v>2030</v>
      </c>
      <c r="B51" t="s">
        <v>14</v>
      </c>
      <c r="C51" t="s">
        <v>6</v>
      </c>
      <c r="D51" t="s">
        <v>8</v>
      </c>
      <c r="E51">
        <v>4872.8119729089231</v>
      </c>
    </row>
    <row r="52" spans="1:5" x14ac:dyDescent="0.2">
      <c r="A52">
        <v>2030</v>
      </c>
      <c r="B52" t="s">
        <v>14</v>
      </c>
      <c r="C52" t="s">
        <v>9</v>
      </c>
      <c r="D52" t="s">
        <v>7</v>
      </c>
      <c r="E52">
        <v>1283.9913295973661</v>
      </c>
    </row>
    <row r="53" spans="1:5" x14ac:dyDescent="0.2">
      <c r="A53">
        <v>2030</v>
      </c>
      <c r="B53" t="s">
        <v>14</v>
      </c>
      <c r="C53" t="s">
        <v>9</v>
      </c>
      <c r="D53" t="s">
        <v>8</v>
      </c>
      <c r="E53">
        <v>4872.7475382832108</v>
      </c>
    </row>
    <row r="54" spans="1:5" x14ac:dyDescent="0.2">
      <c r="A54">
        <v>2030</v>
      </c>
      <c r="B54" t="s">
        <v>15</v>
      </c>
      <c r="C54" t="s">
        <v>6</v>
      </c>
      <c r="D54" t="s">
        <v>7</v>
      </c>
      <c r="E54">
        <v>1628.832428976453</v>
      </c>
    </row>
    <row r="55" spans="1:5" x14ac:dyDescent="0.2">
      <c r="A55">
        <v>2030</v>
      </c>
      <c r="B55" t="s">
        <v>15</v>
      </c>
      <c r="C55" t="s">
        <v>6</v>
      </c>
      <c r="D55" t="s">
        <v>8</v>
      </c>
      <c r="E55">
        <v>5098.4038188778577</v>
      </c>
    </row>
    <row r="56" spans="1:5" x14ac:dyDescent="0.2">
      <c r="A56">
        <v>2030</v>
      </c>
      <c r="B56" t="s">
        <v>15</v>
      </c>
      <c r="C56" t="s">
        <v>9</v>
      </c>
      <c r="D56" t="s">
        <v>7</v>
      </c>
      <c r="E56">
        <v>1628.8225264787659</v>
      </c>
    </row>
    <row r="57" spans="1:5" x14ac:dyDescent="0.2">
      <c r="A57">
        <v>2030</v>
      </c>
      <c r="B57" t="s">
        <v>15</v>
      </c>
      <c r="C57" t="s">
        <v>9</v>
      </c>
      <c r="D57" t="s">
        <v>8</v>
      </c>
      <c r="E57">
        <v>5098.3891862545297</v>
      </c>
    </row>
    <row r="58" spans="1:5" x14ac:dyDescent="0.2">
      <c r="A58">
        <v>2035</v>
      </c>
      <c r="B58" t="s">
        <v>5</v>
      </c>
      <c r="C58" t="s">
        <v>6</v>
      </c>
      <c r="D58" t="s">
        <v>7</v>
      </c>
      <c r="E58">
        <v>1154.029560917518</v>
      </c>
    </row>
    <row r="59" spans="1:5" x14ac:dyDescent="0.2">
      <c r="A59">
        <v>2035</v>
      </c>
      <c r="B59" t="s">
        <v>5</v>
      </c>
      <c r="C59" t="s">
        <v>6</v>
      </c>
      <c r="D59" t="s">
        <v>8</v>
      </c>
      <c r="E59">
        <v>4932.8746703134511</v>
      </c>
    </row>
    <row r="60" spans="1:5" x14ac:dyDescent="0.2">
      <c r="A60">
        <v>2035</v>
      </c>
      <c r="B60" t="s">
        <v>5</v>
      </c>
      <c r="C60" t="s">
        <v>9</v>
      </c>
      <c r="D60" t="s">
        <v>7</v>
      </c>
      <c r="E60">
        <v>1071.7755475280039</v>
      </c>
    </row>
    <row r="61" spans="1:5" x14ac:dyDescent="0.2">
      <c r="A61">
        <v>2035</v>
      </c>
      <c r="B61" t="s">
        <v>5</v>
      </c>
      <c r="C61" t="s">
        <v>9</v>
      </c>
      <c r="D61" t="s">
        <v>8</v>
      </c>
      <c r="E61">
        <v>4817.2890507349457</v>
      </c>
    </row>
    <row r="62" spans="1:5" x14ac:dyDescent="0.2">
      <c r="A62">
        <v>2035</v>
      </c>
      <c r="B62" t="s">
        <v>10</v>
      </c>
      <c r="C62" t="s">
        <v>6</v>
      </c>
      <c r="D62" t="s">
        <v>7</v>
      </c>
      <c r="E62">
        <v>0</v>
      </c>
    </row>
    <row r="63" spans="1:5" x14ac:dyDescent="0.2">
      <c r="A63">
        <v>2035</v>
      </c>
      <c r="B63" t="s">
        <v>10</v>
      </c>
      <c r="C63" t="s">
        <v>6</v>
      </c>
      <c r="D63" t="s">
        <v>8</v>
      </c>
      <c r="E63">
        <v>1762.406391263205</v>
      </c>
    </row>
    <row r="64" spans="1:5" x14ac:dyDescent="0.2">
      <c r="A64">
        <v>2035</v>
      </c>
      <c r="B64" t="s">
        <v>10</v>
      </c>
      <c r="C64" t="s">
        <v>9</v>
      </c>
      <c r="D64" t="s">
        <v>7</v>
      </c>
      <c r="E64">
        <v>0</v>
      </c>
    </row>
    <row r="65" spans="1:5" x14ac:dyDescent="0.2">
      <c r="A65">
        <v>2035</v>
      </c>
      <c r="B65" t="s">
        <v>10</v>
      </c>
      <c r="C65" t="s">
        <v>9</v>
      </c>
      <c r="D65" t="s">
        <v>8</v>
      </c>
      <c r="E65">
        <v>1762.406391263205</v>
      </c>
    </row>
    <row r="66" spans="1:5" x14ac:dyDescent="0.2">
      <c r="A66">
        <v>2035</v>
      </c>
      <c r="B66" t="s">
        <v>11</v>
      </c>
      <c r="C66" t="s">
        <v>6</v>
      </c>
      <c r="D66" t="s">
        <v>7</v>
      </c>
      <c r="E66">
        <v>1153.1574357267559</v>
      </c>
    </row>
    <row r="67" spans="1:5" x14ac:dyDescent="0.2">
      <c r="A67">
        <v>2035</v>
      </c>
      <c r="B67" t="s">
        <v>11</v>
      </c>
      <c r="C67" t="s">
        <v>6</v>
      </c>
      <c r="D67" t="s">
        <v>8</v>
      </c>
      <c r="E67">
        <v>5067.715224249142</v>
      </c>
    </row>
    <row r="68" spans="1:5" x14ac:dyDescent="0.2">
      <c r="A68">
        <v>2035</v>
      </c>
      <c r="B68" t="s">
        <v>11</v>
      </c>
      <c r="C68" t="s">
        <v>9</v>
      </c>
      <c r="D68" t="s">
        <v>7</v>
      </c>
      <c r="E68">
        <v>1055.117759574217</v>
      </c>
    </row>
    <row r="69" spans="1:5" x14ac:dyDescent="0.2">
      <c r="A69">
        <v>2035</v>
      </c>
      <c r="B69" t="s">
        <v>11</v>
      </c>
      <c r="C69" t="s">
        <v>9</v>
      </c>
      <c r="D69" t="s">
        <v>8</v>
      </c>
      <c r="E69">
        <v>4909.12687314902</v>
      </c>
    </row>
    <row r="70" spans="1:5" x14ac:dyDescent="0.2">
      <c r="A70">
        <v>2035</v>
      </c>
      <c r="B70" t="s">
        <v>12</v>
      </c>
      <c r="C70" t="s">
        <v>6</v>
      </c>
      <c r="D70" t="s">
        <v>7</v>
      </c>
      <c r="E70">
        <v>1463.244331376485</v>
      </c>
    </row>
    <row r="71" spans="1:5" x14ac:dyDescent="0.2">
      <c r="A71">
        <v>2035</v>
      </c>
      <c r="B71" t="s">
        <v>12</v>
      </c>
      <c r="C71" t="s">
        <v>6</v>
      </c>
      <c r="D71" t="s">
        <v>8</v>
      </c>
      <c r="E71">
        <v>5372.8220703487332</v>
      </c>
    </row>
    <row r="72" spans="1:5" x14ac:dyDescent="0.2">
      <c r="A72">
        <v>2035</v>
      </c>
      <c r="B72" t="s">
        <v>12</v>
      </c>
      <c r="C72" t="s">
        <v>9</v>
      </c>
      <c r="D72" t="s">
        <v>7</v>
      </c>
      <c r="E72">
        <v>1297.7519541564459</v>
      </c>
    </row>
    <row r="73" spans="1:5" x14ac:dyDescent="0.2">
      <c r="A73">
        <v>2035</v>
      </c>
      <c r="B73" t="s">
        <v>12</v>
      </c>
      <c r="C73" t="s">
        <v>9</v>
      </c>
      <c r="D73" t="s">
        <v>8</v>
      </c>
      <c r="E73">
        <v>5160.2844783562323</v>
      </c>
    </row>
    <row r="74" spans="1:5" x14ac:dyDescent="0.2">
      <c r="A74">
        <v>2035</v>
      </c>
      <c r="B74" t="s">
        <v>13</v>
      </c>
      <c r="C74" t="s">
        <v>6</v>
      </c>
      <c r="D74" t="s">
        <v>7</v>
      </c>
      <c r="E74">
        <v>1370.848224819455</v>
      </c>
    </row>
    <row r="75" spans="1:5" x14ac:dyDescent="0.2">
      <c r="A75">
        <v>2035</v>
      </c>
      <c r="B75" t="s">
        <v>13</v>
      </c>
      <c r="C75" t="s">
        <v>6</v>
      </c>
      <c r="D75" t="s">
        <v>8</v>
      </c>
      <c r="E75">
        <v>6361.5449485803529</v>
      </c>
    </row>
    <row r="76" spans="1:5" x14ac:dyDescent="0.2">
      <c r="A76">
        <v>2035</v>
      </c>
      <c r="B76" t="s">
        <v>13</v>
      </c>
      <c r="C76" t="s">
        <v>9</v>
      </c>
      <c r="D76" t="s">
        <v>7</v>
      </c>
      <c r="E76">
        <v>1171.8965172263761</v>
      </c>
    </row>
    <row r="77" spans="1:5" x14ac:dyDescent="0.2">
      <c r="A77">
        <v>2035</v>
      </c>
      <c r="B77" t="s">
        <v>13</v>
      </c>
      <c r="C77" t="s">
        <v>9</v>
      </c>
      <c r="D77" t="s">
        <v>8</v>
      </c>
      <c r="E77">
        <v>6180.8256709201469</v>
      </c>
    </row>
    <row r="78" spans="1:5" x14ac:dyDescent="0.2">
      <c r="A78">
        <v>2035</v>
      </c>
      <c r="B78" t="s">
        <v>14</v>
      </c>
      <c r="C78" t="s">
        <v>6</v>
      </c>
      <c r="D78" t="s">
        <v>7</v>
      </c>
      <c r="E78">
        <v>1326.984009543884</v>
      </c>
    </row>
    <row r="79" spans="1:5" x14ac:dyDescent="0.2">
      <c r="A79">
        <v>2035</v>
      </c>
      <c r="B79" t="s">
        <v>14</v>
      </c>
      <c r="C79" t="s">
        <v>6</v>
      </c>
      <c r="D79" t="s">
        <v>8</v>
      </c>
      <c r="E79">
        <v>4981.4852817241836</v>
      </c>
    </row>
    <row r="80" spans="1:5" x14ac:dyDescent="0.2">
      <c r="A80">
        <v>2035</v>
      </c>
      <c r="B80" t="s">
        <v>14</v>
      </c>
      <c r="C80" t="s">
        <v>9</v>
      </c>
      <c r="D80" t="s">
        <v>7</v>
      </c>
      <c r="E80">
        <v>1141.4442294976</v>
      </c>
    </row>
    <row r="81" spans="1:5" x14ac:dyDescent="0.2">
      <c r="A81">
        <v>2035</v>
      </c>
      <c r="B81" t="s">
        <v>14</v>
      </c>
      <c r="C81" t="s">
        <v>9</v>
      </c>
      <c r="D81" t="s">
        <v>8</v>
      </c>
      <c r="E81">
        <v>4813.7038585202154</v>
      </c>
    </row>
    <row r="82" spans="1:5" x14ac:dyDescent="0.2">
      <c r="A82">
        <v>2035</v>
      </c>
      <c r="B82" t="s">
        <v>15</v>
      </c>
      <c r="C82" t="s">
        <v>6</v>
      </c>
      <c r="D82" t="s">
        <v>7</v>
      </c>
      <c r="E82">
        <v>0</v>
      </c>
    </row>
    <row r="83" spans="1:5" x14ac:dyDescent="0.2">
      <c r="A83">
        <v>2035</v>
      </c>
      <c r="B83" t="s">
        <v>15</v>
      </c>
      <c r="C83" t="s">
        <v>6</v>
      </c>
      <c r="D83" t="s">
        <v>8</v>
      </c>
      <c r="E83">
        <v>2602.0981245474759</v>
      </c>
    </row>
    <row r="84" spans="1:5" x14ac:dyDescent="0.2">
      <c r="A84">
        <v>2035</v>
      </c>
      <c r="B84" t="s">
        <v>15</v>
      </c>
      <c r="C84" t="s">
        <v>9</v>
      </c>
      <c r="D84" t="s">
        <v>7</v>
      </c>
      <c r="E84">
        <v>0</v>
      </c>
    </row>
    <row r="85" spans="1:5" x14ac:dyDescent="0.2">
      <c r="A85">
        <v>2035</v>
      </c>
      <c r="B85" t="s">
        <v>15</v>
      </c>
      <c r="C85" t="s">
        <v>9</v>
      </c>
      <c r="D85" t="s">
        <v>8</v>
      </c>
      <c r="E85">
        <v>2602.0981245474759</v>
      </c>
    </row>
    <row r="86" spans="1:5" x14ac:dyDescent="0.2">
      <c r="A86">
        <v>2050</v>
      </c>
      <c r="B86" t="s">
        <v>5</v>
      </c>
      <c r="C86" t="s">
        <v>6</v>
      </c>
      <c r="D86" t="s">
        <v>7</v>
      </c>
      <c r="E86">
        <v>877.48319854462454</v>
      </c>
    </row>
    <row r="87" spans="1:5" x14ac:dyDescent="0.2">
      <c r="A87">
        <v>2050</v>
      </c>
      <c r="B87" t="s">
        <v>5</v>
      </c>
      <c r="C87" t="s">
        <v>6</v>
      </c>
      <c r="D87" t="s">
        <v>8</v>
      </c>
      <c r="E87">
        <v>13331.53712608077</v>
      </c>
    </row>
    <row r="88" spans="1:5" x14ac:dyDescent="0.2">
      <c r="A88">
        <v>2050</v>
      </c>
      <c r="B88" t="s">
        <v>5</v>
      </c>
      <c r="C88" t="s">
        <v>9</v>
      </c>
      <c r="D88" t="s">
        <v>7</v>
      </c>
      <c r="E88">
        <v>843.65782789672176</v>
      </c>
    </row>
    <row r="89" spans="1:5" x14ac:dyDescent="0.2">
      <c r="A89">
        <v>2050</v>
      </c>
      <c r="B89" t="s">
        <v>5</v>
      </c>
      <c r="C89" t="s">
        <v>9</v>
      </c>
      <c r="D89" t="s">
        <v>8</v>
      </c>
      <c r="E89">
        <v>13277.581465569679</v>
      </c>
    </row>
    <row r="90" spans="1:5" x14ac:dyDescent="0.2">
      <c r="A90">
        <v>2050</v>
      </c>
      <c r="B90" t="s">
        <v>10</v>
      </c>
      <c r="C90" t="s">
        <v>6</v>
      </c>
      <c r="D90" t="s">
        <v>7</v>
      </c>
      <c r="E90">
        <v>0</v>
      </c>
    </row>
    <row r="91" spans="1:5" x14ac:dyDescent="0.2">
      <c r="A91">
        <v>2050</v>
      </c>
      <c r="B91" t="s">
        <v>10</v>
      </c>
      <c r="C91" t="s">
        <v>6</v>
      </c>
      <c r="D91" t="s">
        <v>8</v>
      </c>
      <c r="E91">
        <v>1404.913276266032</v>
      </c>
    </row>
    <row r="92" spans="1:5" x14ac:dyDescent="0.2">
      <c r="A92">
        <v>2050</v>
      </c>
      <c r="B92" t="s">
        <v>10</v>
      </c>
      <c r="C92" t="s">
        <v>9</v>
      </c>
      <c r="D92" t="s">
        <v>7</v>
      </c>
      <c r="E92">
        <v>0</v>
      </c>
    </row>
    <row r="93" spans="1:5" x14ac:dyDescent="0.2">
      <c r="A93">
        <v>2050</v>
      </c>
      <c r="B93" t="s">
        <v>10</v>
      </c>
      <c r="C93" t="s">
        <v>9</v>
      </c>
      <c r="D93" t="s">
        <v>8</v>
      </c>
      <c r="E93">
        <v>1404.913276266032</v>
      </c>
    </row>
    <row r="94" spans="1:5" x14ac:dyDescent="0.2">
      <c r="A94">
        <v>2050</v>
      </c>
      <c r="B94" t="s">
        <v>11</v>
      </c>
      <c r="C94" t="s">
        <v>6</v>
      </c>
      <c r="D94" t="s">
        <v>7</v>
      </c>
      <c r="E94">
        <v>1028.144761958597</v>
      </c>
    </row>
    <row r="95" spans="1:5" x14ac:dyDescent="0.2">
      <c r="A95">
        <v>2050</v>
      </c>
      <c r="B95" t="s">
        <v>11</v>
      </c>
      <c r="C95" t="s">
        <v>6</v>
      </c>
      <c r="D95" t="s">
        <v>8</v>
      </c>
      <c r="E95">
        <v>5213.1092848806866</v>
      </c>
    </row>
    <row r="96" spans="1:5" x14ac:dyDescent="0.2">
      <c r="A96">
        <v>2050</v>
      </c>
      <c r="B96" t="s">
        <v>11</v>
      </c>
      <c r="C96" t="s">
        <v>9</v>
      </c>
      <c r="D96" t="s">
        <v>7</v>
      </c>
      <c r="E96">
        <v>985.15134232084529</v>
      </c>
    </row>
    <row r="97" spans="1:5" x14ac:dyDescent="0.2">
      <c r="A97">
        <v>2050</v>
      </c>
      <c r="B97" t="s">
        <v>11</v>
      </c>
      <c r="C97" t="s">
        <v>9</v>
      </c>
      <c r="D97" t="s">
        <v>8</v>
      </c>
      <c r="E97">
        <v>5139.612483772562</v>
      </c>
    </row>
    <row r="98" spans="1:5" x14ac:dyDescent="0.2">
      <c r="A98">
        <v>2050</v>
      </c>
      <c r="B98" t="s">
        <v>12</v>
      </c>
      <c r="C98" t="s">
        <v>6</v>
      </c>
      <c r="D98" t="s">
        <v>7</v>
      </c>
      <c r="E98">
        <v>1254.81233030371</v>
      </c>
    </row>
    <row r="99" spans="1:5" x14ac:dyDescent="0.2">
      <c r="A99">
        <v>2050</v>
      </c>
      <c r="B99" t="s">
        <v>12</v>
      </c>
      <c r="C99" t="s">
        <v>6</v>
      </c>
      <c r="D99" t="s">
        <v>8</v>
      </c>
      <c r="E99">
        <v>19212.976096215909</v>
      </c>
    </row>
    <row r="100" spans="1:5" x14ac:dyDescent="0.2">
      <c r="A100">
        <v>2050</v>
      </c>
      <c r="B100" t="s">
        <v>12</v>
      </c>
      <c r="C100" t="s">
        <v>9</v>
      </c>
      <c r="D100" t="s">
        <v>7</v>
      </c>
      <c r="E100">
        <v>1196.219565052294</v>
      </c>
    </row>
    <row r="101" spans="1:5" x14ac:dyDescent="0.2">
      <c r="A101">
        <v>2050</v>
      </c>
      <c r="B101" t="s">
        <v>12</v>
      </c>
      <c r="C101" t="s">
        <v>9</v>
      </c>
      <c r="D101" t="s">
        <v>8</v>
      </c>
      <c r="E101">
        <v>19131.017879747618</v>
      </c>
    </row>
    <row r="102" spans="1:5" x14ac:dyDescent="0.2">
      <c r="A102">
        <v>2050</v>
      </c>
      <c r="B102" t="s">
        <v>13</v>
      </c>
      <c r="C102" t="s">
        <v>6</v>
      </c>
      <c r="D102" t="s">
        <v>7</v>
      </c>
      <c r="E102">
        <v>1236.6598117787671</v>
      </c>
    </row>
    <row r="103" spans="1:5" x14ac:dyDescent="0.2">
      <c r="A103">
        <v>2050</v>
      </c>
      <c r="B103" t="s">
        <v>13</v>
      </c>
      <c r="C103" t="s">
        <v>6</v>
      </c>
      <c r="D103" t="s">
        <v>8</v>
      </c>
      <c r="E103">
        <v>6471.4209088677308</v>
      </c>
    </row>
    <row r="104" spans="1:5" x14ac:dyDescent="0.2">
      <c r="A104">
        <v>2050</v>
      </c>
      <c r="B104" t="s">
        <v>13</v>
      </c>
      <c r="C104" t="s">
        <v>9</v>
      </c>
      <c r="D104" t="s">
        <v>7</v>
      </c>
      <c r="E104">
        <v>1194.4353185158971</v>
      </c>
    </row>
    <row r="105" spans="1:5" x14ac:dyDescent="0.2">
      <c r="A105">
        <v>2050</v>
      </c>
      <c r="B105" t="s">
        <v>13</v>
      </c>
      <c r="C105" t="s">
        <v>9</v>
      </c>
      <c r="D105" t="s">
        <v>8</v>
      </c>
      <c r="E105">
        <v>6429.4024780032969</v>
      </c>
    </row>
    <row r="106" spans="1:5" x14ac:dyDescent="0.2">
      <c r="A106">
        <v>2050</v>
      </c>
      <c r="B106" t="s">
        <v>14</v>
      </c>
      <c r="C106" t="s">
        <v>6</v>
      </c>
      <c r="D106" t="s">
        <v>7</v>
      </c>
      <c r="E106">
        <v>1155.508890568063</v>
      </c>
    </row>
    <row r="107" spans="1:5" x14ac:dyDescent="0.2">
      <c r="A107">
        <v>2050</v>
      </c>
      <c r="B107" t="s">
        <v>14</v>
      </c>
      <c r="C107" t="s">
        <v>6</v>
      </c>
      <c r="D107" t="s">
        <v>8</v>
      </c>
      <c r="E107">
        <v>31705.44688819602</v>
      </c>
    </row>
    <row r="108" spans="1:5" x14ac:dyDescent="0.2">
      <c r="A108">
        <v>2050</v>
      </c>
      <c r="B108" t="s">
        <v>14</v>
      </c>
      <c r="C108" t="s">
        <v>9</v>
      </c>
      <c r="D108" t="s">
        <v>7</v>
      </c>
      <c r="E108">
        <v>1097.2900986115881</v>
      </c>
    </row>
    <row r="109" spans="1:5" x14ac:dyDescent="0.2">
      <c r="A109">
        <v>2050</v>
      </c>
      <c r="B109" t="s">
        <v>14</v>
      </c>
      <c r="C109" t="s">
        <v>9</v>
      </c>
      <c r="D109" t="s">
        <v>8</v>
      </c>
      <c r="E109">
        <v>31647.817551823358</v>
      </c>
    </row>
    <row r="110" spans="1:5" x14ac:dyDescent="0.2">
      <c r="A110">
        <v>2050</v>
      </c>
      <c r="B110" t="s">
        <v>15</v>
      </c>
      <c r="C110" t="s">
        <v>6</v>
      </c>
      <c r="D110" t="s">
        <v>7</v>
      </c>
      <c r="E110">
        <v>0</v>
      </c>
    </row>
    <row r="111" spans="1:5" x14ac:dyDescent="0.2">
      <c r="A111">
        <v>2050</v>
      </c>
      <c r="B111" t="s">
        <v>15</v>
      </c>
      <c r="C111" t="s">
        <v>6</v>
      </c>
      <c r="D111" t="s">
        <v>8</v>
      </c>
      <c r="E111">
        <v>2332.6209008685541</v>
      </c>
    </row>
    <row r="112" spans="1:5" x14ac:dyDescent="0.2">
      <c r="A112">
        <v>2050</v>
      </c>
      <c r="B112" t="s">
        <v>15</v>
      </c>
      <c r="C112" t="s">
        <v>9</v>
      </c>
      <c r="D112" t="s">
        <v>7</v>
      </c>
      <c r="E112">
        <v>0</v>
      </c>
    </row>
    <row r="113" spans="1:5" x14ac:dyDescent="0.2">
      <c r="A113">
        <v>2050</v>
      </c>
      <c r="B113" t="s">
        <v>15</v>
      </c>
      <c r="C113" t="s">
        <v>9</v>
      </c>
      <c r="D113" t="s">
        <v>8</v>
      </c>
      <c r="E113">
        <v>2332.6209008685541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Jefferson</cp:lastModifiedBy>
  <dcterms:created xsi:type="dcterms:W3CDTF">2025-09-30T04:21:00Z</dcterms:created>
  <dcterms:modified xsi:type="dcterms:W3CDTF">2025-09-30T04:30:09Z</dcterms:modified>
</cp:coreProperties>
</file>